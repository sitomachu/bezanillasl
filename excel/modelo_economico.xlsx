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ebrija-my.sharepoint.com/personal/prior_alumnos_nebrija_es/Documents/BEZANILLA SL/"/>
    </mc:Choice>
  </mc:AlternateContent>
  <xr:revisionPtr revIDLastSave="10" documentId="6_{E261BF9A-5B61-4232-9379-E2A9480D430F}" xr6:coauthVersionLast="47" xr6:coauthVersionMax="47" xr10:uidLastSave="{12862285-D8F9-4674-9F95-0F4136845069}"/>
  <bookViews>
    <workbookView xWindow="28680" yWindow="-120" windowWidth="29040" windowHeight="15720" tabRatio="897" activeTab="5" xr2:uid="{00000000-000D-0000-FFFF-FFFF00000000}"/>
  </bookViews>
  <sheets>
    <sheet name="00_ESTRATEGIA" sheetId="1" r:id="rId1"/>
    <sheet name="01_MODELO" sheetId="2" r:id="rId2"/>
    <sheet name="02_ESCENARIOS" sheetId="4" r:id="rId3"/>
    <sheet name="10_CAPEX-INGRESOS-PAGOS" sheetId="5" r:id="rId4"/>
    <sheet name="20_FINANCIACION" sheetId="6" r:id="rId5"/>
    <sheet name="30_CASHFLOW" sheetId="7" r:id="rId6"/>
    <sheet name="31_P&amp;L" sheetId="11" r:id="rId7"/>
    <sheet name="32_BALANCE" sheetId="13" r:id="rId8"/>
    <sheet name="40_CASHFLOW_TRIMESTRAL" sheetId="17" r:id="rId9"/>
    <sheet name="41_P&amp;L_TRIMESTRAL" sheetId="15" r:id="rId10"/>
    <sheet name="42_BALANCE_TRIMESTRAL" sheetId="16" r:id="rId11"/>
  </sheets>
  <definedNames>
    <definedName name="Pct_Cesiones">#REF!</definedName>
    <definedName name="SA_abs">#REF!</definedName>
    <definedName name="SA_comerc">#REF!</definedName>
    <definedName name="SA_conting">#REF!</definedName>
    <definedName name="SA_GG_BI">#REF!</definedName>
    <definedName name="SA_honorarios">#REF!</definedName>
    <definedName name="SA_licencias">#REF!</definedName>
    <definedName name="SA_m2_media">#REF!</definedName>
    <definedName name="SA_precio_m2">#REF!</definedName>
    <definedName name="SA_unidades">#REF!</definedName>
    <definedName name="Sup_Parcela_Bruta">#REF!</definedName>
    <definedName name="Sup_Parcela_Neta">#REF!</definedName>
  </definedNames>
  <calcPr calcId="191029" iterateDelta="1E-4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7" l="1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B21" i="17"/>
  <c r="B47" i="7"/>
  <c r="C47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BF6" i="7"/>
  <c r="BG6" i="7"/>
  <c r="BH6" i="7"/>
  <c r="BI6" i="7"/>
  <c r="BJ6" i="7"/>
  <c r="BK6" i="7"/>
  <c r="BL6" i="7"/>
  <c r="BM6" i="7"/>
  <c r="BN6" i="7"/>
  <c r="BO6" i="7"/>
  <c r="BP6" i="7"/>
  <c r="BQ6" i="7"/>
  <c r="BR6" i="7"/>
  <c r="BS6" i="7"/>
  <c r="BT6" i="7"/>
  <c r="BU6" i="7"/>
  <c r="BV6" i="7"/>
  <c r="BW6" i="7"/>
  <c r="BX6" i="7"/>
  <c r="BY6" i="7"/>
  <c r="BZ6" i="7"/>
  <c r="CA6" i="7"/>
  <c r="CB6" i="7"/>
  <c r="CC6" i="7"/>
  <c r="CD6" i="7"/>
  <c r="CE6" i="7"/>
  <c r="CF6" i="7"/>
  <c r="CG6" i="7"/>
  <c r="CH6" i="7"/>
  <c r="CI6" i="7"/>
  <c r="CJ6" i="7"/>
  <c r="CK6" i="7"/>
  <c r="CL6" i="7"/>
  <c r="CM6" i="7"/>
  <c r="CN6" i="7"/>
  <c r="CO6" i="7"/>
  <c r="CP6" i="7"/>
  <c r="CQ6" i="7"/>
  <c r="CR6" i="7"/>
  <c r="CS6" i="7"/>
  <c r="CT6" i="7"/>
  <c r="CU6" i="7"/>
  <c r="CV6" i="7"/>
  <c r="CW6" i="7"/>
  <c r="CX6" i="7"/>
  <c r="CY6" i="7"/>
  <c r="CZ6" i="7"/>
  <c r="DA6" i="7"/>
  <c r="DB6" i="7"/>
  <c r="DC6" i="7"/>
  <c r="DD6" i="7"/>
  <c r="DE6" i="7"/>
  <c r="DF6" i="7"/>
  <c r="DG6" i="7"/>
  <c r="DH6" i="7"/>
  <c r="DI6" i="7"/>
  <c r="DJ6" i="7"/>
  <c r="DK6" i="7"/>
  <c r="DL6" i="7"/>
  <c r="DM6" i="7"/>
  <c r="DN6" i="7"/>
  <c r="DO6" i="7"/>
  <c r="DP6" i="7"/>
  <c r="DQ6" i="7"/>
  <c r="DR6" i="7"/>
  <c r="DS6" i="7"/>
  <c r="DT6" i="7"/>
  <c r="DU6" i="7"/>
  <c r="DV6" i="7"/>
  <c r="DW6" i="7"/>
  <c r="DX6" i="7"/>
  <c r="DY6" i="7"/>
  <c r="DZ6" i="7"/>
  <c r="EA6" i="7"/>
  <c r="EB6" i="7"/>
  <c r="EC6" i="7"/>
  <c r="ED6" i="7"/>
  <c r="EE6" i="7"/>
  <c r="EF6" i="7"/>
  <c r="EG6" i="7"/>
  <c r="EH6" i="7"/>
  <c r="EI6" i="7"/>
  <c r="EJ6" i="7"/>
  <c r="EK6" i="7"/>
  <c r="EL6" i="7"/>
  <c r="EM6" i="7"/>
  <c r="EN6" i="7"/>
  <c r="EO6" i="7"/>
  <c r="EP6" i="7"/>
  <c r="EQ6" i="7"/>
  <c r="ER6" i="7"/>
  <c r="ES6" i="7"/>
  <c r="ET6" i="7"/>
  <c r="EU6" i="7"/>
  <c r="EV6" i="7"/>
  <c r="EW6" i="7"/>
  <c r="EX6" i="7"/>
  <c r="EY6" i="7"/>
  <c r="EZ6" i="7"/>
  <c r="FA6" i="7"/>
  <c r="FB6" i="7"/>
  <c r="FC6" i="7"/>
  <c r="FD6" i="7"/>
  <c r="FE6" i="7"/>
  <c r="FF6" i="7"/>
  <c r="FG6" i="7"/>
  <c r="FH6" i="7"/>
  <c r="FI6" i="7"/>
  <c r="FJ6" i="7"/>
  <c r="FK6" i="7"/>
  <c r="FL6" i="7"/>
  <c r="FM6" i="7"/>
  <c r="FN6" i="7"/>
  <c r="FO6" i="7"/>
  <c r="FP6" i="7"/>
  <c r="FQ6" i="7"/>
  <c r="FR6" i="7"/>
  <c r="FS6" i="7"/>
  <c r="FT6" i="7"/>
  <c r="FU6" i="7"/>
  <c r="FV6" i="7"/>
  <c r="FW6" i="7"/>
  <c r="FX6" i="7"/>
  <c r="FY6" i="7"/>
  <c r="FZ6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BQ25" i="7"/>
  <c r="BR25" i="7"/>
  <c r="BS25" i="7"/>
  <c r="BT25" i="7"/>
  <c r="BU25" i="7"/>
  <c r="BV25" i="7"/>
  <c r="BW25" i="7"/>
  <c r="BX25" i="7"/>
  <c r="BY25" i="7"/>
  <c r="BZ25" i="7"/>
  <c r="CA25" i="7"/>
  <c r="CB25" i="7"/>
  <c r="CC25" i="7"/>
  <c r="CD25" i="7"/>
  <c r="CE25" i="7"/>
  <c r="CF25" i="7"/>
  <c r="CG25" i="7"/>
  <c r="CH25" i="7"/>
  <c r="CI25" i="7"/>
  <c r="CJ25" i="7"/>
  <c r="CK25" i="7"/>
  <c r="CL25" i="7"/>
  <c r="CM25" i="7"/>
  <c r="CN25" i="7"/>
  <c r="CO25" i="7"/>
  <c r="CP25" i="7"/>
  <c r="CQ25" i="7"/>
  <c r="CR25" i="7"/>
  <c r="CS25" i="7"/>
  <c r="CT25" i="7"/>
  <c r="CU25" i="7"/>
  <c r="CV25" i="7"/>
  <c r="CW25" i="7"/>
  <c r="CX25" i="7"/>
  <c r="CY25" i="7"/>
  <c r="CZ25" i="7"/>
  <c r="DA25" i="7"/>
  <c r="DB25" i="7"/>
  <c r="DC25" i="7"/>
  <c r="DD25" i="7"/>
  <c r="DE25" i="7"/>
  <c r="DF25" i="7"/>
  <c r="DG25" i="7"/>
  <c r="DH25" i="7"/>
  <c r="DI25" i="7"/>
  <c r="DJ25" i="7"/>
  <c r="DK25" i="7"/>
  <c r="DL25" i="7"/>
  <c r="DM25" i="7"/>
  <c r="DN25" i="7"/>
  <c r="DO25" i="7"/>
  <c r="DP25" i="7"/>
  <c r="DQ25" i="7"/>
  <c r="DR25" i="7"/>
  <c r="DS25" i="7"/>
  <c r="DT25" i="7"/>
  <c r="DU25" i="7"/>
  <c r="DV25" i="7"/>
  <c r="DW25" i="7"/>
  <c r="DX25" i="7"/>
  <c r="DY25" i="7"/>
  <c r="DZ25" i="7"/>
  <c r="EA25" i="7"/>
  <c r="EB25" i="7"/>
  <c r="EC25" i="7"/>
  <c r="ED25" i="7"/>
  <c r="EE25" i="7"/>
  <c r="EF25" i="7"/>
  <c r="EG25" i="7"/>
  <c r="EH25" i="7"/>
  <c r="EI25" i="7"/>
  <c r="EJ25" i="7"/>
  <c r="EK25" i="7"/>
  <c r="EL25" i="7"/>
  <c r="EM25" i="7"/>
  <c r="EN25" i="7"/>
  <c r="EO25" i="7"/>
  <c r="EP25" i="7"/>
  <c r="EQ25" i="7"/>
  <c r="ER25" i="7"/>
  <c r="ES25" i="7"/>
  <c r="ET25" i="7"/>
  <c r="EU25" i="7"/>
  <c r="EV25" i="7"/>
  <c r="EW25" i="7"/>
  <c r="EX25" i="7"/>
  <c r="EY25" i="7"/>
  <c r="EZ25" i="7"/>
  <c r="FA25" i="7"/>
  <c r="FB25" i="7"/>
  <c r="FC25" i="7"/>
  <c r="FD25" i="7"/>
  <c r="FE25" i="7"/>
  <c r="FF25" i="7"/>
  <c r="FG25" i="7"/>
  <c r="FH25" i="7"/>
  <c r="FI25" i="7"/>
  <c r="FJ25" i="7"/>
  <c r="FK25" i="7"/>
  <c r="FL25" i="7"/>
  <c r="FM25" i="7"/>
  <c r="FN25" i="7"/>
  <c r="FO25" i="7"/>
  <c r="FP25" i="7"/>
  <c r="FQ25" i="7"/>
  <c r="FR25" i="7"/>
  <c r="FS25" i="7"/>
  <c r="FT25" i="7"/>
  <c r="FU25" i="7"/>
  <c r="FV25" i="7"/>
  <c r="FW25" i="7"/>
  <c r="FX25" i="7"/>
  <c r="FY25" i="7"/>
  <c r="B25" i="7"/>
  <c r="M6" i="17" l="1"/>
  <c r="E6" i="17"/>
  <c r="U25" i="17"/>
  <c r="M25" i="17"/>
  <c r="L25" i="17"/>
  <c r="E25" i="17"/>
  <c r="Q6" i="17"/>
  <c r="D25" i="17"/>
  <c r="S25" i="17"/>
  <c r="K25" i="17"/>
  <c r="C25" i="17"/>
  <c r="I6" i="17"/>
  <c r="P6" i="17"/>
  <c r="R25" i="17"/>
  <c r="J25" i="17"/>
  <c r="N6" i="17"/>
  <c r="F6" i="17"/>
  <c r="O25" i="17"/>
  <c r="G25" i="17"/>
  <c r="S6" i="17"/>
  <c r="K6" i="17"/>
  <c r="C6" i="17"/>
  <c r="H6" i="17"/>
  <c r="N25" i="17"/>
  <c r="F25" i="17"/>
  <c r="R6" i="17"/>
  <c r="J6" i="17"/>
  <c r="O6" i="17"/>
  <c r="G6" i="17"/>
  <c r="P25" i="17"/>
  <c r="H25" i="17"/>
  <c r="T6" i="17"/>
  <c r="L6" i="17"/>
  <c r="D6" i="17"/>
  <c r="I25" i="17"/>
  <c r="U6" i="17"/>
  <c r="Q25" i="17"/>
  <c r="T25" i="17"/>
  <c r="B25" i="17"/>
  <c r="E2" i="17" l="1"/>
  <c r="B2" i="17"/>
  <c r="C5" i="2" l="1"/>
  <c r="C7" i="2" s="1"/>
  <c r="B9" i="6"/>
  <c r="B17" i="6" s="1"/>
  <c r="B2" i="16"/>
  <c r="E2" i="16"/>
  <c r="C2" i="15"/>
  <c r="F2" i="15"/>
  <c r="B2" i="7"/>
  <c r="E2" i="7"/>
  <c r="B42" i="2" a="1"/>
  <c r="B42" i="2" s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4" i="2"/>
  <c r="B53" i="2"/>
  <c r="C53" i="2"/>
  <c r="D53" i="2"/>
  <c r="E53" i="2"/>
  <c r="B57" i="2"/>
  <c r="C57" i="2"/>
  <c r="D60" i="2"/>
  <c r="E60" i="2"/>
  <c r="B63" i="2" a="1"/>
  <c r="B63" i="2" s="1"/>
  <c r="B29" i="5" s="1"/>
  <c r="C63" i="2" a="1"/>
  <c r="C63" i="2" s="1"/>
  <c r="C29" i="5" s="1"/>
  <c r="D63" i="2" a="1"/>
  <c r="D63" i="2" s="1"/>
  <c r="D29" i="5" s="1"/>
  <c r="E63" i="2" a="1"/>
  <c r="E63" i="2" s="1"/>
  <c r="E29" i="5" s="1"/>
  <c r="B64" i="2" a="1"/>
  <c r="B64" i="2" s="1"/>
  <c r="C64" i="2" a="1"/>
  <c r="C64" i="2" s="1"/>
  <c r="D64" i="2" a="1"/>
  <c r="D64" i="2" s="1"/>
  <c r="E64" i="2" a="1"/>
  <c r="E64" i="2" s="1"/>
  <c r="D72" i="2"/>
  <c r="D34" i="5" s="1"/>
  <c r="E72" i="2"/>
  <c r="E34" i="5" s="1"/>
  <c r="B74" i="2" a="1"/>
  <c r="B74" i="2" s="1"/>
  <c r="B36" i="5" s="1"/>
  <c r="C74" i="2" a="1"/>
  <c r="C74" i="2" s="1"/>
  <c r="C36" i="5" s="1"/>
  <c r="D74" i="2" a="1"/>
  <c r="D74" i="2" s="1"/>
  <c r="D36" i="5" s="1"/>
  <c r="E74" i="2" a="1"/>
  <c r="E74" i="2" s="1"/>
  <c r="E36" i="5" s="1"/>
  <c r="B75" i="2" a="1"/>
  <c r="B75" i="2" s="1"/>
  <c r="B38" i="5" s="1"/>
  <c r="C75" i="2" a="1"/>
  <c r="C75" i="2" s="1"/>
  <c r="C38" i="5" s="1"/>
  <c r="D75" i="2" a="1"/>
  <c r="D75" i="2" s="1"/>
  <c r="D38" i="5" s="1"/>
  <c r="E75" i="2" a="1"/>
  <c r="E75" i="2" s="1"/>
  <c r="E38" i="5" s="1"/>
  <c r="B77" i="2"/>
  <c r="C77" i="2" s="1"/>
  <c r="D77" i="2" s="1"/>
  <c r="E77" i="2" s="1"/>
  <c r="BI10" i="13"/>
  <c r="U10" i="16" s="1" a="1"/>
  <c r="U10" i="16" s="1"/>
  <c r="BH10" i="13"/>
  <c r="BH11" i="13" s="1"/>
  <c r="BG10" i="13"/>
  <c r="BG11" i="13" s="1"/>
  <c r="BF10" i="13"/>
  <c r="BE10" i="13"/>
  <c r="BE11" i="13" s="1"/>
  <c r="BD10" i="13"/>
  <c r="BD11" i="13" s="1"/>
  <c r="BC10" i="13"/>
  <c r="BB10" i="13"/>
  <c r="BB11" i="13" s="1"/>
  <c r="BA10" i="13"/>
  <c r="BA11" i="13" s="1"/>
  <c r="AZ10" i="13"/>
  <c r="AY10" i="13"/>
  <c r="AY11" i="13" s="1"/>
  <c r="AX10" i="13"/>
  <c r="AX11" i="13" s="1"/>
  <c r="AW10" i="13"/>
  <c r="Q10" i="16" s="1" a="1"/>
  <c r="Q10" i="16" s="1"/>
  <c r="AV10" i="13"/>
  <c r="AV11" i="13" s="1"/>
  <c r="AU10" i="13"/>
  <c r="AU11" i="13" s="1"/>
  <c r="AT10" i="13"/>
  <c r="AT11" i="13" s="1"/>
  <c r="P11" i="16" s="1" a="1"/>
  <c r="P11" i="16" s="1"/>
  <c r="AS10" i="13"/>
  <c r="AS11" i="13" s="1"/>
  <c r="AR10" i="13"/>
  <c r="AR11" i="13" s="1"/>
  <c r="AQ10" i="13"/>
  <c r="AQ11" i="13" s="1"/>
  <c r="O11" i="16" s="1" a="1"/>
  <c r="O11" i="16" s="1"/>
  <c r="AP10" i="13"/>
  <c r="AP11" i="13" s="1"/>
  <c r="AO10" i="13"/>
  <c r="AO11" i="13" s="1"/>
  <c r="AN10" i="13"/>
  <c r="AM10" i="13"/>
  <c r="AM11" i="13" s="1"/>
  <c r="AL10" i="13"/>
  <c r="AL11" i="13" s="1"/>
  <c r="AK10" i="13"/>
  <c r="M10" i="16" s="1" a="1"/>
  <c r="M10" i="16" s="1"/>
  <c r="AJ10" i="13"/>
  <c r="AJ11" i="13" s="1"/>
  <c r="AI10" i="13"/>
  <c r="AI11" i="13" s="1"/>
  <c r="AH10" i="13"/>
  <c r="AG10" i="13"/>
  <c r="AG11" i="13" s="1"/>
  <c r="AF10" i="13"/>
  <c r="AF11" i="13" s="1"/>
  <c r="AE10" i="13"/>
  <c r="AE11" i="13" s="1"/>
  <c r="K11" i="16" s="1" a="1"/>
  <c r="K11" i="16" s="1"/>
  <c r="AD10" i="13"/>
  <c r="AD11" i="13" s="1"/>
  <c r="AC10" i="13"/>
  <c r="AC11" i="13" s="1"/>
  <c r="AB10" i="13"/>
  <c r="AA10" i="13"/>
  <c r="AA11" i="13" s="1"/>
  <c r="Z10" i="13"/>
  <c r="Z11" i="13" s="1"/>
  <c r="Y10" i="13"/>
  <c r="I10" i="16" s="1" a="1"/>
  <c r="I10" i="16" s="1"/>
  <c r="X10" i="13"/>
  <c r="X11" i="13" s="1"/>
  <c r="W10" i="13"/>
  <c r="W11" i="13" s="1"/>
  <c r="V10" i="13"/>
  <c r="V11" i="13" s="1"/>
  <c r="H11" i="16" s="1" a="1"/>
  <c r="H11" i="16" s="1"/>
  <c r="U10" i="13"/>
  <c r="U11" i="13" s="1"/>
  <c r="T10" i="13"/>
  <c r="T11" i="13" s="1"/>
  <c r="S10" i="13"/>
  <c r="R10" i="13"/>
  <c r="R11" i="13" s="1"/>
  <c r="Q10" i="13"/>
  <c r="Q11" i="13" s="1"/>
  <c r="P10" i="13"/>
  <c r="P11" i="13" s="1"/>
  <c r="F11" i="16" s="1" a="1"/>
  <c r="F11" i="16" s="1"/>
  <c r="O10" i="13"/>
  <c r="O11" i="13" s="1"/>
  <c r="N10" i="13"/>
  <c r="N11" i="13" s="1"/>
  <c r="M10" i="13"/>
  <c r="E10" i="16" s="1" a="1"/>
  <c r="E10" i="16" s="1"/>
  <c r="L10" i="13"/>
  <c r="L11" i="13" s="1"/>
  <c r="K10" i="13"/>
  <c r="K11" i="13" s="1"/>
  <c r="J10" i="13"/>
  <c r="J11" i="13" s="1"/>
  <c r="D11" i="16" s="1" a="1"/>
  <c r="D11" i="16" s="1"/>
  <c r="I10" i="13"/>
  <c r="I11" i="13" s="1"/>
  <c r="H10" i="13"/>
  <c r="H11" i="13" s="1"/>
  <c r="G10" i="13"/>
  <c r="G11" i="13" s="1"/>
  <c r="C11" i="16" s="1" a="1"/>
  <c r="C11" i="16" s="1"/>
  <c r="F10" i="13"/>
  <c r="F11" i="13" s="1"/>
  <c r="E10" i="13"/>
  <c r="E11" i="13" s="1"/>
  <c r="D10" i="13"/>
  <c r="D11" i="13" s="1"/>
  <c r="B11" i="16" s="1" a="1"/>
  <c r="B11" i="16" s="1"/>
  <c r="C10" i="13"/>
  <c r="C11" i="13" s="1"/>
  <c r="B10" i="13"/>
  <c r="B11" i="13" s="1"/>
  <c r="E2" i="13"/>
  <c r="B2" i="13"/>
  <c r="E2" i="11"/>
  <c r="B2" i="11"/>
  <c r="G50" i="5"/>
  <c r="E50" i="5"/>
  <c r="D50" i="5"/>
  <c r="C50" i="5"/>
  <c r="B50" i="5"/>
  <c r="G49" i="5"/>
  <c r="E49" i="5"/>
  <c r="D49" i="5"/>
  <c r="C49" i="5"/>
  <c r="B49" i="5"/>
  <c r="G48" i="5"/>
  <c r="G47" i="5"/>
  <c r="G46" i="5"/>
  <c r="G45" i="5"/>
  <c r="H44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H23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B6" i="5"/>
  <c r="G5" i="5"/>
  <c r="G4" i="5"/>
  <c r="G3" i="5"/>
  <c r="H2" i="5"/>
  <c r="H15" i="5" s="1" a="1"/>
  <c r="H15" i="5" s="1"/>
  <c r="F21" i="4"/>
  <c r="G20" i="4"/>
  <c r="G21" i="4" s="1" a="1"/>
  <c r="G21" i="4" s="1"/>
  <c r="B4" i="6" s="1"/>
  <c r="B12" i="6" s="1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G2" i="4"/>
  <c r="E36" i="2" s="1" a="1"/>
  <c r="E36" i="2" s="1"/>
  <c r="E44" i="2" a="1"/>
  <c r="E44" i="2" s="1"/>
  <c r="D44" i="2" a="1"/>
  <c r="D44" i="2" s="1"/>
  <c r="C44" i="2" a="1"/>
  <c r="C44" i="2" s="1"/>
  <c r="B44" i="2" a="1"/>
  <c r="B44" i="2" s="1"/>
  <c r="B43" i="2" a="1"/>
  <c r="B43" i="2" s="1"/>
  <c r="C43" i="2" s="1"/>
  <c r="D43" i="2" s="1"/>
  <c r="E43" i="2" s="1"/>
  <c r="E42" i="2" a="1"/>
  <c r="E42" i="2" s="1"/>
  <c r="D42" i="2" a="1"/>
  <c r="D42" i="2" s="1"/>
  <c r="C42" i="2" a="1"/>
  <c r="C42" i="2" s="1"/>
  <c r="B41" i="2" a="1"/>
  <c r="B41" i="2" s="1"/>
  <c r="C41" i="2" s="1"/>
  <c r="D41" i="2" s="1"/>
  <c r="E41" i="2" s="1"/>
  <c r="C39" i="2"/>
  <c r="C6" i="5" s="1"/>
  <c r="E26" i="2"/>
  <c r="E4" i="5" s="1"/>
  <c r="D26" i="2"/>
  <c r="D26" i="5" s="1"/>
  <c r="C26" i="2"/>
  <c r="C28" i="2" s="1"/>
  <c r="C30" i="2" s="1"/>
  <c r="B26" i="2"/>
  <c r="B28" i="2" s="1"/>
  <c r="B30" i="2" s="1"/>
  <c r="E25" i="2"/>
  <c r="D25" i="2"/>
  <c r="I3" i="2"/>
  <c r="I9" i="2" s="1" a="1"/>
  <c r="I9" i="2" s="1"/>
  <c r="E5" i="2" l="1"/>
  <c r="E7" i="2" s="1"/>
  <c r="B36" i="2" a="1"/>
  <c r="B36" i="2" s="1"/>
  <c r="D5" i="2"/>
  <c r="D7" i="2" s="1"/>
  <c r="B5" i="2"/>
  <c r="C16" i="5" s="1"/>
  <c r="E61" i="2"/>
  <c r="D61" i="2"/>
  <c r="B10" i="16" a="1"/>
  <c r="B10" i="16" s="1"/>
  <c r="K10" i="16" a="1"/>
  <c r="K10" i="16" s="1"/>
  <c r="C10" i="16" a="1"/>
  <c r="C10" i="16" s="1"/>
  <c r="D10" i="16" a="1"/>
  <c r="D10" i="16" s="1"/>
  <c r="AH11" i="13"/>
  <c r="L11" i="16" s="1" a="1"/>
  <c r="L11" i="16" s="1"/>
  <c r="L10" i="16" a="1"/>
  <c r="L10" i="16" s="1"/>
  <c r="BF11" i="13"/>
  <c r="T11" i="16" s="1" a="1"/>
  <c r="T11" i="16" s="1"/>
  <c r="T10" i="16" a="1"/>
  <c r="T10" i="16" s="1"/>
  <c r="O10" i="16" a="1"/>
  <c r="O10" i="16" s="1"/>
  <c r="AN11" i="13"/>
  <c r="N11" i="16" s="1" a="1"/>
  <c r="N11" i="16" s="1"/>
  <c r="N10" i="16" a="1"/>
  <c r="N10" i="16" s="1"/>
  <c r="S11" i="13"/>
  <c r="G11" i="16" s="1" a="1"/>
  <c r="G11" i="16" s="1"/>
  <c r="G10" i="16" a="1"/>
  <c r="G10" i="16" s="1"/>
  <c r="AB11" i="13"/>
  <c r="J11" i="16" s="1" a="1"/>
  <c r="J11" i="16" s="1"/>
  <c r="J10" i="16" a="1"/>
  <c r="J10" i="16" s="1"/>
  <c r="AZ11" i="13"/>
  <c r="R11" i="16" s="1" a="1"/>
  <c r="R11" i="16" s="1"/>
  <c r="R10" i="16" a="1"/>
  <c r="R10" i="16" s="1"/>
  <c r="F10" i="16" a="1"/>
  <c r="F10" i="16" s="1"/>
  <c r="P10" i="16" a="1"/>
  <c r="P10" i="16" s="1"/>
  <c r="H10" i="16" a="1"/>
  <c r="H10" i="16" s="1"/>
  <c r="BC11" i="13"/>
  <c r="S11" i="16" s="1" a="1"/>
  <c r="S11" i="16" s="1"/>
  <c r="S10" i="16" a="1"/>
  <c r="S10" i="16" s="1"/>
  <c r="H45" i="5" a="1"/>
  <c r="H45" i="5" s="1"/>
  <c r="H46" i="5" a="1"/>
  <c r="H46" i="5" s="1"/>
  <c r="H50" i="5" a="1"/>
  <c r="H50" i="5" s="1"/>
  <c r="H49" i="5" a="1"/>
  <c r="H49" i="5" s="1"/>
  <c r="H47" i="5" a="1"/>
  <c r="H47" i="5" s="1"/>
  <c r="H48" i="5" a="1"/>
  <c r="H48" i="5" s="1"/>
  <c r="I74" i="2" a="1"/>
  <c r="I74" i="2" s="1"/>
  <c r="I70" i="2" a="1"/>
  <c r="I70" i="2" s="1"/>
  <c r="I54" i="2" a="1"/>
  <c r="I54" i="2" s="1"/>
  <c r="I77" i="2" a="1"/>
  <c r="I77" i="2" s="1"/>
  <c r="I69" i="2" a="1"/>
  <c r="I69" i="2" s="1"/>
  <c r="I65" i="2" a="1"/>
  <c r="I65" i="2" s="1"/>
  <c r="I57" i="2" a="1"/>
  <c r="I57" i="2" s="1"/>
  <c r="I53" i="2" a="1"/>
  <c r="I53" i="2" s="1"/>
  <c r="I64" i="2" a="1"/>
  <c r="I64" i="2" s="1"/>
  <c r="I52" i="2" a="1"/>
  <c r="I52" i="2" s="1"/>
  <c r="I75" i="2" a="1"/>
  <c r="I75" i="2" s="1"/>
  <c r="I63" i="2" a="1"/>
  <c r="I63" i="2" s="1"/>
  <c r="I59" i="2" a="1"/>
  <c r="I59" i="2" s="1"/>
  <c r="I51" i="2" a="1"/>
  <c r="I51" i="2" s="1"/>
  <c r="I50" i="2" a="1"/>
  <c r="I50" i="2" s="1"/>
  <c r="I47" i="2"/>
  <c r="E26" i="5"/>
  <c r="I44" i="2" a="1"/>
  <c r="I44" i="2" s="1"/>
  <c r="I38" i="2"/>
  <c r="I32" i="2" a="1"/>
  <c r="I32" i="2" s="1"/>
  <c r="I18" i="2" a="1"/>
  <c r="I18" i="2" s="1"/>
  <c r="I24" i="2" a="1"/>
  <c r="I24" i="2" s="1"/>
  <c r="B26" i="5"/>
  <c r="D39" i="2"/>
  <c r="D6" i="5" s="1"/>
  <c r="I42" i="2" a="1"/>
  <c r="I42" i="2" s="1"/>
  <c r="I6" i="2" a="1"/>
  <c r="I6" i="2" s="1"/>
  <c r="I26" i="2" a="1"/>
  <c r="I26" i="2" s="1"/>
  <c r="G15" i="4" a="1"/>
  <c r="G15" i="4" s="1"/>
  <c r="I13" i="2" a="1"/>
  <c r="I13" i="2" s="1"/>
  <c r="D28" i="2"/>
  <c r="I14" i="2" a="1"/>
  <c r="I14" i="2" s="1"/>
  <c r="B4" i="5"/>
  <c r="I15" i="2"/>
  <c r="I41" i="2" a="1"/>
  <c r="I41" i="2" s="1"/>
  <c r="G10" i="4" a="1"/>
  <c r="G10" i="4" s="1"/>
  <c r="C36" i="2" a="1"/>
  <c r="C36" i="2" s="1"/>
  <c r="E34" i="2" a="1"/>
  <c r="E34" i="2" s="1"/>
  <c r="D33" i="2" a="1"/>
  <c r="D33" i="2" s="1"/>
  <c r="G5" i="4" a="1"/>
  <c r="G5" i="4" s="1"/>
  <c r="G14" i="4" a="1"/>
  <c r="G14" i="4" s="1"/>
  <c r="D34" i="2" a="1"/>
  <c r="D34" i="2" s="1"/>
  <c r="C33" i="2" a="1"/>
  <c r="C33" i="2" s="1"/>
  <c r="G9" i="4" a="1"/>
  <c r="G9" i="4" s="1"/>
  <c r="G4" i="4" a="1"/>
  <c r="G4" i="4" s="1"/>
  <c r="C34" i="2" a="1"/>
  <c r="C34" i="2" s="1"/>
  <c r="B33" i="2" a="1"/>
  <c r="B33" i="2" s="1"/>
  <c r="G13" i="4" a="1"/>
  <c r="G13" i="4" s="1"/>
  <c r="B34" i="2" a="1"/>
  <c r="B34" i="2" s="1"/>
  <c r="G17" i="4" a="1"/>
  <c r="G17" i="4" s="1"/>
  <c r="G7" i="4" a="1"/>
  <c r="G7" i="4" s="1"/>
  <c r="G6" i="4" a="1"/>
  <c r="G6" i="4" s="1"/>
  <c r="D36" i="2" a="1"/>
  <c r="D36" i="2" s="1"/>
  <c r="E33" i="2" a="1"/>
  <c r="E33" i="2" s="1"/>
  <c r="H38" i="5" a="1"/>
  <c r="H38" i="5" s="1"/>
  <c r="H36" i="5" a="1"/>
  <c r="H36" i="5" s="1"/>
  <c r="G12" i="4" a="1"/>
  <c r="G12" i="4" s="1"/>
  <c r="H29" i="5" a="1"/>
  <c r="H29" i="5" s="1"/>
  <c r="E28" i="2"/>
  <c r="C4" i="5"/>
  <c r="I20" i="2" a="1"/>
  <c r="I20" i="2" s="1"/>
  <c r="I40" i="2" a="1"/>
  <c r="I40" i="2" s="1"/>
  <c r="I43" i="2" a="1"/>
  <c r="I43" i="2" s="1"/>
  <c r="D4" i="5"/>
  <c r="I11" i="2" a="1"/>
  <c r="I11" i="2" s="1"/>
  <c r="I12" i="2" a="1"/>
  <c r="I12" i="2" s="1"/>
  <c r="C26" i="5"/>
  <c r="M11" i="13"/>
  <c r="E11" i="16" s="1" a="1"/>
  <c r="E11" i="16" s="1"/>
  <c r="Y11" i="13"/>
  <c r="I11" i="16" s="1" a="1"/>
  <c r="I11" i="16" s="1"/>
  <c r="AK11" i="13"/>
  <c r="M11" i="16" s="1" a="1"/>
  <c r="M11" i="16" s="1"/>
  <c r="AW11" i="13"/>
  <c r="Q11" i="16" s="1" a="1"/>
  <c r="Q11" i="16" s="1"/>
  <c r="BI11" i="13"/>
  <c r="U11" i="16" s="1" a="1"/>
  <c r="U11" i="16" s="1"/>
  <c r="I5" i="2" l="1" a="1"/>
  <c r="I5" i="2" s="1"/>
  <c r="E16" i="5"/>
  <c r="D16" i="5"/>
  <c r="B16" i="5"/>
  <c r="B7" i="2"/>
  <c r="I28" i="2" a="1"/>
  <c r="I28" i="2" s="1"/>
  <c r="I36" i="2" a="1"/>
  <c r="I36" i="2" s="1"/>
  <c r="I34" i="2" a="1"/>
  <c r="I34" i="2" s="1"/>
  <c r="H26" i="5" a="1"/>
  <c r="H26" i="5" s="1"/>
  <c r="H4" i="5" a="1"/>
  <c r="H4" i="5" s="1"/>
  <c r="D76" i="2"/>
  <c r="D40" i="5" s="1"/>
  <c r="E76" i="2"/>
  <c r="E40" i="5" s="1"/>
  <c r="B76" i="2"/>
  <c r="C76" i="2"/>
  <c r="C40" i="5" s="1"/>
  <c r="E39" i="2"/>
  <c r="D35" i="2"/>
  <c r="D37" i="2" s="1"/>
  <c r="I33" i="2" a="1"/>
  <c r="I33" i="2" s="1"/>
  <c r="B35" i="2"/>
  <c r="C35" i="2"/>
  <c r="C37" i="2" s="1"/>
  <c r="E35" i="2"/>
  <c r="E37" i="2" s="1"/>
  <c r="E10" i="2" l="1"/>
  <c r="I7" i="2" a="1"/>
  <c r="I7" i="2" s="1"/>
  <c r="B10" i="2"/>
  <c r="C10" i="2"/>
  <c r="D10" i="2"/>
  <c r="B15" i="1"/>
  <c r="H16" i="5" a="1"/>
  <c r="H16" i="5" s="1"/>
  <c r="I76" i="2" a="1"/>
  <c r="I76" i="2" s="1"/>
  <c r="E6" i="5"/>
  <c r="H6" i="5" s="1" a="1"/>
  <c r="H6" i="5" s="1"/>
  <c r="I39" i="2" a="1"/>
  <c r="I39" i="2" s="1"/>
  <c r="E78" i="2"/>
  <c r="B40" i="5"/>
  <c r="H40" i="5" s="1" a="1"/>
  <c r="H40" i="5" s="1"/>
  <c r="E66" i="2"/>
  <c r="C66" i="2"/>
  <c r="C78" i="2"/>
  <c r="D78" i="2"/>
  <c r="D66" i="2"/>
  <c r="B37" i="2"/>
  <c r="I35" i="2" a="1"/>
  <c r="I35" i="2" s="1"/>
  <c r="B6" i="7" l="1"/>
  <c r="B6" i="17" s="1"/>
  <c r="B13" i="6"/>
  <c r="D16" i="2"/>
  <c r="D17" i="2"/>
  <c r="C17" i="2"/>
  <c r="C16" i="2"/>
  <c r="B29" i="2"/>
  <c r="B17" i="2"/>
  <c r="I17" i="2" s="1" a="1"/>
  <c r="I17" i="2" s="1"/>
  <c r="B16" i="2"/>
  <c r="I10" i="2" a="1"/>
  <c r="I10" i="2" s="1"/>
  <c r="E16" i="2"/>
  <c r="E17" i="2"/>
  <c r="B78" i="2"/>
  <c r="I78" i="2" s="1" a="1"/>
  <c r="I78" i="2" s="1"/>
  <c r="B66" i="2"/>
  <c r="I66" i="2" s="1" a="1"/>
  <c r="I66" i="2" s="1"/>
  <c r="B23" i="6"/>
  <c r="I37" i="2" a="1"/>
  <c r="I37" i="2" s="1"/>
  <c r="V10" i="7" l="1"/>
  <c r="W10" i="7"/>
  <c r="X10" i="7"/>
  <c r="C14" i="7"/>
  <c r="K14" i="7"/>
  <c r="S14" i="7"/>
  <c r="AQ14" i="7"/>
  <c r="AY14" i="7"/>
  <c r="BG14" i="7"/>
  <c r="BO14" i="7"/>
  <c r="BW14" i="7"/>
  <c r="CE14" i="7"/>
  <c r="CM14" i="7"/>
  <c r="CU14" i="7"/>
  <c r="DC14" i="7"/>
  <c r="DK14" i="7"/>
  <c r="DS14" i="7"/>
  <c r="EA14" i="7"/>
  <c r="EI14" i="7"/>
  <c r="EQ14" i="7"/>
  <c r="EY14" i="7"/>
  <c r="FG14" i="7"/>
  <c r="FO14" i="7"/>
  <c r="FW14" i="7"/>
  <c r="D14" i="7"/>
  <c r="L14" i="7"/>
  <c r="T14" i="7"/>
  <c r="AR14" i="7"/>
  <c r="AZ14" i="7"/>
  <c r="BH14" i="7"/>
  <c r="BP14" i="7"/>
  <c r="BX14" i="7"/>
  <c r="CF14" i="7"/>
  <c r="CN14" i="7"/>
  <c r="CV14" i="7"/>
  <c r="DD14" i="7"/>
  <c r="DL14" i="7"/>
  <c r="DT14" i="7"/>
  <c r="EB14" i="7"/>
  <c r="EJ14" i="7"/>
  <c r="ER14" i="7"/>
  <c r="EZ14" i="7"/>
  <c r="FH14" i="7"/>
  <c r="FP14" i="7"/>
  <c r="FX14" i="7"/>
  <c r="E14" i="7"/>
  <c r="M14" i="7"/>
  <c r="U14" i="7"/>
  <c r="AS14" i="7"/>
  <c r="BA14" i="7"/>
  <c r="BI14" i="7"/>
  <c r="BQ14" i="7"/>
  <c r="BY14" i="7"/>
  <c r="CG14" i="7"/>
  <c r="CO14" i="7"/>
  <c r="CW14" i="7"/>
  <c r="DE14" i="7"/>
  <c r="DM14" i="7"/>
  <c r="DU14" i="7"/>
  <c r="EC14" i="7"/>
  <c r="EK14" i="7"/>
  <c r="ES14" i="7"/>
  <c r="FA14" i="7"/>
  <c r="FI14" i="7"/>
  <c r="FQ14" i="7"/>
  <c r="FY14" i="7"/>
  <c r="F14" i="7"/>
  <c r="N14" i="7"/>
  <c r="V14" i="7"/>
  <c r="AL14" i="7"/>
  <c r="AT14" i="7"/>
  <c r="BB14" i="7"/>
  <c r="BJ14" i="7"/>
  <c r="BR14" i="7"/>
  <c r="BZ14" i="7"/>
  <c r="CH14" i="7"/>
  <c r="CP14" i="7"/>
  <c r="CX14" i="7"/>
  <c r="DF14" i="7"/>
  <c r="DN14" i="7"/>
  <c r="DV14" i="7"/>
  <c r="ED14" i="7"/>
  <c r="EL14" i="7"/>
  <c r="ET14" i="7"/>
  <c r="FB14" i="7"/>
  <c r="FJ14" i="7"/>
  <c r="FR14" i="7"/>
  <c r="FZ14" i="7"/>
  <c r="G14" i="7"/>
  <c r="O14" i="7"/>
  <c r="W14" i="7"/>
  <c r="AM14" i="7"/>
  <c r="AU14" i="7"/>
  <c r="BC14" i="7"/>
  <c r="BK14" i="7"/>
  <c r="BS14" i="7"/>
  <c r="CA14" i="7"/>
  <c r="CI14" i="7"/>
  <c r="CQ14" i="7"/>
  <c r="CY14" i="7"/>
  <c r="DG14" i="7"/>
  <c r="DO14" i="7"/>
  <c r="DW14" i="7"/>
  <c r="EE14" i="7"/>
  <c r="EM14" i="7"/>
  <c r="EU14" i="7"/>
  <c r="FC14" i="7"/>
  <c r="FK14" i="7"/>
  <c r="FS14" i="7"/>
  <c r="H14" i="7"/>
  <c r="P14" i="7"/>
  <c r="X14" i="7"/>
  <c r="AN14" i="7"/>
  <c r="AV14" i="7"/>
  <c r="BD14" i="7"/>
  <c r="BL14" i="7"/>
  <c r="BT14" i="7"/>
  <c r="CB14" i="7"/>
  <c r="CJ14" i="7"/>
  <c r="CR14" i="7"/>
  <c r="CZ14" i="7"/>
  <c r="DH14" i="7"/>
  <c r="DP14" i="7"/>
  <c r="DX14" i="7"/>
  <c r="EF14" i="7"/>
  <c r="EN14" i="7"/>
  <c r="EV14" i="7"/>
  <c r="FD14" i="7"/>
  <c r="FL14" i="7"/>
  <c r="FT14" i="7"/>
  <c r="I14" i="7"/>
  <c r="Q14" i="7"/>
  <c r="Y14" i="7"/>
  <c r="AO14" i="7"/>
  <c r="AW14" i="7"/>
  <c r="BE14" i="7"/>
  <c r="BM14" i="7"/>
  <c r="BU14" i="7"/>
  <c r="CC14" i="7"/>
  <c r="CK14" i="7"/>
  <c r="CS14" i="7"/>
  <c r="DA14" i="7"/>
  <c r="DI14" i="7"/>
  <c r="DQ14" i="7"/>
  <c r="DY14" i="7"/>
  <c r="EG14" i="7"/>
  <c r="EO14" i="7"/>
  <c r="EW14" i="7"/>
  <c r="FE14" i="7"/>
  <c r="FM14" i="7"/>
  <c r="FU14" i="7"/>
  <c r="J14" i="7"/>
  <c r="R14" i="7"/>
  <c r="Z14" i="7"/>
  <c r="AP14" i="7"/>
  <c r="AX14" i="7"/>
  <c r="BF14" i="7"/>
  <c r="BN14" i="7"/>
  <c r="BV14" i="7"/>
  <c r="CD14" i="7"/>
  <c r="CL14" i="7"/>
  <c r="CT14" i="7"/>
  <c r="DB14" i="7"/>
  <c r="DJ14" i="7"/>
  <c r="DR14" i="7"/>
  <c r="DZ14" i="7"/>
  <c r="EH14" i="7"/>
  <c r="EP14" i="7"/>
  <c r="EX14" i="7"/>
  <c r="FF14" i="7"/>
  <c r="FN14" i="7"/>
  <c r="FV14" i="7"/>
  <c r="G15" i="7"/>
  <c r="O15" i="7"/>
  <c r="W15" i="7"/>
  <c r="AE15" i="7"/>
  <c r="AM15" i="7"/>
  <c r="AU15" i="7"/>
  <c r="BC15" i="7"/>
  <c r="BK15" i="7"/>
  <c r="BS15" i="7"/>
  <c r="CA15" i="7"/>
  <c r="CI15" i="7"/>
  <c r="CQ15" i="7"/>
  <c r="CY15" i="7"/>
  <c r="DG15" i="7"/>
  <c r="DO15" i="7"/>
  <c r="DW15" i="7"/>
  <c r="EE15" i="7"/>
  <c r="EM15" i="7"/>
  <c r="EU15" i="7"/>
  <c r="FC15" i="7"/>
  <c r="FK15" i="7"/>
  <c r="FS15" i="7"/>
  <c r="H15" i="7"/>
  <c r="P15" i="7"/>
  <c r="X15" i="7"/>
  <c r="AF15" i="7"/>
  <c r="AN15" i="7"/>
  <c r="AV15" i="7"/>
  <c r="BD15" i="7"/>
  <c r="BL15" i="7"/>
  <c r="BT15" i="7"/>
  <c r="CB15" i="7"/>
  <c r="CJ15" i="7"/>
  <c r="CR15" i="7"/>
  <c r="CZ15" i="7"/>
  <c r="DH15" i="7"/>
  <c r="DP15" i="7"/>
  <c r="DX15" i="7"/>
  <c r="EF15" i="7"/>
  <c r="EN15" i="7"/>
  <c r="EV15" i="7"/>
  <c r="FD15" i="7"/>
  <c r="FL15" i="7"/>
  <c r="FT15" i="7"/>
  <c r="I15" i="7"/>
  <c r="Q15" i="7"/>
  <c r="Y15" i="7"/>
  <c r="AG15" i="7"/>
  <c r="AO15" i="7"/>
  <c r="AW15" i="7"/>
  <c r="BE15" i="7"/>
  <c r="BM15" i="7"/>
  <c r="BU15" i="7"/>
  <c r="CC15" i="7"/>
  <c r="CK15" i="7"/>
  <c r="CS15" i="7"/>
  <c r="DA15" i="7"/>
  <c r="DI15" i="7"/>
  <c r="DQ15" i="7"/>
  <c r="DY15" i="7"/>
  <c r="EG15" i="7"/>
  <c r="EO15" i="7"/>
  <c r="EW15" i="7"/>
  <c r="FE15" i="7"/>
  <c r="FM15" i="7"/>
  <c r="FU15" i="7"/>
  <c r="J15" i="7"/>
  <c r="R15" i="7"/>
  <c r="Z15" i="7"/>
  <c r="AH15" i="7"/>
  <c r="AP15" i="7"/>
  <c r="AX15" i="7"/>
  <c r="BF15" i="7"/>
  <c r="BN15" i="7"/>
  <c r="BV15" i="7"/>
  <c r="CD15" i="7"/>
  <c r="CL15" i="7"/>
  <c r="CT15" i="7"/>
  <c r="DB15" i="7"/>
  <c r="DJ15" i="7"/>
  <c r="DR15" i="7"/>
  <c r="DZ15" i="7"/>
  <c r="EH15" i="7"/>
  <c r="EP15" i="7"/>
  <c r="EX15" i="7"/>
  <c r="FF15" i="7"/>
  <c r="FN15" i="7"/>
  <c r="FV15" i="7"/>
  <c r="C15" i="7"/>
  <c r="K15" i="7"/>
  <c r="S15" i="7"/>
  <c r="AA15" i="7"/>
  <c r="AI15" i="7"/>
  <c r="AQ15" i="7"/>
  <c r="AY15" i="7"/>
  <c r="BG15" i="7"/>
  <c r="BO15" i="7"/>
  <c r="BW15" i="7"/>
  <c r="CE15" i="7"/>
  <c r="CM15" i="7"/>
  <c r="CU15" i="7"/>
  <c r="DC15" i="7"/>
  <c r="DK15" i="7"/>
  <c r="DS15" i="7"/>
  <c r="EA15" i="7"/>
  <c r="EI15" i="7"/>
  <c r="EQ15" i="7"/>
  <c r="EY15" i="7"/>
  <c r="FG15" i="7"/>
  <c r="FO15" i="7"/>
  <c r="FW15" i="7"/>
  <c r="D15" i="7"/>
  <c r="L15" i="7"/>
  <c r="T15" i="7"/>
  <c r="AB15" i="7"/>
  <c r="AJ15" i="7"/>
  <c r="AR15" i="7"/>
  <c r="AZ15" i="7"/>
  <c r="BH15" i="7"/>
  <c r="BP15" i="7"/>
  <c r="BX15" i="7"/>
  <c r="CF15" i="7"/>
  <c r="CN15" i="7"/>
  <c r="CV15" i="7"/>
  <c r="DD15" i="7"/>
  <c r="DL15" i="7"/>
  <c r="DT15" i="7"/>
  <c r="EB15" i="7"/>
  <c r="EJ15" i="7"/>
  <c r="ER15" i="7"/>
  <c r="EZ15" i="7"/>
  <c r="FH15" i="7"/>
  <c r="FP15" i="7"/>
  <c r="FX15" i="7"/>
  <c r="E15" i="7"/>
  <c r="M15" i="7"/>
  <c r="U15" i="7"/>
  <c r="AC15" i="7"/>
  <c r="AS15" i="7"/>
  <c r="BA15" i="7"/>
  <c r="BI15" i="7"/>
  <c r="BQ15" i="7"/>
  <c r="BY15" i="7"/>
  <c r="CG15" i="7"/>
  <c r="CO15" i="7"/>
  <c r="CW15" i="7"/>
  <c r="DE15" i="7"/>
  <c r="DM15" i="7"/>
  <c r="DU15" i="7"/>
  <c r="EC15" i="7"/>
  <c r="EK15" i="7"/>
  <c r="ES15" i="7"/>
  <c r="FA15" i="7"/>
  <c r="FI15" i="7"/>
  <c r="FQ15" i="7"/>
  <c r="FY15" i="7"/>
  <c r="F15" i="7"/>
  <c r="N15" i="7"/>
  <c r="V15" i="7"/>
  <c r="AD15" i="7"/>
  <c r="AL15" i="7"/>
  <c r="AT15" i="7"/>
  <c r="BB15" i="7"/>
  <c r="BJ15" i="7"/>
  <c r="BR15" i="7"/>
  <c r="BZ15" i="7"/>
  <c r="CH15" i="7"/>
  <c r="CP15" i="7"/>
  <c r="CX15" i="7"/>
  <c r="DF15" i="7"/>
  <c r="DN15" i="7"/>
  <c r="DV15" i="7"/>
  <c r="ED15" i="7"/>
  <c r="EL15" i="7"/>
  <c r="ET15" i="7"/>
  <c r="FB15" i="7"/>
  <c r="FJ15" i="7"/>
  <c r="FR15" i="7"/>
  <c r="FZ15" i="7"/>
  <c r="I38" i="7"/>
  <c r="I24" i="11" s="1"/>
  <c r="Q38" i="7"/>
  <c r="Y38" i="7"/>
  <c r="Y24" i="11" s="1"/>
  <c r="AG38" i="7"/>
  <c r="AG24" i="11" s="1"/>
  <c r="AO38" i="7"/>
  <c r="AW38" i="7"/>
  <c r="AW24" i="11" s="1"/>
  <c r="BE38" i="7"/>
  <c r="BE24" i="11" s="1"/>
  <c r="BM38" i="7"/>
  <c r="BU38" i="7"/>
  <c r="CC38" i="7"/>
  <c r="CK38" i="7"/>
  <c r="CS38" i="7"/>
  <c r="DA38" i="7"/>
  <c r="DI38" i="7"/>
  <c r="DQ38" i="7"/>
  <c r="DY38" i="7"/>
  <c r="EG38" i="7"/>
  <c r="EO38" i="7"/>
  <c r="EW38" i="7"/>
  <c r="FE38" i="7"/>
  <c r="FM38" i="7"/>
  <c r="FU38" i="7"/>
  <c r="D38" i="7"/>
  <c r="D24" i="11" s="1"/>
  <c r="L38" i="7"/>
  <c r="L24" i="11" s="1"/>
  <c r="T38" i="7"/>
  <c r="AB38" i="7"/>
  <c r="AB24" i="11" s="1"/>
  <c r="AJ38" i="7"/>
  <c r="AJ24" i="11" s="1"/>
  <c r="AR38" i="7"/>
  <c r="AZ38" i="7"/>
  <c r="AZ24" i="11" s="1"/>
  <c r="BH38" i="7"/>
  <c r="BH24" i="11" s="1"/>
  <c r="BP38" i="7"/>
  <c r="BX38" i="7"/>
  <c r="CF38" i="7"/>
  <c r="CN38" i="7"/>
  <c r="CV38" i="7"/>
  <c r="DD38" i="7"/>
  <c r="DL38" i="7"/>
  <c r="DT38" i="7"/>
  <c r="EB38" i="7"/>
  <c r="EJ38" i="7"/>
  <c r="ER38" i="7"/>
  <c r="EZ38" i="7"/>
  <c r="FH38" i="7"/>
  <c r="FP38" i="7"/>
  <c r="FX38" i="7"/>
  <c r="F38" i="7"/>
  <c r="F24" i="11" s="1"/>
  <c r="P38" i="7"/>
  <c r="P24" i="11" s="1"/>
  <c r="AA38" i="7"/>
  <c r="AA24" i="11" s="1"/>
  <c r="AL38" i="7"/>
  <c r="AV38" i="7"/>
  <c r="AV24" i="11" s="1"/>
  <c r="BG38" i="7"/>
  <c r="BR38" i="7"/>
  <c r="CB38" i="7"/>
  <c r="CM38" i="7"/>
  <c r="CX38" i="7"/>
  <c r="DH38" i="7"/>
  <c r="DS38" i="7"/>
  <c r="ED38" i="7"/>
  <c r="EN38" i="7"/>
  <c r="EY38" i="7"/>
  <c r="FJ38" i="7"/>
  <c r="FT38" i="7"/>
  <c r="K38" i="7"/>
  <c r="V38" i="7"/>
  <c r="V24" i="11" s="1"/>
  <c r="AF38" i="7"/>
  <c r="AQ38" i="7"/>
  <c r="AQ24" i="11" s="1"/>
  <c r="BB38" i="7"/>
  <c r="BB24" i="11" s="1"/>
  <c r="BL38" i="7"/>
  <c r="BW38" i="7"/>
  <c r="CH38" i="7"/>
  <c r="CR38" i="7"/>
  <c r="DC38" i="7"/>
  <c r="DN38" i="7"/>
  <c r="DX38" i="7"/>
  <c r="EI38" i="7"/>
  <c r="ET38" i="7"/>
  <c r="FD38" i="7"/>
  <c r="FO38" i="7"/>
  <c r="FZ38" i="7"/>
  <c r="M38" i="7"/>
  <c r="M24" i="11" s="1"/>
  <c r="W38" i="7"/>
  <c r="AH38" i="7"/>
  <c r="AH24" i="11" s="1"/>
  <c r="AS38" i="7"/>
  <c r="AS24" i="11" s="1"/>
  <c r="BC38" i="7"/>
  <c r="BC24" i="11" s="1"/>
  <c r="BN38" i="7"/>
  <c r="BY38" i="7"/>
  <c r="CI38" i="7"/>
  <c r="CT38" i="7"/>
  <c r="DE38" i="7"/>
  <c r="DO38" i="7"/>
  <c r="DZ38" i="7"/>
  <c r="EK38" i="7"/>
  <c r="EU38" i="7"/>
  <c r="FF38" i="7"/>
  <c r="FQ38" i="7"/>
  <c r="E38" i="7"/>
  <c r="O38" i="7"/>
  <c r="O24" i="11" s="1"/>
  <c r="Z38" i="7"/>
  <c r="AU38" i="7"/>
  <c r="BF38" i="7"/>
  <c r="BF24" i="11" s="1"/>
  <c r="BQ38" i="7"/>
  <c r="CA38" i="7"/>
  <c r="CL38" i="7"/>
  <c r="CW38" i="7"/>
  <c r="DG38" i="7"/>
  <c r="DR38" i="7"/>
  <c r="EC38" i="7"/>
  <c r="EM38" i="7"/>
  <c r="EX38" i="7"/>
  <c r="FI38" i="7"/>
  <c r="FS38" i="7"/>
  <c r="G38" i="7"/>
  <c r="G24" i="11" s="1"/>
  <c r="AC38" i="7"/>
  <c r="AX38" i="7"/>
  <c r="BS38" i="7"/>
  <c r="CO38" i="7"/>
  <c r="DJ38" i="7"/>
  <c r="EE38" i="7"/>
  <c r="FA38" i="7"/>
  <c r="FV38" i="7"/>
  <c r="H38" i="7"/>
  <c r="AD38" i="7"/>
  <c r="AD24" i="11" s="1"/>
  <c r="AY38" i="7"/>
  <c r="AY24" i="11" s="1"/>
  <c r="BT38" i="7"/>
  <c r="CP38" i="7"/>
  <c r="DK38" i="7"/>
  <c r="EF38" i="7"/>
  <c r="FB38" i="7"/>
  <c r="FW38" i="7"/>
  <c r="J38" i="7"/>
  <c r="J24" i="11" s="1"/>
  <c r="AE38" i="7"/>
  <c r="AE24" i="11" s="1"/>
  <c r="BA38" i="7"/>
  <c r="BV38" i="7"/>
  <c r="CQ38" i="7"/>
  <c r="DM38" i="7"/>
  <c r="EH38" i="7"/>
  <c r="FC38" i="7"/>
  <c r="FY38" i="7"/>
  <c r="N38" i="7"/>
  <c r="AI38" i="7"/>
  <c r="BD38" i="7"/>
  <c r="BZ38" i="7"/>
  <c r="CU38" i="7"/>
  <c r="DP38" i="7"/>
  <c r="EL38" i="7"/>
  <c r="FG38" i="7"/>
  <c r="R38" i="7"/>
  <c r="R24" i="11" s="1"/>
  <c r="AM38" i="7"/>
  <c r="AM24" i="11" s="1"/>
  <c r="BI38" i="7"/>
  <c r="BI24" i="11" s="1"/>
  <c r="CD38" i="7"/>
  <c r="CY38" i="7"/>
  <c r="DU38" i="7"/>
  <c r="EP38" i="7"/>
  <c r="FK38" i="7"/>
  <c r="S38" i="7"/>
  <c r="S24" i="11" s="1"/>
  <c r="AN38" i="7"/>
  <c r="AN24" i="11" s="1"/>
  <c r="BJ38" i="7"/>
  <c r="CE38" i="7"/>
  <c r="CZ38" i="7"/>
  <c r="DV38" i="7"/>
  <c r="EQ38" i="7"/>
  <c r="FL38" i="7"/>
  <c r="U38" i="7"/>
  <c r="U24" i="11" s="1"/>
  <c r="AP38" i="7"/>
  <c r="AP24" i="11" s="1"/>
  <c r="BK38" i="7"/>
  <c r="CG38" i="7"/>
  <c r="DB38" i="7"/>
  <c r="DW38" i="7"/>
  <c r="ES38" i="7"/>
  <c r="FN38" i="7"/>
  <c r="C38" i="7"/>
  <c r="C24" i="11" s="1"/>
  <c r="X38" i="7"/>
  <c r="X24" i="11" s="1"/>
  <c r="AT38" i="7"/>
  <c r="AT24" i="11" s="1"/>
  <c r="BO38" i="7"/>
  <c r="CJ38" i="7"/>
  <c r="DF38" i="7"/>
  <c r="EA38" i="7"/>
  <c r="EV38" i="7"/>
  <c r="FR38" i="7"/>
  <c r="B22" i="7"/>
  <c r="F22" i="7"/>
  <c r="N22" i="7"/>
  <c r="V22" i="7"/>
  <c r="AD22" i="7"/>
  <c r="H22" i="7"/>
  <c r="P22" i="7"/>
  <c r="X22" i="7"/>
  <c r="AF22" i="7"/>
  <c r="C22" i="7"/>
  <c r="M22" i="7"/>
  <c r="Y22" i="7"/>
  <c r="AI22" i="7"/>
  <c r="G22" i="7"/>
  <c r="R22" i="7"/>
  <c r="AB22" i="7"/>
  <c r="I22" i="7"/>
  <c r="U22" i="7"/>
  <c r="AJ22" i="7"/>
  <c r="J22" i="7"/>
  <c r="W22" i="7"/>
  <c r="K22" i="7"/>
  <c r="Z22" i="7"/>
  <c r="L22" i="7"/>
  <c r="AA22" i="7"/>
  <c r="O22" i="7"/>
  <c r="AC22" i="7"/>
  <c r="Q22" i="7"/>
  <c r="AE22" i="7"/>
  <c r="D22" i="7"/>
  <c r="S22" i="7"/>
  <c r="AG22" i="7"/>
  <c r="E22" i="7"/>
  <c r="T22" i="7"/>
  <c r="AH22" i="7"/>
  <c r="B14" i="7"/>
  <c r="B38" i="7"/>
  <c r="B15" i="7"/>
  <c r="B14" i="6"/>
  <c r="C29" i="2"/>
  <c r="C25" i="2" s="1"/>
  <c r="E5" i="5"/>
  <c r="E7" i="5" s="1"/>
  <c r="E11" i="5" s="1"/>
  <c r="E29" i="2"/>
  <c r="I16" i="2" a="1"/>
  <c r="I16" i="2" s="1"/>
  <c r="B25" i="2"/>
  <c r="I25" i="2" s="1" a="1"/>
  <c r="I25" i="2" s="1"/>
  <c r="B67" i="2"/>
  <c r="I29" i="2" a="1"/>
  <c r="I29" i="2" s="1"/>
  <c r="B24" i="5"/>
  <c r="B3" i="5"/>
  <c r="B21" i="2"/>
  <c r="D29" i="2"/>
  <c r="D5" i="5"/>
  <c r="D7" i="5" s="1"/>
  <c r="G22" i="17" l="1"/>
  <c r="L15" i="17"/>
  <c r="N14" i="17"/>
  <c r="R15" i="17"/>
  <c r="E22" i="17"/>
  <c r="S15" i="17"/>
  <c r="O14" i="17"/>
  <c r="K22" i="17"/>
  <c r="Q14" i="17"/>
  <c r="K15" i="17"/>
  <c r="H15" i="17"/>
  <c r="D22" i="17"/>
  <c r="N15" i="17"/>
  <c r="U15" i="17"/>
  <c r="G14" i="17"/>
  <c r="C15" i="17"/>
  <c r="D15" i="17"/>
  <c r="I22" i="17"/>
  <c r="E24" i="11"/>
  <c r="D26" i="15" s="1"/>
  <c r="C38" i="17"/>
  <c r="I15" i="17"/>
  <c r="W24" i="11"/>
  <c r="I38" i="17"/>
  <c r="E15" i="17"/>
  <c r="D14" i="17"/>
  <c r="C14" i="17"/>
  <c r="F22" i="17"/>
  <c r="O15" i="17"/>
  <c r="E14" i="17"/>
  <c r="H24" i="11"/>
  <c r="E26" i="15" s="1"/>
  <c r="D38" i="17"/>
  <c r="AO24" i="11"/>
  <c r="P26" i="15" s="1"/>
  <c r="O38" i="17"/>
  <c r="R14" i="17"/>
  <c r="F14" i="17"/>
  <c r="P14" i="17"/>
  <c r="H22" i="17"/>
  <c r="L22" i="17"/>
  <c r="AI24" i="11"/>
  <c r="BA24" i="11"/>
  <c r="T26" i="15" s="1"/>
  <c r="S38" i="17"/>
  <c r="AR24" i="11"/>
  <c r="P38" i="17"/>
  <c r="T14" i="17"/>
  <c r="I14" i="17"/>
  <c r="H14" i="17"/>
  <c r="AF24" i="11"/>
  <c r="L38" i="17"/>
  <c r="T24" i="11"/>
  <c r="I26" i="15" s="1"/>
  <c r="H38" i="17"/>
  <c r="N24" i="11"/>
  <c r="G26" i="15" s="1"/>
  <c r="F38" i="17"/>
  <c r="AU24" i="11"/>
  <c r="R26" i="15" s="1"/>
  <c r="Q38" i="17"/>
  <c r="BG24" i="11"/>
  <c r="V26" i="15" s="1"/>
  <c r="U38" i="17"/>
  <c r="F15" i="17"/>
  <c r="G15" i="17"/>
  <c r="Q15" i="17"/>
  <c r="S14" i="17"/>
  <c r="AC24" i="11"/>
  <c r="L26" i="15" s="1"/>
  <c r="K38" i="17"/>
  <c r="AL24" i="11"/>
  <c r="N38" i="17"/>
  <c r="K24" i="11"/>
  <c r="F26" i="15" s="1"/>
  <c r="E38" i="17"/>
  <c r="BD24" i="11"/>
  <c r="U26" i="15" s="1"/>
  <c r="T38" i="17"/>
  <c r="C22" i="17"/>
  <c r="J22" i="17"/>
  <c r="AX24" i="11"/>
  <c r="S26" i="15" s="1"/>
  <c r="R38" i="17"/>
  <c r="Z24" i="11"/>
  <c r="K26" i="15" s="1"/>
  <c r="J38" i="17"/>
  <c r="Q24" i="11"/>
  <c r="H26" i="15" s="1"/>
  <c r="G38" i="17"/>
  <c r="P15" i="17"/>
  <c r="J15" i="17"/>
  <c r="T15" i="17"/>
  <c r="U14" i="17"/>
  <c r="B15" i="17"/>
  <c r="B14" i="17"/>
  <c r="B24" i="11"/>
  <c r="B38" i="17"/>
  <c r="B23" i="7"/>
  <c r="B22" i="17"/>
  <c r="BF36" i="7"/>
  <c r="BF20" i="11" s="1"/>
  <c r="DS36" i="7"/>
  <c r="FZ36" i="7"/>
  <c r="EE36" i="7"/>
  <c r="CM36" i="7"/>
  <c r="FQ36" i="7"/>
  <c r="CI36" i="7"/>
  <c r="FP29" i="7"/>
  <c r="BL36" i="7"/>
  <c r="DV29" i="7"/>
  <c r="FC36" i="7"/>
  <c r="BV36" i="7"/>
  <c r="EN29" i="7"/>
  <c r="FL36" i="7"/>
  <c r="CE36" i="7"/>
  <c r="EL29" i="7"/>
  <c r="AX36" i="7"/>
  <c r="CR29" i="7"/>
  <c r="AW29" i="7"/>
  <c r="EZ29" i="7"/>
  <c r="FR36" i="7"/>
  <c r="CJ36" i="7"/>
  <c r="FR29" i="7"/>
  <c r="FX36" i="7"/>
  <c r="DL36" i="7"/>
  <c r="AZ36" i="7"/>
  <c r="AZ20" i="11" s="1"/>
  <c r="EG29" i="7"/>
  <c r="I29" i="7"/>
  <c r="DQ36" i="7"/>
  <c r="BE36" i="7"/>
  <c r="BE20" i="11" s="1"/>
  <c r="ER29" i="7"/>
  <c r="EU29" i="7"/>
  <c r="CI29" i="7"/>
  <c r="FQ29" i="7"/>
  <c r="DE29" i="7"/>
  <c r="AS29" i="7"/>
  <c r="FG29" i="7"/>
  <c r="CU29" i="7"/>
  <c r="EX29" i="7"/>
  <c r="CL29" i="7"/>
  <c r="Q23" i="7"/>
  <c r="L23" i="7"/>
  <c r="L24" i="7" s="1"/>
  <c r="G23" i="7"/>
  <c r="G24" i="7" s="1"/>
  <c r="M23" i="7"/>
  <c r="M24" i="7" s="1"/>
  <c r="B36" i="7"/>
  <c r="AO33" i="7"/>
  <c r="AW33" i="7"/>
  <c r="BE33" i="7"/>
  <c r="BM33" i="7"/>
  <c r="BU33" i="7"/>
  <c r="CC33" i="7"/>
  <c r="CK33" i="7"/>
  <c r="CS33" i="7"/>
  <c r="DA33" i="7"/>
  <c r="DI33" i="7"/>
  <c r="DQ33" i="7"/>
  <c r="DY33" i="7"/>
  <c r="EG33" i="7"/>
  <c r="EO33" i="7"/>
  <c r="EW33" i="7"/>
  <c r="FE33" i="7"/>
  <c r="FM33" i="7"/>
  <c r="FU33" i="7"/>
  <c r="Y35" i="7"/>
  <c r="AG35" i="7"/>
  <c r="AQ33" i="7"/>
  <c r="AY33" i="7"/>
  <c r="BG33" i="7"/>
  <c r="BO33" i="7"/>
  <c r="BW33" i="7"/>
  <c r="CE33" i="7"/>
  <c r="CM33" i="7"/>
  <c r="CU33" i="7"/>
  <c r="DC33" i="7"/>
  <c r="DK33" i="7"/>
  <c r="DS33" i="7"/>
  <c r="EA33" i="7"/>
  <c r="EI33" i="7"/>
  <c r="EQ33" i="7"/>
  <c r="EY33" i="7"/>
  <c r="FG33" i="7"/>
  <c r="FO33" i="7"/>
  <c r="FW33" i="7"/>
  <c r="AA35" i="7"/>
  <c r="AI35" i="7"/>
  <c r="AN33" i="7"/>
  <c r="AZ33" i="7"/>
  <c r="BJ33" i="7"/>
  <c r="BT33" i="7"/>
  <c r="CF33" i="7"/>
  <c r="CP33" i="7"/>
  <c r="CZ33" i="7"/>
  <c r="DL33" i="7"/>
  <c r="DV33" i="7"/>
  <c r="EF33" i="7"/>
  <c r="ER33" i="7"/>
  <c r="FB33" i="7"/>
  <c r="FL33" i="7"/>
  <c r="FX33" i="7"/>
  <c r="V35" i="7"/>
  <c r="AF35" i="7"/>
  <c r="AS33" i="7"/>
  <c r="BC33" i="7"/>
  <c r="BN33" i="7"/>
  <c r="BY33" i="7"/>
  <c r="CI33" i="7"/>
  <c r="CT33" i="7"/>
  <c r="DE33" i="7"/>
  <c r="DO33" i="7"/>
  <c r="DZ33" i="7"/>
  <c r="EK33" i="7"/>
  <c r="EU33" i="7"/>
  <c r="FF33" i="7"/>
  <c r="FQ33" i="7"/>
  <c r="Z35" i="7"/>
  <c r="AK33" i="7"/>
  <c r="AX33" i="7"/>
  <c r="BL33" i="7"/>
  <c r="CA33" i="7"/>
  <c r="CO33" i="7"/>
  <c r="DD33" i="7"/>
  <c r="DR33" i="7"/>
  <c r="EE33" i="7"/>
  <c r="ET33" i="7"/>
  <c r="FI33" i="7"/>
  <c r="FV33" i="7"/>
  <c r="AE35" i="7"/>
  <c r="AL33" i="7"/>
  <c r="BA33" i="7"/>
  <c r="BP33" i="7"/>
  <c r="CB33" i="7"/>
  <c r="CQ33" i="7"/>
  <c r="DF33" i="7"/>
  <c r="DT33" i="7"/>
  <c r="EH33" i="7"/>
  <c r="EV33" i="7"/>
  <c r="FJ33" i="7"/>
  <c r="FY33" i="7"/>
  <c r="AH35" i="7"/>
  <c r="AM33" i="7"/>
  <c r="BB33" i="7"/>
  <c r="BQ33" i="7"/>
  <c r="CD33" i="7"/>
  <c r="CR33" i="7"/>
  <c r="DG33" i="7"/>
  <c r="DU33" i="7"/>
  <c r="EJ33" i="7"/>
  <c r="EX33" i="7"/>
  <c r="FK33" i="7"/>
  <c r="FZ33" i="7"/>
  <c r="AJ35" i="7"/>
  <c r="AP33" i="7"/>
  <c r="BD33" i="7"/>
  <c r="BR33" i="7"/>
  <c r="CG33" i="7"/>
  <c r="CV33" i="7"/>
  <c r="DH33" i="7"/>
  <c r="DW33" i="7"/>
  <c r="EL33" i="7"/>
  <c r="EZ33" i="7"/>
  <c r="FN33" i="7"/>
  <c r="W35" i="7"/>
  <c r="AR33" i="7"/>
  <c r="BF33" i="7"/>
  <c r="BS33" i="7"/>
  <c r="CH33" i="7"/>
  <c r="CW33" i="7"/>
  <c r="DJ33" i="7"/>
  <c r="DX33" i="7"/>
  <c r="EM33" i="7"/>
  <c r="FA33" i="7"/>
  <c r="FP33" i="7"/>
  <c r="X35" i="7"/>
  <c r="AT33" i="7"/>
  <c r="BH33" i="7"/>
  <c r="BV33" i="7"/>
  <c r="CJ33" i="7"/>
  <c r="CX33" i="7"/>
  <c r="DM33" i="7"/>
  <c r="EB33" i="7"/>
  <c r="EN33" i="7"/>
  <c r="FC33" i="7"/>
  <c r="FR33" i="7"/>
  <c r="AB35" i="7"/>
  <c r="AU33" i="7"/>
  <c r="BI33" i="7"/>
  <c r="BX33" i="7"/>
  <c r="CL33" i="7"/>
  <c r="CY33" i="7"/>
  <c r="DN33" i="7"/>
  <c r="EC33" i="7"/>
  <c r="EP33" i="7"/>
  <c r="FD33" i="7"/>
  <c r="FS33" i="7"/>
  <c r="AC35" i="7"/>
  <c r="AV33" i="7"/>
  <c r="BK33" i="7"/>
  <c r="BZ33" i="7"/>
  <c r="CN33" i="7"/>
  <c r="DB33" i="7"/>
  <c r="DP33" i="7"/>
  <c r="ED33" i="7"/>
  <c r="ES33" i="7"/>
  <c r="FH33" i="7"/>
  <c r="FT33" i="7"/>
  <c r="AD35" i="7"/>
  <c r="FK36" i="7"/>
  <c r="CX36" i="7"/>
  <c r="FD36" i="7"/>
  <c r="DJ36" i="7"/>
  <c r="BR36" i="7"/>
  <c r="FF36" i="7"/>
  <c r="BY36" i="7"/>
  <c r="ET29" i="7"/>
  <c r="BB36" i="7"/>
  <c r="BB20" i="11" s="1"/>
  <c r="CZ29" i="7"/>
  <c r="ES36" i="7"/>
  <c r="BK36" i="7"/>
  <c r="DT29" i="7"/>
  <c r="FB36" i="7"/>
  <c r="BT36" i="7"/>
  <c r="DP29" i="7"/>
  <c r="AM36" i="7"/>
  <c r="AM20" i="11" s="1"/>
  <c r="BX29" i="7"/>
  <c r="K36" i="7"/>
  <c r="ED29" i="7"/>
  <c r="FG36" i="7"/>
  <c r="BZ36" i="7"/>
  <c r="EV29" i="7"/>
  <c r="FP36" i="7"/>
  <c r="DD36" i="7"/>
  <c r="AR36" i="7"/>
  <c r="DQ29" i="7"/>
  <c r="FU36" i="7"/>
  <c r="DI36" i="7"/>
  <c r="AW36" i="7"/>
  <c r="AW20" i="11" s="1"/>
  <c r="EB29" i="7"/>
  <c r="D29" i="7"/>
  <c r="EM29" i="7"/>
  <c r="CA29" i="7"/>
  <c r="FI29" i="7"/>
  <c r="CW29" i="7"/>
  <c r="AK29" i="7"/>
  <c r="EY29" i="7"/>
  <c r="CM29" i="7"/>
  <c r="EP29" i="7"/>
  <c r="CD29" i="7"/>
  <c r="W23" i="7"/>
  <c r="C23" i="7"/>
  <c r="C24" i="7" s="1"/>
  <c r="EP36" i="7"/>
  <c r="CB36" i="7"/>
  <c r="EI36" i="7"/>
  <c r="CO36" i="7"/>
  <c r="FS36" i="7"/>
  <c r="EU36" i="7"/>
  <c r="BN36" i="7"/>
  <c r="DX29" i="7"/>
  <c r="AQ36" i="7"/>
  <c r="AQ20" i="11" s="1"/>
  <c r="CC29" i="7"/>
  <c r="EH36" i="7"/>
  <c r="BA36" i="7"/>
  <c r="CX29" i="7"/>
  <c r="EQ36" i="7"/>
  <c r="BJ36" i="7"/>
  <c r="CS29" i="7"/>
  <c r="BB29" i="7"/>
  <c r="FU29" i="7"/>
  <c r="H29" i="7"/>
  <c r="DH29" i="7"/>
  <c r="EV36" i="7"/>
  <c r="BO36" i="7"/>
  <c r="DY29" i="7"/>
  <c r="FH36" i="7"/>
  <c r="CV36" i="7"/>
  <c r="DA29" i="7"/>
  <c r="FM36" i="7"/>
  <c r="DA36" i="7"/>
  <c r="AO36" i="7"/>
  <c r="DL29" i="7"/>
  <c r="EE29" i="7"/>
  <c r="BS29" i="7"/>
  <c r="G29" i="7"/>
  <c r="FA29" i="7"/>
  <c r="CO29" i="7"/>
  <c r="EQ29" i="7"/>
  <c r="CE29" i="7"/>
  <c r="EH29" i="7"/>
  <c r="BV29" i="7"/>
  <c r="J29" i="7"/>
  <c r="AG23" i="7"/>
  <c r="AG24" i="7" s="1"/>
  <c r="J23" i="7"/>
  <c r="J24" i="7" s="1"/>
  <c r="FO36" i="7"/>
  <c r="FI36" i="7"/>
  <c r="DN36" i="7"/>
  <c r="BS36" i="7"/>
  <c r="EK36" i="7"/>
  <c r="BC36" i="7"/>
  <c r="BC20" i="11" s="1"/>
  <c r="BJ29" i="7"/>
  <c r="DW36" i="7"/>
  <c r="AP36" i="7"/>
  <c r="AP20" i="11" s="1"/>
  <c r="CB29" i="7"/>
  <c r="EF36" i="7"/>
  <c r="AY36" i="7"/>
  <c r="AY20" i="11" s="1"/>
  <c r="BZ29" i="7"/>
  <c r="FB29" i="7"/>
  <c r="AU36" i="7"/>
  <c r="CN29" i="7"/>
  <c r="EL36" i="7"/>
  <c r="BD36" i="7"/>
  <c r="DF29" i="7"/>
  <c r="EZ36" i="7"/>
  <c r="CN36" i="7"/>
  <c r="CK29" i="7"/>
  <c r="FE36" i="7"/>
  <c r="CS36" i="7"/>
  <c r="CV29" i="7"/>
  <c r="DW29" i="7"/>
  <c r="BK29" i="7"/>
  <c r="ES29" i="7"/>
  <c r="CG29" i="7"/>
  <c r="EI29" i="7"/>
  <c r="BW29" i="7"/>
  <c r="K29" i="7"/>
  <c r="DZ29" i="7"/>
  <c r="BN29" i="7"/>
  <c r="S23" i="7"/>
  <c r="S24" i="7" s="1"/>
  <c r="AC23" i="7"/>
  <c r="AD23" i="7"/>
  <c r="AD24" i="7" s="1"/>
  <c r="DD29" i="7"/>
  <c r="ET36" i="7"/>
  <c r="CY36" i="7"/>
  <c r="EM36" i="7"/>
  <c r="CR36" i="7"/>
  <c r="FT36" i="7"/>
  <c r="EC36" i="7"/>
  <c r="DZ36" i="7"/>
  <c r="AS36" i="7"/>
  <c r="AS20" i="11" s="1"/>
  <c r="CH29" i="7"/>
  <c r="AN29" i="7"/>
  <c r="DM36" i="7"/>
  <c r="BH29" i="7"/>
  <c r="DV36" i="7"/>
  <c r="AN36" i="7"/>
  <c r="AN20" i="11" s="1"/>
  <c r="BD29" i="7"/>
  <c r="FZ29" i="7"/>
  <c r="L29" i="7"/>
  <c r="EF29" i="7"/>
  <c r="AK36" i="7"/>
  <c r="AK20" i="11" s="1"/>
  <c r="BR29" i="7"/>
  <c r="EA36" i="7"/>
  <c r="AT36" i="7"/>
  <c r="AT20" i="11" s="1"/>
  <c r="CJ29" i="7"/>
  <c r="ER36" i="7"/>
  <c r="CF36" i="7"/>
  <c r="BU29" i="7"/>
  <c r="EW36" i="7"/>
  <c r="CK36" i="7"/>
  <c r="CF29" i="7"/>
  <c r="G36" i="7"/>
  <c r="G20" i="11" s="1"/>
  <c r="DO29" i="7"/>
  <c r="BC29" i="7"/>
  <c r="EK29" i="7"/>
  <c r="BY29" i="7"/>
  <c r="EA29" i="7"/>
  <c r="BO29" i="7"/>
  <c r="C29" i="7"/>
  <c r="DR29" i="7"/>
  <c r="BF29" i="7"/>
  <c r="D23" i="7"/>
  <c r="D24" i="7" s="1"/>
  <c r="O23" i="7"/>
  <c r="O24" i="7" s="1"/>
  <c r="Z23" i="7"/>
  <c r="AF23" i="7"/>
  <c r="V23" i="7"/>
  <c r="V24" i="7" s="1"/>
  <c r="EX36" i="7"/>
  <c r="DX36" i="7"/>
  <c r="CD36" i="7"/>
  <c r="DR36" i="7"/>
  <c r="BW36" i="7"/>
  <c r="EY36" i="7"/>
  <c r="DG36" i="7"/>
  <c r="DO36" i="7"/>
  <c r="BL29" i="7"/>
  <c r="D36" i="7"/>
  <c r="D20" i="11" s="1"/>
  <c r="DB36" i="7"/>
  <c r="AL29" i="7"/>
  <c r="DK36" i="7"/>
  <c r="FD29" i="7"/>
  <c r="BG36" i="7"/>
  <c r="DI29" i="7"/>
  <c r="AV29" i="7"/>
  <c r="DP36" i="7"/>
  <c r="BM29" i="7"/>
  <c r="EJ36" i="7"/>
  <c r="BX36" i="7"/>
  <c r="F36" i="7"/>
  <c r="F20" i="11" s="1"/>
  <c r="BE29" i="7"/>
  <c r="EO36" i="7"/>
  <c r="CC36" i="7"/>
  <c r="L36" i="7"/>
  <c r="L20" i="11" s="1"/>
  <c r="BP29" i="7"/>
  <c r="FS29" i="7"/>
  <c r="DG29" i="7"/>
  <c r="AU29" i="7"/>
  <c r="EC29" i="7"/>
  <c r="BQ29" i="7"/>
  <c r="E29" i="7"/>
  <c r="DS29" i="7"/>
  <c r="BG29" i="7"/>
  <c r="FV29" i="7"/>
  <c r="DJ29" i="7"/>
  <c r="AX29" i="7"/>
  <c r="AH23" i="7"/>
  <c r="AH24" i="7" s="1"/>
  <c r="K23" i="7"/>
  <c r="AJ23" i="7"/>
  <c r="AJ24" i="7" s="1"/>
  <c r="X23" i="7"/>
  <c r="X24" i="7" s="1"/>
  <c r="N23" i="7"/>
  <c r="DU36" i="7"/>
  <c r="DC36" i="7"/>
  <c r="FJ36" i="7"/>
  <c r="CW36" i="7"/>
  <c r="FV36" i="7"/>
  <c r="ED36" i="7"/>
  <c r="CL36" i="7"/>
  <c r="DE36" i="7"/>
  <c r="AR29" i="7"/>
  <c r="FL29" i="7"/>
  <c r="FY36" i="7"/>
  <c r="CQ36" i="7"/>
  <c r="C36" i="7"/>
  <c r="C20" i="11" s="1"/>
  <c r="CZ36" i="7"/>
  <c r="EJ29" i="7"/>
  <c r="AV36" i="7"/>
  <c r="AV20" i="11" s="1"/>
  <c r="CP29" i="7"/>
  <c r="J36" i="7"/>
  <c r="J20" i="11" s="1"/>
  <c r="DF36" i="7"/>
  <c r="AT29" i="7"/>
  <c r="EB36" i="7"/>
  <c r="BP36" i="7"/>
  <c r="FM29" i="7"/>
  <c r="AO29" i="7"/>
  <c r="EG36" i="7"/>
  <c r="BU36" i="7"/>
  <c r="FX29" i="7"/>
  <c r="AZ29" i="7"/>
  <c r="FK29" i="7"/>
  <c r="CY29" i="7"/>
  <c r="AM29" i="7"/>
  <c r="E36" i="7"/>
  <c r="DU29" i="7"/>
  <c r="BI29" i="7"/>
  <c r="FW29" i="7"/>
  <c r="DK29" i="7"/>
  <c r="AY29" i="7"/>
  <c r="FN29" i="7"/>
  <c r="DB29" i="7"/>
  <c r="AP29" i="7"/>
  <c r="T23" i="7"/>
  <c r="U23" i="7"/>
  <c r="U24" i="7" s="1"/>
  <c r="AB23" i="7"/>
  <c r="AB24" i="7" s="1"/>
  <c r="AI23" i="7"/>
  <c r="P23" i="7"/>
  <c r="P24" i="7" s="1"/>
  <c r="F23" i="7"/>
  <c r="F24" i="7" s="1"/>
  <c r="CH36" i="7"/>
  <c r="EN36" i="7"/>
  <c r="CA36" i="7"/>
  <c r="FA36" i="7"/>
  <c r="DH36" i="7"/>
  <c r="BQ36" i="7"/>
  <c r="CT36" i="7"/>
  <c r="H36" i="7"/>
  <c r="EO29" i="7"/>
  <c r="FN36" i="7"/>
  <c r="CG36" i="7"/>
  <c r="FJ29" i="7"/>
  <c r="FW36" i="7"/>
  <c r="CP36" i="7"/>
  <c r="FE29" i="7"/>
  <c r="BI36" i="7"/>
  <c r="BI20" i="11" s="1"/>
  <c r="DN29" i="7"/>
  <c r="AL36" i="7"/>
  <c r="BT29" i="7"/>
  <c r="FT29" i="7"/>
  <c r="F29" i="7"/>
  <c r="CU36" i="7"/>
  <c r="I36" i="7"/>
  <c r="I20" i="11" s="1"/>
  <c r="DT36" i="7"/>
  <c r="BH36" i="7"/>
  <c r="BH20" i="11" s="1"/>
  <c r="EW29" i="7"/>
  <c r="DY36" i="7"/>
  <c r="BM36" i="7"/>
  <c r="FH29" i="7"/>
  <c r="FC29" i="7"/>
  <c r="CQ29" i="7"/>
  <c r="FY29" i="7"/>
  <c r="DM29" i="7"/>
  <c r="BA29" i="7"/>
  <c r="FO29" i="7"/>
  <c r="DC29" i="7"/>
  <c r="AQ29" i="7"/>
  <c r="FF29" i="7"/>
  <c r="CT29" i="7"/>
  <c r="E23" i="7"/>
  <c r="AE23" i="7"/>
  <c r="AE24" i="7" s="1"/>
  <c r="AA23" i="7"/>
  <c r="AA24" i="7" s="1"/>
  <c r="I23" i="7"/>
  <c r="I24" i="7" s="1"/>
  <c r="R23" i="7"/>
  <c r="R24" i="7" s="1"/>
  <c r="Y23" i="7"/>
  <c r="Y24" i="7" s="1"/>
  <c r="H23" i="7"/>
  <c r="B29" i="7"/>
  <c r="E8" i="5"/>
  <c r="E10" i="5"/>
  <c r="B55" i="2"/>
  <c r="I21" i="2" a="1"/>
  <c r="I21" i="2" s="1"/>
  <c r="B22" i="2"/>
  <c r="E67" i="2"/>
  <c r="I67" i="2" s="1" a="1"/>
  <c r="I67" i="2" s="1"/>
  <c r="E62" i="2"/>
  <c r="E73" i="2"/>
  <c r="E24" i="5"/>
  <c r="E3" i="5"/>
  <c r="E17" i="5" s="1"/>
  <c r="E30" i="2"/>
  <c r="I30" i="2" s="1" a="1"/>
  <c r="I30" i="2" s="1"/>
  <c r="D67" i="2"/>
  <c r="D73" i="2"/>
  <c r="D24" i="5"/>
  <c r="D3" i="5"/>
  <c r="D17" i="5" s="1"/>
  <c r="D30" i="2"/>
  <c r="D62" i="2"/>
  <c r="E9" i="5"/>
  <c r="B17" i="5"/>
  <c r="H17" i="5" s="1" a="1"/>
  <c r="H17" i="5" s="1"/>
  <c r="B5" i="5"/>
  <c r="H3" i="5" a="1"/>
  <c r="H3" i="5" s="1"/>
  <c r="B32" i="5"/>
  <c r="H32" i="5" s="1" a="1"/>
  <c r="H32" i="5" s="1"/>
  <c r="H24" i="5" a="1"/>
  <c r="H24" i="5" s="1"/>
  <c r="D10" i="5"/>
  <c r="D8" i="5"/>
  <c r="D9" i="5"/>
  <c r="D11" i="5"/>
  <c r="C67" i="2"/>
  <c r="C3" i="5"/>
  <c r="C21" i="2"/>
  <c r="C24" i="5"/>
  <c r="C32" i="5" s="1"/>
  <c r="B29" i="17" l="1"/>
  <c r="R33" i="17"/>
  <c r="R29" i="17"/>
  <c r="Q29" i="17"/>
  <c r="K35" i="17"/>
  <c r="P33" i="17"/>
  <c r="J35" i="17"/>
  <c r="P29" i="17"/>
  <c r="N29" i="17"/>
  <c r="Q33" i="17"/>
  <c r="T33" i="17"/>
  <c r="N33" i="17"/>
  <c r="T24" i="7"/>
  <c r="H24" i="17" s="1"/>
  <c r="H23" i="17"/>
  <c r="E24" i="7"/>
  <c r="C24" i="17" s="1"/>
  <c r="C23" i="17"/>
  <c r="H20" i="11"/>
  <c r="E22" i="15" s="1"/>
  <c r="D36" i="17"/>
  <c r="C29" i="17"/>
  <c r="AO20" i="11"/>
  <c r="O36" i="17"/>
  <c r="O33" i="17"/>
  <c r="BA20" i="11"/>
  <c r="T22" i="15" s="1"/>
  <c r="S36" i="17"/>
  <c r="L35" i="17"/>
  <c r="K24" i="7"/>
  <c r="E24" i="17" s="1"/>
  <c r="E23" i="17"/>
  <c r="BD20" i="11"/>
  <c r="U22" i="15" s="1"/>
  <c r="T36" i="17"/>
  <c r="H24" i="7"/>
  <c r="D24" i="17" s="1"/>
  <c r="D23" i="17"/>
  <c r="AI24" i="7"/>
  <c r="BG20" i="11"/>
  <c r="V22" i="15" s="1"/>
  <c r="U36" i="17"/>
  <c r="AF24" i="7"/>
  <c r="L24" i="17" s="1"/>
  <c r="L23" i="17"/>
  <c r="D29" i="17"/>
  <c r="U33" i="17"/>
  <c r="Z24" i="7"/>
  <c r="J24" i="17" s="1"/>
  <c r="J23" i="17"/>
  <c r="AU20" i="11"/>
  <c r="R22" i="15" s="1"/>
  <c r="Q36" i="17"/>
  <c r="I35" i="17"/>
  <c r="S33" i="17"/>
  <c r="Q24" i="7"/>
  <c r="G24" i="17" s="1"/>
  <c r="G23" i="17"/>
  <c r="AX20" i="11"/>
  <c r="S22" i="15" s="1"/>
  <c r="R36" i="17"/>
  <c r="K20" i="11"/>
  <c r="S29" i="17"/>
  <c r="AL20" i="11"/>
  <c r="N36" i="17"/>
  <c r="E20" i="11"/>
  <c r="D22" i="15" s="1"/>
  <c r="C36" i="17"/>
  <c r="O29" i="17"/>
  <c r="N24" i="7"/>
  <c r="F24" i="17" s="1"/>
  <c r="F23" i="17"/>
  <c r="U29" i="17"/>
  <c r="T29" i="17"/>
  <c r="W24" i="7"/>
  <c r="I24" i="17" s="1"/>
  <c r="I23" i="17"/>
  <c r="AR20" i="11"/>
  <c r="Q22" i="15" s="1"/>
  <c r="P36" i="17"/>
  <c r="AC24" i="7"/>
  <c r="K24" i="17" s="1"/>
  <c r="K23" i="17"/>
  <c r="B24" i="7"/>
  <c r="B24" i="17" s="1"/>
  <c r="B23" i="17"/>
  <c r="B20" i="11"/>
  <c r="B36" i="17"/>
  <c r="W11" i="7"/>
  <c r="V11" i="7"/>
  <c r="X11" i="7"/>
  <c r="B10" i="7"/>
  <c r="B32" i="7"/>
  <c r="C26" i="15"/>
  <c r="E12" i="5"/>
  <c r="E18" i="5" s="1"/>
  <c r="E20" i="5" s="1"/>
  <c r="D12" i="5"/>
  <c r="D18" i="5" s="1"/>
  <c r="E28" i="5"/>
  <c r="E30" i="5" s="1"/>
  <c r="E31" i="5" s="1"/>
  <c r="E32" i="5"/>
  <c r="E35" i="5"/>
  <c r="E37" i="5" s="1"/>
  <c r="E39" i="5" s="1"/>
  <c r="E41" i="5" s="1"/>
  <c r="H5" i="5" a="1"/>
  <c r="H5" i="5" s="1"/>
  <c r="B7" i="5"/>
  <c r="I22" i="2" a="1"/>
  <c r="I22" i="2" s="1"/>
  <c r="B23" i="2"/>
  <c r="I23" i="2" s="1" a="1"/>
  <c r="I23" i="2" s="1"/>
  <c r="C5" i="5"/>
  <c r="C7" i="5" s="1"/>
  <c r="C17" i="5"/>
  <c r="D35" i="5"/>
  <c r="D37" i="5" s="1"/>
  <c r="D39" i="5" s="1"/>
  <c r="D41" i="5" s="1"/>
  <c r="D32" i="5"/>
  <c r="D28" i="5"/>
  <c r="D30" i="5" s="1"/>
  <c r="D31" i="5" s="1"/>
  <c r="C55" i="2"/>
  <c r="C56" i="2" s="1"/>
  <c r="C58" i="2" s="1"/>
  <c r="C22" i="2"/>
  <c r="C23" i="2" s="1"/>
  <c r="I55" i="2" a="1"/>
  <c r="I55" i="2" s="1"/>
  <c r="B56" i="2"/>
  <c r="C28" i="5"/>
  <c r="B33" i="7" l="1"/>
  <c r="C10" i="7"/>
  <c r="B11" i="7"/>
  <c r="C22" i="15"/>
  <c r="E19" i="5"/>
  <c r="E13" i="5"/>
  <c r="E14" i="5"/>
  <c r="D13" i="5"/>
  <c r="D14" i="5"/>
  <c r="C8" i="5"/>
  <c r="C9" i="5"/>
  <c r="C11" i="5"/>
  <c r="C10" i="5"/>
  <c r="B11" i="5"/>
  <c r="H11" i="5" s="1" a="1"/>
  <c r="H11" i="5" s="1"/>
  <c r="B9" i="5"/>
  <c r="H9" i="5" s="1" a="1"/>
  <c r="H9" i="5" s="1"/>
  <c r="B10" i="5"/>
  <c r="H10" i="5" s="1" a="1"/>
  <c r="H10" i="5" s="1"/>
  <c r="H7" i="5" a="1"/>
  <c r="H7" i="5" s="1"/>
  <c r="B8" i="5"/>
  <c r="I56" i="2" a="1"/>
  <c r="I56" i="2" s="1"/>
  <c r="B58" i="2"/>
  <c r="C60" i="2"/>
  <c r="C71" i="2"/>
  <c r="C72" i="2" s="1"/>
  <c r="D20" i="5"/>
  <c r="D19" i="5"/>
  <c r="C30" i="5"/>
  <c r="C31" i="5" s="1"/>
  <c r="H27" i="5" a="1"/>
  <c r="H27" i="5" s="1"/>
  <c r="B28" i="5"/>
  <c r="B34" i="7" l="1"/>
  <c r="B18" i="7"/>
  <c r="C13" i="7"/>
  <c r="D13" i="7"/>
  <c r="E13" i="7"/>
  <c r="Y13" i="7"/>
  <c r="X12" i="7"/>
  <c r="V12" i="7"/>
  <c r="W18" i="7"/>
  <c r="X13" i="7"/>
  <c r="X18" i="7"/>
  <c r="X13" i="11" s="1"/>
  <c r="V18" i="7"/>
  <c r="V13" i="11" s="1"/>
  <c r="W12" i="7"/>
  <c r="Z13" i="7"/>
  <c r="D10" i="7"/>
  <c r="B10" i="17" s="1"/>
  <c r="C12" i="7"/>
  <c r="C11" i="7"/>
  <c r="C18" i="7"/>
  <c r="C13" i="11" s="1"/>
  <c r="B12" i="7"/>
  <c r="B13" i="7"/>
  <c r="C12" i="5"/>
  <c r="C18" i="5" s="1"/>
  <c r="C73" i="2"/>
  <c r="C34" i="5"/>
  <c r="C35" i="5" s="1"/>
  <c r="C37" i="5" s="1"/>
  <c r="C39" i="5" s="1"/>
  <c r="C41" i="5" s="1"/>
  <c r="H8" i="5" a="1"/>
  <c r="H8" i="5" s="1"/>
  <c r="B12" i="5"/>
  <c r="C61" i="2"/>
  <c r="C62" i="2"/>
  <c r="B71" i="2"/>
  <c r="I58" i="2" a="1"/>
  <c r="I58" i="2" s="1"/>
  <c r="B60" i="2"/>
  <c r="B30" i="5"/>
  <c r="H30" i="5" s="1" a="1"/>
  <c r="H30" i="5" s="1"/>
  <c r="H28" i="5" a="1"/>
  <c r="H28" i="5" s="1"/>
  <c r="W13" i="11" l="1"/>
  <c r="B13" i="17"/>
  <c r="B13" i="11"/>
  <c r="B19" i="11"/>
  <c r="F13" i="7"/>
  <c r="D12" i="7"/>
  <c r="B12" i="17" s="1"/>
  <c r="D11" i="7"/>
  <c r="B11" i="17" s="1"/>
  <c r="D18" i="7"/>
  <c r="D13" i="11" s="1"/>
  <c r="E10" i="7"/>
  <c r="C14" i="5"/>
  <c r="C13" i="5"/>
  <c r="B13" i="5"/>
  <c r="H13" i="5" s="1" a="1"/>
  <c r="H13" i="5" s="1"/>
  <c r="B14" i="5"/>
  <c r="H14" i="5" s="1" a="1"/>
  <c r="H14" i="5" s="1"/>
  <c r="B18" i="5"/>
  <c r="H12" i="5" a="1"/>
  <c r="H12" i="5" s="1"/>
  <c r="I60" i="2" a="1"/>
  <c r="I60" i="2" s="1"/>
  <c r="B61" i="2"/>
  <c r="I61" i="2" s="1" a="1"/>
  <c r="I61" i="2" s="1"/>
  <c r="B62" i="2"/>
  <c r="I62" i="2" s="1" a="1"/>
  <c r="I62" i="2" s="1"/>
  <c r="I71" i="2" a="1"/>
  <c r="I71" i="2" s="1"/>
  <c r="B72" i="2"/>
  <c r="C19" i="5"/>
  <c r="C20" i="5"/>
  <c r="B31" i="5"/>
  <c r="B18" i="17" l="1"/>
  <c r="G13" i="7"/>
  <c r="C13" i="17" s="1"/>
  <c r="E12" i="7"/>
  <c r="E11" i="7"/>
  <c r="E18" i="7"/>
  <c r="F10" i="7"/>
  <c r="H13" i="7" s="1"/>
  <c r="B35" i="7"/>
  <c r="B7" i="7"/>
  <c r="J7" i="7"/>
  <c r="J8" i="7" s="1"/>
  <c r="R7" i="7"/>
  <c r="Z7" i="7"/>
  <c r="AH7" i="7"/>
  <c r="AP7" i="7"/>
  <c r="AP8" i="7" s="1"/>
  <c r="AX7" i="7"/>
  <c r="BF7" i="7"/>
  <c r="BF8" i="7" s="1"/>
  <c r="BN7" i="7"/>
  <c r="BN8" i="7" s="1"/>
  <c r="BV7" i="7"/>
  <c r="BV8" i="7" s="1"/>
  <c r="CD7" i="7"/>
  <c r="CD8" i="7" s="1"/>
  <c r="CL7" i="7"/>
  <c r="CL8" i="7" s="1"/>
  <c r="CT7" i="7"/>
  <c r="CT8" i="7" s="1"/>
  <c r="DB7" i="7"/>
  <c r="DB8" i="7" s="1"/>
  <c r="DJ7" i="7"/>
  <c r="DJ8" i="7" s="1"/>
  <c r="DR7" i="7"/>
  <c r="DR8" i="7" s="1"/>
  <c r="DZ7" i="7"/>
  <c r="DZ8" i="7" s="1"/>
  <c r="EH7" i="7"/>
  <c r="EH8" i="7" s="1"/>
  <c r="EP7" i="7"/>
  <c r="EP8" i="7" s="1"/>
  <c r="EX7" i="7"/>
  <c r="EX8" i="7" s="1"/>
  <c r="FF7" i="7"/>
  <c r="FF8" i="7" s="1"/>
  <c r="FN7" i="7"/>
  <c r="FN8" i="7" s="1"/>
  <c r="FV7" i="7"/>
  <c r="FV8" i="7" s="1"/>
  <c r="F7" i="7"/>
  <c r="F8" i="7" s="1"/>
  <c r="N7" i="7"/>
  <c r="V7" i="7"/>
  <c r="AD7" i="7"/>
  <c r="AL7" i="7"/>
  <c r="AT7" i="7"/>
  <c r="AT8" i="7" s="1"/>
  <c r="BB7" i="7"/>
  <c r="BB8" i="7" s="1"/>
  <c r="BJ7" i="7"/>
  <c r="BJ8" i="7" s="1"/>
  <c r="BR7" i="7"/>
  <c r="BR8" i="7" s="1"/>
  <c r="BZ7" i="7"/>
  <c r="BZ8" i="7" s="1"/>
  <c r="CH7" i="7"/>
  <c r="CH8" i="7" s="1"/>
  <c r="CP7" i="7"/>
  <c r="CP8" i="7" s="1"/>
  <c r="CX7" i="7"/>
  <c r="CX8" i="7" s="1"/>
  <c r="DF7" i="7"/>
  <c r="DF8" i="7" s="1"/>
  <c r="DN7" i="7"/>
  <c r="DN8" i="7" s="1"/>
  <c r="DV7" i="7"/>
  <c r="DV8" i="7" s="1"/>
  <c r="ED7" i="7"/>
  <c r="ED8" i="7" s="1"/>
  <c r="EL7" i="7"/>
  <c r="EL8" i="7" s="1"/>
  <c r="ET7" i="7"/>
  <c r="ET8" i="7" s="1"/>
  <c r="FB7" i="7"/>
  <c r="FB8" i="7" s="1"/>
  <c r="FJ7" i="7"/>
  <c r="FJ8" i="7" s="1"/>
  <c r="FR7" i="7"/>
  <c r="FR8" i="7" s="1"/>
  <c r="FZ7" i="7"/>
  <c r="FZ8" i="7" s="1"/>
  <c r="D7" i="7"/>
  <c r="D8" i="7" s="1"/>
  <c r="O7" i="7"/>
  <c r="Y7" i="7"/>
  <c r="AJ7" i="7"/>
  <c r="AU7" i="7"/>
  <c r="BE7" i="7"/>
  <c r="BE8" i="7" s="1"/>
  <c r="BP7" i="7"/>
  <c r="BP8" i="7" s="1"/>
  <c r="CA7" i="7"/>
  <c r="CA8" i="7" s="1"/>
  <c r="CK7" i="7"/>
  <c r="CK8" i="7" s="1"/>
  <c r="CV7" i="7"/>
  <c r="CV8" i="7" s="1"/>
  <c r="DG7" i="7"/>
  <c r="DG8" i="7" s="1"/>
  <c r="DQ7" i="7"/>
  <c r="DQ8" i="7" s="1"/>
  <c r="EB7" i="7"/>
  <c r="EB8" i="7" s="1"/>
  <c r="EM7" i="7"/>
  <c r="EM8" i="7" s="1"/>
  <c r="EW7" i="7"/>
  <c r="EW8" i="7" s="1"/>
  <c r="FH7" i="7"/>
  <c r="FH8" i="7" s="1"/>
  <c r="FS7" i="7"/>
  <c r="FS8" i="7" s="1"/>
  <c r="G7" i="7"/>
  <c r="G8" i="7" s="1"/>
  <c r="Q7" i="7"/>
  <c r="AB7" i="7"/>
  <c r="AM7" i="7"/>
  <c r="AM8" i="7" s="1"/>
  <c r="AW7" i="7"/>
  <c r="AW8" i="7" s="1"/>
  <c r="BH7" i="7"/>
  <c r="BH8" i="7" s="1"/>
  <c r="BS7" i="7"/>
  <c r="BS8" i="7" s="1"/>
  <c r="CC7" i="7"/>
  <c r="CC8" i="7" s="1"/>
  <c r="CN7" i="7"/>
  <c r="CN8" i="7" s="1"/>
  <c r="CY7" i="7"/>
  <c r="CY8" i="7" s="1"/>
  <c r="DI7" i="7"/>
  <c r="DI8" i="7" s="1"/>
  <c r="DT7" i="7"/>
  <c r="DT8" i="7" s="1"/>
  <c r="EE7" i="7"/>
  <c r="EE8" i="7" s="1"/>
  <c r="EO7" i="7"/>
  <c r="EO8" i="7" s="1"/>
  <c r="EZ7" i="7"/>
  <c r="EZ8" i="7" s="1"/>
  <c r="FK7" i="7"/>
  <c r="FK8" i="7" s="1"/>
  <c r="FU7" i="7"/>
  <c r="FU8" i="7" s="1"/>
  <c r="K7" i="7"/>
  <c r="X7" i="7"/>
  <c r="AN7" i="7"/>
  <c r="AN8" i="7" s="1"/>
  <c r="BA7" i="7"/>
  <c r="BO7" i="7"/>
  <c r="BO8" i="7" s="1"/>
  <c r="CE7" i="7"/>
  <c r="CE8" i="7" s="1"/>
  <c r="CR7" i="7"/>
  <c r="CR8" i="7" s="1"/>
  <c r="DE7" i="7"/>
  <c r="DE8" i="7" s="1"/>
  <c r="DU7" i="7"/>
  <c r="DU8" i="7" s="1"/>
  <c r="EI7" i="7"/>
  <c r="EI8" i="7" s="1"/>
  <c r="EV7" i="7"/>
  <c r="EV8" i="7" s="1"/>
  <c r="FL7" i="7"/>
  <c r="FL8" i="7" s="1"/>
  <c r="FY7" i="7"/>
  <c r="FY8" i="7" s="1"/>
  <c r="L7" i="7"/>
  <c r="L8" i="7" s="1"/>
  <c r="AA7" i="7"/>
  <c r="AO7" i="7"/>
  <c r="BC7" i="7"/>
  <c r="BC8" i="7" s="1"/>
  <c r="BQ7" i="7"/>
  <c r="BQ8" i="7" s="1"/>
  <c r="CF7" i="7"/>
  <c r="CF8" i="7" s="1"/>
  <c r="CS7" i="7"/>
  <c r="CS8" i="7" s="1"/>
  <c r="DH7" i="7"/>
  <c r="DH8" i="7" s="1"/>
  <c r="DW7" i="7"/>
  <c r="DW8" i="7" s="1"/>
  <c r="EJ7" i="7"/>
  <c r="EJ8" i="7" s="1"/>
  <c r="EY7" i="7"/>
  <c r="EY8" i="7" s="1"/>
  <c r="FM7" i="7"/>
  <c r="FM8" i="7" s="1"/>
  <c r="M7" i="7"/>
  <c r="AC7" i="7"/>
  <c r="AQ7" i="7"/>
  <c r="AQ8" i="7" s="1"/>
  <c r="BD7" i="7"/>
  <c r="BT7" i="7"/>
  <c r="BT8" i="7" s="1"/>
  <c r="CG7" i="7"/>
  <c r="CG8" i="7" s="1"/>
  <c r="CU7" i="7"/>
  <c r="CU8" i="7" s="1"/>
  <c r="DK7" i="7"/>
  <c r="DK8" i="7" s="1"/>
  <c r="DX7" i="7"/>
  <c r="DX8" i="7" s="1"/>
  <c r="EK7" i="7"/>
  <c r="EK8" i="7" s="1"/>
  <c r="FA7" i="7"/>
  <c r="FA8" i="7" s="1"/>
  <c r="FO7" i="7"/>
  <c r="FO8" i="7" s="1"/>
  <c r="P7" i="7"/>
  <c r="AE7" i="7"/>
  <c r="AR7" i="7"/>
  <c r="BG7" i="7"/>
  <c r="BU7" i="7"/>
  <c r="BU8" i="7" s="1"/>
  <c r="CI7" i="7"/>
  <c r="CI8" i="7" s="1"/>
  <c r="CW7" i="7"/>
  <c r="CW8" i="7" s="1"/>
  <c r="DL7" i="7"/>
  <c r="DL8" i="7" s="1"/>
  <c r="DY7" i="7"/>
  <c r="DY8" i="7" s="1"/>
  <c r="EN7" i="7"/>
  <c r="EN8" i="7" s="1"/>
  <c r="FC7" i="7"/>
  <c r="FC8" i="7" s="1"/>
  <c r="FP7" i="7"/>
  <c r="FP8" i="7" s="1"/>
  <c r="C7" i="7"/>
  <c r="C8" i="7" s="1"/>
  <c r="S7" i="7"/>
  <c r="AF7" i="7"/>
  <c r="AS7" i="7"/>
  <c r="AS8" i="7" s="1"/>
  <c r="BI7" i="7"/>
  <c r="BI8" i="7" s="1"/>
  <c r="BW7" i="7"/>
  <c r="BW8" i="7" s="1"/>
  <c r="CJ7" i="7"/>
  <c r="CJ8" i="7" s="1"/>
  <c r="CZ7" i="7"/>
  <c r="CZ8" i="7" s="1"/>
  <c r="DM7" i="7"/>
  <c r="DM8" i="7" s="1"/>
  <c r="EA7" i="7"/>
  <c r="EA8" i="7" s="1"/>
  <c r="EQ7" i="7"/>
  <c r="EQ8" i="7" s="1"/>
  <c r="FD7" i="7"/>
  <c r="FD8" i="7" s="1"/>
  <c r="FQ7" i="7"/>
  <c r="FQ8" i="7" s="1"/>
  <c r="E7" i="7"/>
  <c r="T7" i="7"/>
  <c r="AG7" i="7"/>
  <c r="AV7" i="7"/>
  <c r="AV8" i="7" s="1"/>
  <c r="BK7" i="7"/>
  <c r="BK8" i="7" s="1"/>
  <c r="BX7" i="7"/>
  <c r="BX8" i="7" s="1"/>
  <c r="CM7" i="7"/>
  <c r="CM8" i="7" s="1"/>
  <c r="DA7" i="7"/>
  <c r="DA8" i="7" s="1"/>
  <c r="DO7" i="7"/>
  <c r="DO8" i="7" s="1"/>
  <c r="EC7" i="7"/>
  <c r="EC8" i="7" s="1"/>
  <c r="ER7" i="7"/>
  <c r="ER8" i="7" s="1"/>
  <c r="FE7" i="7"/>
  <c r="FE8" i="7" s="1"/>
  <c r="FT7" i="7"/>
  <c r="FT8" i="7" s="1"/>
  <c r="H7" i="7"/>
  <c r="U7" i="7"/>
  <c r="AI7" i="7"/>
  <c r="AY7" i="7"/>
  <c r="AY8" i="7" s="1"/>
  <c r="BL7" i="7"/>
  <c r="BL8" i="7" s="1"/>
  <c r="BY7" i="7"/>
  <c r="BY8" i="7" s="1"/>
  <c r="CO7" i="7"/>
  <c r="CO8" i="7" s="1"/>
  <c r="DC7" i="7"/>
  <c r="DC8" i="7" s="1"/>
  <c r="DP7" i="7"/>
  <c r="DP8" i="7" s="1"/>
  <c r="EF7" i="7"/>
  <c r="EF8" i="7" s="1"/>
  <c r="ES7" i="7"/>
  <c r="ES8" i="7" s="1"/>
  <c r="FG7" i="7"/>
  <c r="FG8" i="7" s="1"/>
  <c r="FW7" i="7"/>
  <c r="FW8" i="7" s="1"/>
  <c r="I7" i="7"/>
  <c r="I8" i="7" s="1"/>
  <c r="W7" i="7"/>
  <c r="AK7" i="7"/>
  <c r="AK8" i="7" s="1"/>
  <c r="AZ7" i="7"/>
  <c r="AZ8" i="7" s="1"/>
  <c r="BM7" i="7"/>
  <c r="BM8" i="7" s="1"/>
  <c r="CB7" i="7"/>
  <c r="CB8" i="7" s="1"/>
  <c r="CQ7" i="7"/>
  <c r="CQ8" i="7" s="1"/>
  <c r="DD7" i="7"/>
  <c r="DD8" i="7" s="1"/>
  <c r="DS7" i="7"/>
  <c r="DS8" i="7" s="1"/>
  <c r="EG7" i="7"/>
  <c r="EG8" i="7" s="1"/>
  <c r="EU7" i="7"/>
  <c r="EU8" i="7" s="1"/>
  <c r="FI7" i="7"/>
  <c r="FI8" i="7" s="1"/>
  <c r="FX7" i="7"/>
  <c r="FX8" i="7" s="1"/>
  <c r="C15" i="15"/>
  <c r="I72" i="2" a="1"/>
  <c r="I72" i="2" s="1"/>
  <c r="B73" i="2"/>
  <c r="I73" i="2" s="1" a="1"/>
  <c r="I73" i="2" s="1"/>
  <c r="B34" i="5"/>
  <c r="B19" i="5"/>
  <c r="H19" i="5" s="1" a="1"/>
  <c r="H19" i="5" s="1"/>
  <c r="B20" i="5"/>
  <c r="H20" i="5" s="1" a="1"/>
  <c r="H20" i="5" s="1"/>
  <c r="H18" i="5" a="1"/>
  <c r="H18" i="5" s="1"/>
  <c r="H31" i="5" a="1"/>
  <c r="H31" i="5" s="1"/>
  <c r="L7" i="17" l="1"/>
  <c r="I7" i="17"/>
  <c r="E8" i="7"/>
  <c r="C8" i="17" s="1"/>
  <c r="C7" i="17"/>
  <c r="AX8" i="7"/>
  <c r="R8" i="17" s="1"/>
  <c r="R7" i="17"/>
  <c r="H8" i="7"/>
  <c r="D8" i="17" s="1"/>
  <c r="D7" i="17"/>
  <c r="M7" i="17"/>
  <c r="E13" i="11"/>
  <c r="BD8" i="7"/>
  <c r="T8" i="17" s="1"/>
  <c r="T7" i="17"/>
  <c r="BA8" i="7"/>
  <c r="S8" i="17" s="1"/>
  <c r="S7" i="17"/>
  <c r="AL8" i="7"/>
  <c r="N8" i="17" s="1"/>
  <c r="N7" i="17"/>
  <c r="J7" i="17"/>
  <c r="K7" i="17"/>
  <c r="AU8" i="7"/>
  <c r="Q8" i="17" s="1"/>
  <c r="Q7" i="17"/>
  <c r="BG8" i="7"/>
  <c r="U8" i="17" s="1"/>
  <c r="U7" i="17"/>
  <c r="K8" i="7"/>
  <c r="K32" i="11" s="1"/>
  <c r="E7" i="17"/>
  <c r="G7" i="17"/>
  <c r="F7" i="17"/>
  <c r="H7" i="17"/>
  <c r="AR8" i="7"/>
  <c r="P8" i="17" s="1"/>
  <c r="P7" i="17"/>
  <c r="AO8" i="7"/>
  <c r="O8" i="17" s="1"/>
  <c r="O7" i="17"/>
  <c r="B7" i="17"/>
  <c r="B40" i="7"/>
  <c r="C32" i="7" s="1"/>
  <c r="B37" i="7"/>
  <c r="S8" i="7"/>
  <c r="S32" i="11" s="1"/>
  <c r="R8" i="7"/>
  <c r="R26" i="7" s="1"/>
  <c r="M8" i="7"/>
  <c r="M26" i="7" s="1"/>
  <c r="M29" i="7"/>
  <c r="Q8" i="7"/>
  <c r="N8" i="7"/>
  <c r="M36" i="7"/>
  <c r="T8" i="7"/>
  <c r="O8" i="7"/>
  <c r="O26" i="7" s="1"/>
  <c r="P8" i="7"/>
  <c r="P26" i="7" s="1"/>
  <c r="U8" i="7"/>
  <c r="U26" i="7" s="1"/>
  <c r="AI8" i="7"/>
  <c r="BI32" i="11"/>
  <c r="L26" i="7"/>
  <c r="L32" i="11"/>
  <c r="BB32" i="11"/>
  <c r="AP32" i="11"/>
  <c r="F11" i="7"/>
  <c r="F12" i="7"/>
  <c r="F18" i="7"/>
  <c r="F13" i="11" s="1"/>
  <c r="G10" i="7"/>
  <c r="C10" i="17" s="1"/>
  <c r="AS32" i="11"/>
  <c r="BH32" i="11"/>
  <c r="AT32" i="11"/>
  <c r="AH8" i="7"/>
  <c r="AZ32" i="11"/>
  <c r="AF8" i="7"/>
  <c r="AQ32" i="11"/>
  <c r="AW32" i="11"/>
  <c r="BE32" i="11"/>
  <c r="Z8" i="7"/>
  <c r="AK32" i="11"/>
  <c r="AC8" i="7"/>
  <c r="AN32" i="11"/>
  <c r="AM32" i="11"/>
  <c r="AD8" i="7"/>
  <c r="W8" i="7"/>
  <c r="AV32" i="11"/>
  <c r="C26" i="7"/>
  <c r="C32" i="11"/>
  <c r="X8" i="7"/>
  <c r="AB8" i="7"/>
  <c r="AJ8" i="7"/>
  <c r="V8" i="7"/>
  <c r="J26" i="7"/>
  <c r="J32" i="11"/>
  <c r="I26" i="7"/>
  <c r="I32" i="11"/>
  <c r="AG8" i="7"/>
  <c r="BC32" i="11"/>
  <c r="Y8" i="7"/>
  <c r="B8" i="7"/>
  <c r="B8" i="17" s="1"/>
  <c r="G26" i="7"/>
  <c r="G32" i="11"/>
  <c r="F26" i="7"/>
  <c r="F32" i="11"/>
  <c r="BF32" i="11"/>
  <c r="AY32" i="11"/>
  <c r="AE8" i="7"/>
  <c r="AA8" i="7"/>
  <c r="D26" i="7"/>
  <c r="D32" i="11"/>
  <c r="H34" i="5" a="1"/>
  <c r="H34" i="5" s="1"/>
  <c r="B35" i="5"/>
  <c r="BG32" i="11" l="1"/>
  <c r="BA32" i="11"/>
  <c r="T34" i="15" s="1"/>
  <c r="E32" i="11"/>
  <c r="AX32" i="11"/>
  <c r="S34" i="15" s="1"/>
  <c r="E26" i="7"/>
  <c r="C26" i="17" s="1"/>
  <c r="AU32" i="11"/>
  <c r="R34" i="15" s="1"/>
  <c r="BD32" i="11"/>
  <c r="U34" i="15" s="1"/>
  <c r="AO32" i="11"/>
  <c r="P34" i="15" s="1"/>
  <c r="H32" i="11"/>
  <c r="B25" i="13"/>
  <c r="J8" i="17"/>
  <c r="H26" i="7"/>
  <c r="D26" i="17" s="1"/>
  <c r="K26" i="7"/>
  <c r="E26" i="17" s="1"/>
  <c r="AL32" i="11"/>
  <c r="O34" i="15" s="1"/>
  <c r="M8" i="17"/>
  <c r="I8" i="17"/>
  <c r="AR32" i="11"/>
  <c r="Q34" i="15" s="1"/>
  <c r="N29" i="7"/>
  <c r="O29" i="7" s="1"/>
  <c r="P29" i="7" s="1"/>
  <c r="E29" i="17"/>
  <c r="T26" i="7"/>
  <c r="H8" i="17"/>
  <c r="M20" i="11"/>
  <c r="F22" i="15" s="1"/>
  <c r="E36" i="17"/>
  <c r="K8" i="17"/>
  <c r="L8" i="17"/>
  <c r="N26" i="7"/>
  <c r="F26" i="17" s="1"/>
  <c r="F8" i="17"/>
  <c r="Q32" i="11"/>
  <c r="G8" i="17"/>
  <c r="E8" i="17"/>
  <c r="Q26" i="7"/>
  <c r="T32" i="11"/>
  <c r="C35" i="7"/>
  <c r="P32" i="11"/>
  <c r="O32" i="11"/>
  <c r="N36" i="7"/>
  <c r="M32" i="11"/>
  <c r="R32" i="11"/>
  <c r="S26" i="7"/>
  <c r="N32" i="11"/>
  <c r="U32" i="11"/>
  <c r="I13" i="7"/>
  <c r="V34" i="15"/>
  <c r="C33" i="7"/>
  <c r="B26" i="7"/>
  <c r="B26" i="17" s="1"/>
  <c r="B32" i="11"/>
  <c r="AG26" i="7"/>
  <c r="AG32" i="11"/>
  <c r="AJ26" i="7"/>
  <c r="AJ32" i="11"/>
  <c r="X26" i="7"/>
  <c r="X32" i="11"/>
  <c r="AD26" i="7"/>
  <c r="AD32" i="11"/>
  <c r="AC26" i="7"/>
  <c r="AC32" i="11"/>
  <c r="AE26" i="7"/>
  <c r="AE32" i="11"/>
  <c r="W26" i="7"/>
  <c r="W32" i="11"/>
  <c r="G12" i="7"/>
  <c r="C12" i="17" s="1"/>
  <c r="G11" i="7"/>
  <c r="C11" i="17" s="1"/>
  <c r="G18" i="7"/>
  <c r="G13" i="11" s="1"/>
  <c r="D15" i="15" s="1"/>
  <c r="H10" i="7"/>
  <c r="V26" i="7"/>
  <c r="V32" i="11"/>
  <c r="AA26" i="7"/>
  <c r="AA32" i="11"/>
  <c r="AI26" i="7"/>
  <c r="AI32" i="11"/>
  <c r="Y26" i="7"/>
  <c r="Y32" i="11"/>
  <c r="AB26" i="7"/>
  <c r="AB32" i="11"/>
  <c r="D35" i="7"/>
  <c r="AF26" i="7"/>
  <c r="AF32" i="11"/>
  <c r="AH26" i="7"/>
  <c r="AH32" i="11"/>
  <c r="Z26" i="7"/>
  <c r="Z32" i="11"/>
  <c r="H35" i="5" a="1"/>
  <c r="H35" i="5" s="1"/>
  <c r="B37" i="5"/>
  <c r="O36" i="7" l="1"/>
  <c r="O20" i="11" s="1"/>
  <c r="K26" i="17"/>
  <c r="H34" i="15"/>
  <c r="J26" i="17"/>
  <c r="H26" i="17"/>
  <c r="I26" i="17"/>
  <c r="N20" i="11"/>
  <c r="C18" i="17"/>
  <c r="G26" i="17"/>
  <c r="F29" i="17"/>
  <c r="L26" i="17"/>
  <c r="B35" i="17"/>
  <c r="I34" i="15"/>
  <c r="G34" i="15"/>
  <c r="C40" i="7"/>
  <c r="Q36" i="7"/>
  <c r="P36" i="7"/>
  <c r="P20" i="11" s="1"/>
  <c r="N34" i="15"/>
  <c r="Q29" i="7"/>
  <c r="L34" i="15"/>
  <c r="J13" i="7"/>
  <c r="D13" i="17" s="1"/>
  <c r="C34" i="7"/>
  <c r="M34" i="15"/>
  <c r="J34" i="15"/>
  <c r="K34" i="15"/>
  <c r="H11" i="7"/>
  <c r="H12" i="7"/>
  <c r="H18" i="7"/>
  <c r="I10" i="7"/>
  <c r="K13" i="7" s="1"/>
  <c r="BJ22" i="7"/>
  <c r="DV22" i="7"/>
  <c r="BT22" i="7"/>
  <c r="EF22" i="7"/>
  <c r="DE22" i="7"/>
  <c r="CY22" i="7"/>
  <c r="DR22" i="7"/>
  <c r="AZ22" i="7"/>
  <c r="FI22" i="7"/>
  <c r="CS22" i="7"/>
  <c r="EJ22" i="7"/>
  <c r="CG22" i="7"/>
  <c r="EO22" i="7"/>
  <c r="BW22" i="7"/>
  <c r="DO22" i="7"/>
  <c r="BR22" i="7"/>
  <c r="ED22" i="7"/>
  <c r="CB22" i="7"/>
  <c r="EN22" i="7"/>
  <c r="DQ22" i="7"/>
  <c r="DJ22" i="7"/>
  <c r="EG22" i="7"/>
  <c r="BN22" i="7"/>
  <c r="FX22" i="7"/>
  <c r="DG22" i="7"/>
  <c r="AP22" i="7"/>
  <c r="EY22" i="7"/>
  <c r="CV22" i="7"/>
  <c r="AR22" i="7"/>
  <c r="FC22" i="7"/>
  <c r="CL22" i="7"/>
  <c r="EC22" i="7"/>
  <c r="BZ22" i="7"/>
  <c r="EL22" i="7"/>
  <c r="CJ22" i="7"/>
  <c r="EV22" i="7"/>
  <c r="AS22" i="7"/>
  <c r="EA22" i="7"/>
  <c r="AM22" i="7"/>
  <c r="DT22" i="7"/>
  <c r="ES22" i="7"/>
  <c r="CC22" i="7"/>
  <c r="DU22" i="7"/>
  <c r="BC22" i="7"/>
  <c r="FN22" i="7"/>
  <c r="DK22" i="7"/>
  <c r="BG22" i="7"/>
  <c r="FP22" i="7"/>
  <c r="DA22" i="7"/>
  <c r="ER22" i="7"/>
  <c r="CH22" i="7"/>
  <c r="ET22" i="7"/>
  <c r="CR22" i="7"/>
  <c r="FD22" i="7"/>
  <c r="BE22" i="7"/>
  <c r="EK22" i="7"/>
  <c r="AX22" i="7"/>
  <c r="EE22" i="7"/>
  <c r="AY22" i="7"/>
  <c r="FH22" i="7"/>
  <c r="CQ22" i="7"/>
  <c r="EI22" i="7"/>
  <c r="BQ22" i="7"/>
  <c r="DY22" i="7"/>
  <c r="BV22" i="7"/>
  <c r="DM22" i="7"/>
  <c r="AW22" i="7"/>
  <c r="FF22" i="7"/>
  <c r="CP22" i="7"/>
  <c r="FB22" i="7"/>
  <c r="AN22" i="7"/>
  <c r="CZ22" i="7"/>
  <c r="FL22" i="7"/>
  <c r="BO22" i="7"/>
  <c r="EW22" i="7"/>
  <c r="BH22" i="7"/>
  <c r="EP22" i="7"/>
  <c r="BM22" i="7"/>
  <c r="FW22" i="7"/>
  <c r="DD22" i="7"/>
  <c r="AO22" i="7"/>
  <c r="EX22" i="7"/>
  <c r="CF22" i="7"/>
  <c r="EM22" i="7"/>
  <c r="CI22" i="7"/>
  <c r="EB22" i="7"/>
  <c r="BK22" i="7"/>
  <c r="FU22" i="7"/>
  <c r="AL22" i="7"/>
  <c r="CX22" i="7"/>
  <c r="FJ22" i="7"/>
  <c r="AV22" i="7"/>
  <c r="DH22" i="7"/>
  <c r="FT22" i="7"/>
  <c r="BY22" i="7"/>
  <c r="FG22" i="7"/>
  <c r="BS22" i="7"/>
  <c r="EZ22" i="7"/>
  <c r="CA22" i="7"/>
  <c r="DS22" i="7"/>
  <c r="BA22" i="7"/>
  <c r="FM22" i="7"/>
  <c r="CT22" i="7"/>
  <c r="AQ22" i="7"/>
  <c r="FA22" i="7"/>
  <c r="CW22" i="7"/>
  <c r="EQ22" i="7"/>
  <c r="BX22" i="7"/>
  <c r="AT22" i="7"/>
  <c r="DF22" i="7"/>
  <c r="FR22" i="7"/>
  <c r="BD22" i="7"/>
  <c r="DP22" i="7"/>
  <c r="CK22" i="7"/>
  <c r="FQ22" i="7"/>
  <c r="CD22" i="7"/>
  <c r="FK22" i="7"/>
  <c r="CO22" i="7"/>
  <c r="EH22" i="7"/>
  <c r="BP22" i="7"/>
  <c r="FY22" i="7"/>
  <c r="DI22" i="7"/>
  <c r="BF22" i="7"/>
  <c r="FO22" i="7"/>
  <c r="DL22" i="7"/>
  <c r="AU22" i="7"/>
  <c r="FE22" i="7"/>
  <c r="CM22" i="7"/>
  <c r="BB22" i="7"/>
  <c r="DN22" i="7"/>
  <c r="FZ22" i="7"/>
  <c r="BL22" i="7"/>
  <c r="DX22" i="7"/>
  <c r="CU22" i="7"/>
  <c r="CN22" i="7"/>
  <c r="FV22" i="7"/>
  <c r="DC22" i="7"/>
  <c r="AK22" i="7"/>
  <c r="M22" i="17" s="1"/>
  <c r="EU22" i="7"/>
  <c r="CE22" i="7"/>
  <c r="DW22" i="7"/>
  <c r="BU22" i="7"/>
  <c r="DZ22" i="7"/>
  <c r="BI22" i="7"/>
  <c r="FS22" i="7"/>
  <c r="DB22" i="7"/>
  <c r="F34" i="15"/>
  <c r="B21" i="11"/>
  <c r="E34" i="15"/>
  <c r="C34" i="15"/>
  <c r="D34" i="15"/>
  <c r="H37" i="5" a="1"/>
  <c r="H37" i="5" s="1"/>
  <c r="B39" i="5"/>
  <c r="T22" i="17" l="1"/>
  <c r="N22" i="17"/>
  <c r="S22" i="17"/>
  <c r="P22" i="17"/>
  <c r="Q20" i="11"/>
  <c r="O22" i="17"/>
  <c r="R22" i="17"/>
  <c r="U22" i="17"/>
  <c r="H13" i="11"/>
  <c r="F36" i="17"/>
  <c r="Q22" i="17"/>
  <c r="R29" i="7"/>
  <c r="S36" i="7" s="1"/>
  <c r="S20" i="11" s="1"/>
  <c r="C25" i="13"/>
  <c r="D32" i="7"/>
  <c r="R36" i="7"/>
  <c r="R20" i="11" s="1"/>
  <c r="E35" i="7"/>
  <c r="C37" i="7"/>
  <c r="C19" i="11"/>
  <c r="BI23" i="7"/>
  <c r="BI24" i="7" s="1"/>
  <c r="BI26" i="7" s="1"/>
  <c r="FV23" i="7"/>
  <c r="FV24" i="7" s="1"/>
  <c r="FV26" i="7" s="1"/>
  <c r="CM23" i="7"/>
  <c r="CM24" i="7" s="1"/>
  <c r="CM26" i="7" s="1"/>
  <c r="BP23" i="7"/>
  <c r="BP24" i="7" s="1"/>
  <c r="BP26" i="7" s="1"/>
  <c r="BD23" i="7"/>
  <c r="AQ23" i="7"/>
  <c r="AQ24" i="7" s="1"/>
  <c r="AQ26" i="7" s="1"/>
  <c r="FG23" i="7"/>
  <c r="FG24" i="7" s="1"/>
  <c r="FG26" i="7" s="1"/>
  <c r="FU23" i="7"/>
  <c r="FU24" i="7" s="1"/>
  <c r="FU26" i="7" s="1"/>
  <c r="DD23" i="7"/>
  <c r="DD24" i="7" s="1"/>
  <c r="DD26" i="7" s="1"/>
  <c r="CZ23" i="7"/>
  <c r="CZ24" i="7" s="1"/>
  <c r="CZ26" i="7" s="1"/>
  <c r="DY23" i="7"/>
  <c r="DY24" i="7" s="1"/>
  <c r="DY26" i="7" s="1"/>
  <c r="EK23" i="7"/>
  <c r="EK24" i="7" s="1"/>
  <c r="EK26" i="7" s="1"/>
  <c r="FP23" i="7"/>
  <c r="FP24" i="7" s="1"/>
  <c r="FP26" i="7" s="1"/>
  <c r="DT23" i="7"/>
  <c r="DT24" i="7" s="1"/>
  <c r="DT26" i="7" s="1"/>
  <c r="EC23" i="7"/>
  <c r="EC24" i="7" s="1"/>
  <c r="EC26" i="7" s="1"/>
  <c r="FX23" i="7"/>
  <c r="FX24" i="7" s="1"/>
  <c r="FX26" i="7" s="1"/>
  <c r="BR23" i="7"/>
  <c r="BR24" i="7" s="1"/>
  <c r="BR26" i="7" s="1"/>
  <c r="AZ23" i="7"/>
  <c r="AZ24" i="7" s="1"/>
  <c r="AZ26" i="7" s="1"/>
  <c r="EH23" i="7"/>
  <c r="EH24" i="7" s="1"/>
  <c r="EH26" i="7" s="1"/>
  <c r="BK23" i="7"/>
  <c r="BK24" i="7" s="1"/>
  <c r="BK26" i="7" s="1"/>
  <c r="AN23" i="7"/>
  <c r="AN24" i="7" s="1"/>
  <c r="AN26" i="7" s="1"/>
  <c r="BG23" i="7"/>
  <c r="DR23" i="7"/>
  <c r="DR24" i="7" s="1"/>
  <c r="DR26" i="7" s="1"/>
  <c r="BU23" i="7"/>
  <c r="BU24" i="7" s="1"/>
  <c r="BU26" i="7" s="1"/>
  <c r="CU23" i="7"/>
  <c r="CU24" i="7" s="1"/>
  <c r="CU26" i="7" s="1"/>
  <c r="AU23" i="7"/>
  <c r="CO23" i="7"/>
  <c r="CO24" i="7" s="1"/>
  <c r="CO26" i="7" s="1"/>
  <c r="DF23" i="7"/>
  <c r="DF24" i="7" s="1"/>
  <c r="DF26" i="7" s="1"/>
  <c r="FM23" i="7"/>
  <c r="FM24" i="7" s="1"/>
  <c r="FM26" i="7" s="1"/>
  <c r="FT23" i="7"/>
  <c r="FT24" i="7" s="1"/>
  <c r="FT26" i="7" s="1"/>
  <c r="EB23" i="7"/>
  <c r="EB24" i="7" s="1"/>
  <c r="EB26" i="7" s="1"/>
  <c r="BM23" i="7"/>
  <c r="BM24" i="7" s="1"/>
  <c r="BM26" i="7" s="1"/>
  <c r="FB23" i="7"/>
  <c r="FB24" i="7" s="1"/>
  <c r="FB26" i="7" s="1"/>
  <c r="EI23" i="7"/>
  <c r="EI24" i="7" s="1"/>
  <c r="EI26" i="7" s="1"/>
  <c r="FD23" i="7"/>
  <c r="FD24" i="7" s="1"/>
  <c r="FD26" i="7" s="1"/>
  <c r="DK23" i="7"/>
  <c r="DK24" i="7" s="1"/>
  <c r="DK26" i="7" s="1"/>
  <c r="EA23" i="7"/>
  <c r="EA24" i="7" s="1"/>
  <c r="EA26" i="7" s="1"/>
  <c r="FC23" i="7"/>
  <c r="FC24" i="7" s="1"/>
  <c r="FC26" i="7" s="1"/>
  <c r="EG23" i="7"/>
  <c r="EG24" i="7" s="1"/>
  <c r="EG26" i="7" s="1"/>
  <c r="BW23" i="7"/>
  <c r="BW24" i="7" s="1"/>
  <c r="BW26" i="7" s="1"/>
  <c r="CY23" i="7"/>
  <c r="CY24" i="7" s="1"/>
  <c r="CY26" i="7" s="1"/>
  <c r="DZ23" i="7"/>
  <c r="DZ24" i="7" s="1"/>
  <c r="DZ26" i="7" s="1"/>
  <c r="CT23" i="7"/>
  <c r="CT24" i="7" s="1"/>
  <c r="CT26" i="7" s="1"/>
  <c r="BE23" i="7"/>
  <c r="BE24" i="7" s="1"/>
  <c r="BE26" i="7" s="1"/>
  <c r="DW23" i="7"/>
  <c r="DW24" i="7" s="1"/>
  <c r="DW26" i="7" s="1"/>
  <c r="DX23" i="7"/>
  <c r="DX24" i="7" s="1"/>
  <c r="DX26" i="7" s="1"/>
  <c r="DL23" i="7"/>
  <c r="DL24" i="7" s="1"/>
  <c r="DL26" i="7" s="1"/>
  <c r="FK23" i="7"/>
  <c r="FK24" i="7" s="1"/>
  <c r="FK26" i="7" s="1"/>
  <c r="AT23" i="7"/>
  <c r="AT24" i="7" s="1"/>
  <c r="AT26" i="7" s="1"/>
  <c r="BA23" i="7"/>
  <c r="DH23" i="7"/>
  <c r="DH24" i="7" s="1"/>
  <c r="DH26" i="7" s="1"/>
  <c r="CI23" i="7"/>
  <c r="CI24" i="7" s="1"/>
  <c r="CI26" i="7" s="1"/>
  <c r="EP23" i="7"/>
  <c r="EP24" i="7" s="1"/>
  <c r="EP26" i="7" s="1"/>
  <c r="CP23" i="7"/>
  <c r="CP24" i="7" s="1"/>
  <c r="CP26" i="7" s="1"/>
  <c r="CQ23" i="7"/>
  <c r="CQ24" i="7" s="1"/>
  <c r="CQ26" i="7" s="1"/>
  <c r="CR23" i="7"/>
  <c r="CR24" i="7" s="1"/>
  <c r="CR26" i="7" s="1"/>
  <c r="FN23" i="7"/>
  <c r="FN24" i="7" s="1"/>
  <c r="FN26" i="7" s="1"/>
  <c r="AS23" i="7"/>
  <c r="AS24" i="7" s="1"/>
  <c r="AS26" i="7" s="1"/>
  <c r="AR23" i="7"/>
  <c r="DJ23" i="7"/>
  <c r="DJ24" i="7" s="1"/>
  <c r="DJ26" i="7" s="1"/>
  <c r="EO23" i="7"/>
  <c r="EO24" i="7" s="1"/>
  <c r="EO26" i="7" s="1"/>
  <c r="DE23" i="7"/>
  <c r="DE24" i="7" s="1"/>
  <c r="DE26" i="7" s="1"/>
  <c r="FE23" i="7"/>
  <c r="FE24" i="7" s="1"/>
  <c r="FE26" i="7" s="1"/>
  <c r="BY23" i="7"/>
  <c r="BY24" i="7" s="1"/>
  <c r="BY26" i="7" s="1"/>
  <c r="BQ23" i="7"/>
  <c r="BQ24" i="7" s="1"/>
  <c r="BQ26" i="7" s="1"/>
  <c r="AM23" i="7"/>
  <c r="AM24" i="7" s="1"/>
  <c r="AM26" i="7" s="1"/>
  <c r="DO23" i="7"/>
  <c r="DO24" i="7" s="1"/>
  <c r="DO26" i="7" s="1"/>
  <c r="CE23" i="7"/>
  <c r="CE24" i="7" s="1"/>
  <c r="CE26" i="7" s="1"/>
  <c r="BL23" i="7"/>
  <c r="BL24" i="7" s="1"/>
  <c r="BL26" i="7" s="1"/>
  <c r="FO23" i="7"/>
  <c r="FO24" i="7" s="1"/>
  <c r="FO26" i="7" s="1"/>
  <c r="CD23" i="7"/>
  <c r="CD24" i="7" s="1"/>
  <c r="CD26" i="7" s="1"/>
  <c r="BX23" i="7"/>
  <c r="BX24" i="7" s="1"/>
  <c r="BX26" i="7" s="1"/>
  <c r="DS23" i="7"/>
  <c r="DS24" i="7" s="1"/>
  <c r="DS26" i="7" s="1"/>
  <c r="AV23" i="7"/>
  <c r="AV24" i="7" s="1"/>
  <c r="AV26" i="7" s="1"/>
  <c r="EM23" i="7"/>
  <c r="EM24" i="7" s="1"/>
  <c r="EM26" i="7" s="1"/>
  <c r="BH23" i="7"/>
  <c r="BH24" i="7" s="1"/>
  <c r="BH26" i="7" s="1"/>
  <c r="FF23" i="7"/>
  <c r="FF24" i="7" s="1"/>
  <c r="FF26" i="7" s="1"/>
  <c r="FH23" i="7"/>
  <c r="FH24" i="7" s="1"/>
  <c r="FH26" i="7" s="1"/>
  <c r="ET23" i="7"/>
  <c r="ET24" i="7" s="1"/>
  <c r="ET26" i="7" s="1"/>
  <c r="BC23" i="7"/>
  <c r="BC24" i="7" s="1"/>
  <c r="BC26" i="7" s="1"/>
  <c r="EV23" i="7"/>
  <c r="EV24" i="7" s="1"/>
  <c r="EV26" i="7" s="1"/>
  <c r="CV23" i="7"/>
  <c r="CV24" i="7" s="1"/>
  <c r="CV26" i="7" s="1"/>
  <c r="DQ23" i="7"/>
  <c r="DQ24" i="7" s="1"/>
  <c r="DQ26" i="7" s="1"/>
  <c r="CG23" i="7"/>
  <c r="CG24" i="7" s="1"/>
  <c r="CG26" i="7" s="1"/>
  <c r="EF23" i="7"/>
  <c r="EF24" i="7" s="1"/>
  <c r="EF26" i="7" s="1"/>
  <c r="I12" i="7"/>
  <c r="I11" i="7"/>
  <c r="I18" i="7"/>
  <c r="I13" i="11" s="1"/>
  <c r="J10" i="7"/>
  <c r="D10" i="17" s="1"/>
  <c r="EU23" i="7"/>
  <c r="EU24" i="7" s="1"/>
  <c r="EU26" i="7" s="1"/>
  <c r="FZ23" i="7"/>
  <c r="FZ24" i="7" s="1"/>
  <c r="BF23" i="7"/>
  <c r="BF24" i="7" s="1"/>
  <c r="BF26" i="7" s="1"/>
  <c r="FQ23" i="7"/>
  <c r="FQ24" i="7" s="1"/>
  <c r="FQ26" i="7" s="1"/>
  <c r="EQ23" i="7"/>
  <c r="EQ24" i="7" s="1"/>
  <c r="EQ26" i="7" s="1"/>
  <c r="CA23" i="7"/>
  <c r="CA24" i="7" s="1"/>
  <c r="CA26" i="7" s="1"/>
  <c r="FJ23" i="7"/>
  <c r="FJ24" i="7" s="1"/>
  <c r="FJ26" i="7" s="1"/>
  <c r="CF23" i="7"/>
  <c r="CF24" i="7" s="1"/>
  <c r="CF26" i="7" s="1"/>
  <c r="EW23" i="7"/>
  <c r="EW24" i="7" s="1"/>
  <c r="EW26" i="7" s="1"/>
  <c r="AW23" i="7"/>
  <c r="AW24" i="7" s="1"/>
  <c r="AW26" i="7" s="1"/>
  <c r="AY23" i="7"/>
  <c r="AY24" i="7" s="1"/>
  <c r="AY26" i="7" s="1"/>
  <c r="CH23" i="7"/>
  <c r="CH24" i="7" s="1"/>
  <c r="CH26" i="7" s="1"/>
  <c r="DU23" i="7"/>
  <c r="DU24" i="7" s="1"/>
  <c r="DU26" i="7" s="1"/>
  <c r="CJ23" i="7"/>
  <c r="CJ24" i="7" s="1"/>
  <c r="CJ26" i="7" s="1"/>
  <c r="EY23" i="7"/>
  <c r="EY24" i="7" s="1"/>
  <c r="EY26" i="7" s="1"/>
  <c r="EN23" i="7"/>
  <c r="EN24" i="7" s="1"/>
  <c r="EN26" i="7" s="1"/>
  <c r="EJ23" i="7"/>
  <c r="EJ24" i="7" s="1"/>
  <c r="EJ26" i="7" s="1"/>
  <c r="BT23" i="7"/>
  <c r="BT24" i="7" s="1"/>
  <c r="BT26" i="7" s="1"/>
  <c r="CL23" i="7"/>
  <c r="CL24" i="7" s="1"/>
  <c r="CL26" i="7" s="1"/>
  <c r="DB23" i="7"/>
  <c r="DB24" i="7" s="1"/>
  <c r="DB26" i="7" s="1"/>
  <c r="AK23" i="7"/>
  <c r="DN23" i="7"/>
  <c r="DN24" i="7" s="1"/>
  <c r="DN26" i="7" s="1"/>
  <c r="DI23" i="7"/>
  <c r="DI24" i="7" s="1"/>
  <c r="DI26" i="7" s="1"/>
  <c r="CK23" i="7"/>
  <c r="CK24" i="7" s="1"/>
  <c r="CK26" i="7" s="1"/>
  <c r="CW23" i="7"/>
  <c r="CW24" i="7" s="1"/>
  <c r="CW26" i="7" s="1"/>
  <c r="EZ23" i="7"/>
  <c r="EZ24" i="7" s="1"/>
  <c r="EZ26" i="7" s="1"/>
  <c r="CX23" i="7"/>
  <c r="CX24" i="7" s="1"/>
  <c r="CX26" i="7" s="1"/>
  <c r="EX23" i="7"/>
  <c r="EX24" i="7" s="1"/>
  <c r="EX26" i="7" s="1"/>
  <c r="BO23" i="7"/>
  <c r="BO24" i="7" s="1"/>
  <c r="BO26" i="7" s="1"/>
  <c r="DM23" i="7"/>
  <c r="DM24" i="7" s="1"/>
  <c r="DM26" i="7" s="1"/>
  <c r="EE23" i="7"/>
  <c r="EE24" i="7" s="1"/>
  <c r="EE26" i="7" s="1"/>
  <c r="ER23" i="7"/>
  <c r="ER24" i="7" s="1"/>
  <c r="ER26" i="7" s="1"/>
  <c r="CC23" i="7"/>
  <c r="CC24" i="7" s="1"/>
  <c r="CC26" i="7" s="1"/>
  <c r="EL23" i="7"/>
  <c r="EL24" i="7" s="1"/>
  <c r="EL26" i="7" s="1"/>
  <c r="AP23" i="7"/>
  <c r="AP24" i="7" s="1"/>
  <c r="AP26" i="7" s="1"/>
  <c r="CB23" i="7"/>
  <c r="CB24" i="7" s="1"/>
  <c r="CB26" i="7" s="1"/>
  <c r="CS23" i="7"/>
  <c r="CS24" i="7" s="1"/>
  <c r="CS26" i="7" s="1"/>
  <c r="DV23" i="7"/>
  <c r="DV24" i="7" s="1"/>
  <c r="DV26" i="7" s="1"/>
  <c r="CN23" i="7"/>
  <c r="CN24" i="7" s="1"/>
  <c r="CN26" i="7" s="1"/>
  <c r="FR23" i="7"/>
  <c r="FR24" i="7" s="1"/>
  <c r="FR26" i="7" s="1"/>
  <c r="FW23" i="7"/>
  <c r="FW24" i="7" s="1"/>
  <c r="FW26" i="7" s="1"/>
  <c r="BN23" i="7"/>
  <c r="BN24" i="7" s="1"/>
  <c r="BN26" i="7" s="1"/>
  <c r="FS23" i="7"/>
  <c r="FS24" i="7" s="1"/>
  <c r="FS26" i="7" s="1"/>
  <c r="DC23" i="7"/>
  <c r="DC24" i="7" s="1"/>
  <c r="DC26" i="7" s="1"/>
  <c r="BB23" i="7"/>
  <c r="BB24" i="7" s="1"/>
  <c r="BB26" i="7" s="1"/>
  <c r="FY23" i="7"/>
  <c r="FY24" i="7" s="1"/>
  <c r="FY26" i="7" s="1"/>
  <c r="DP23" i="7"/>
  <c r="DP24" i="7" s="1"/>
  <c r="DP26" i="7" s="1"/>
  <c r="FA23" i="7"/>
  <c r="FA24" i="7" s="1"/>
  <c r="FA26" i="7" s="1"/>
  <c r="BS23" i="7"/>
  <c r="BS24" i="7" s="1"/>
  <c r="BS26" i="7" s="1"/>
  <c r="AL23" i="7"/>
  <c r="AO23" i="7"/>
  <c r="FL23" i="7"/>
  <c r="FL24" i="7" s="1"/>
  <c r="FL26" i="7" s="1"/>
  <c r="BV23" i="7"/>
  <c r="BV24" i="7" s="1"/>
  <c r="BV26" i="7" s="1"/>
  <c r="AX23" i="7"/>
  <c r="DA23" i="7"/>
  <c r="DA24" i="7" s="1"/>
  <c r="DA26" i="7" s="1"/>
  <c r="ES23" i="7"/>
  <c r="ES24" i="7" s="1"/>
  <c r="ES26" i="7" s="1"/>
  <c r="BZ23" i="7"/>
  <c r="BZ24" i="7" s="1"/>
  <c r="BZ26" i="7" s="1"/>
  <c r="DG23" i="7"/>
  <c r="DG24" i="7" s="1"/>
  <c r="DG26" i="7" s="1"/>
  <c r="ED23" i="7"/>
  <c r="ED24" i="7" s="1"/>
  <c r="ED26" i="7" s="1"/>
  <c r="FI23" i="7"/>
  <c r="FI24" i="7" s="1"/>
  <c r="FI26" i="7" s="1"/>
  <c r="BJ23" i="7"/>
  <c r="BJ24" i="7" s="1"/>
  <c r="BJ26" i="7" s="1"/>
  <c r="G22" i="15"/>
  <c r="H39" i="5" a="1"/>
  <c r="H39" i="5" s="1"/>
  <c r="B41" i="5"/>
  <c r="H41" i="5" s="1" a="1"/>
  <c r="H41" i="5" s="1"/>
  <c r="S29" i="7" l="1"/>
  <c r="T29" i="7" s="1"/>
  <c r="AX24" i="7"/>
  <c r="R23" i="17"/>
  <c r="AK24" i="7"/>
  <c r="M23" i="17"/>
  <c r="BG24" i="7"/>
  <c r="U23" i="17"/>
  <c r="BD24" i="7"/>
  <c r="T23" i="17"/>
  <c r="G36" i="17"/>
  <c r="AL24" i="7"/>
  <c r="N23" i="17"/>
  <c r="AR24" i="7"/>
  <c r="P23" i="17"/>
  <c r="BA24" i="7"/>
  <c r="S23" i="17"/>
  <c r="AU24" i="7"/>
  <c r="Q23" i="17"/>
  <c r="AO24" i="7"/>
  <c r="O23" i="17"/>
  <c r="B32" i="17"/>
  <c r="D33" i="7"/>
  <c r="L13" i="7"/>
  <c r="FZ25" i="7"/>
  <c r="FZ26" i="7" s="1"/>
  <c r="J11" i="7"/>
  <c r="D11" i="17" s="1"/>
  <c r="J12" i="7"/>
  <c r="D12" i="17" s="1"/>
  <c r="J18" i="7"/>
  <c r="J13" i="11" s="1"/>
  <c r="E15" i="15" s="1"/>
  <c r="K10" i="7"/>
  <c r="G35" i="7"/>
  <c r="T36" i="7" l="1"/>
  <c r="T20" i="11" s="1"/>
  <c r="U29" i="7"/>
  <c r="V29" i="7" s="1"/>
  <c r="W36" i="7" s="1"/>
  <c r="W20" i="11" s="1"/>
  <c r="U36" i="7"/>
  <c r="U20" i="11" s="1"/>
  <c r="G29" i="17"/>
  <c r="AR26" i="7"/>
  <c r="P26" i="17" s="1"/>
  <c r="P24" i="17"/>
  <c r="AL26" i="7"/>
  <c r="N26" i="17" s="1"/>
  <c r="N24" i="17"/>
  <c r="AO26" i="7"/>
  <c r="O26" i="17" s="1"/>
  <c r="O24" i="17"/>
  <c r="BG26" i="7"/>
  <c r="U26" i="17" s="1"/>
  <c r="U24" i="17"/>
  <c r="AU26" i="7"/>
  <c r="Q26" i="17" s="1"/>
  <c r="Q24" i="17"/>
  <c r="AK26" i="7"/>
  <c r="M26" i="17" s="1"/>
  <c r="M24" i="17"/>
  <c r="AX26" i="7"/>
  <c r="R26" i="17" s="1"/>
  <c r="R24" i="17"/>
  <c r="BA26" i="7"/>
  <c r="S26" i="17" s="1"/>
  <c r="S24" i="17"/>
  <c r="D18" i="17"/>
  <c r="BD26" i="7"/>
  <c r="T26" i="17" s="1"/>
  <c r="T24" i="17"/>
  <c r="D40" i="7"/>
  <c r="B40" i="17" s="1" a="1"/>
  <c r="B40" i="17" s="1"/>
  <c r="B33" i="17"/>
  <c r="D34" i="7"/>
  <c r="W29" i="7"/>
  <c r="V36" i="7"/>
  <c r="V20" i="11" s="1"/>
  <c r="M13" i="7"/>
  <c r="E13" i="17" s="1"/>
  <c r="F35" i="7"/>
  <c r="C35" i="17" s="1"/>
  <c r="H35" i="7"/>
  <c r="K11" i="7"/>
  <c r="K12" i="7"/>
  <c r="K18" i="7"/>
  <c r="L10" i="7"/>
  <c r="H22" i="15"/>
  <c r="H29" i="17" l="1"/>
  <c r="C45" i="7"/>
  <c r="F3" i="1" s="1"/>
  <c r="K13" i="11"/>
  <c r="X36" i="7"/>
  <c r="H36" i="17"/>
  <c r="C46" i="7"/>
  <c r="F4" i="1" s="1"/>
  <c r="X29" i="7"/>
  <c r="Y29" i="7" s="1"/>
  <c r="Z29" i="7" s="1"/>
  <c r="D37" i="7"/>
  <c r="B37" i="17" s="1"/>
  <c r="B34" i="17"/>
  <c r="D19" i="11"/>
  <c r="E32" i="7"/>
  <c r="D25" i="13"/>
  <c r="N13" i="7"/>
  <c r="I35" i="7"/>
  <c r="L12" i="7"/>
  <c r="L11" i="7"/>
  <c r="L18" i="7"/>
  <c r="L13" i="11" s="1"/>
  <c r="M10" i="7"/>
  <c r="E10" i="17" s="1"/>
  <c r="I29" i="17" l="1"/>
  <c r="X20" i="11"/>
  <c r="Y36" i="7"/>
  <c r="Y20" i="11" s="1"/>
  <c r="E33" i="7"/>
  <c r="Z36" i="7"/>
  <c r="AA29" i="7"/>
  <c r="AB29" i="7" s="1"/>
  <c r="AC36" i="7" s="1"/>
  <c r="AA36" i="7"/>
  <c r="AA20" i="11" s="1"/>
  <c r="O13" i="7"/>
  <c r="J35" i="7"/>
  <c r="D35" i="17" s="1"/>
  <c r="M11" i="7"/>
  <c r="E11" i="17" s="1"/>
  <c r="M12" i="7"/>
  <c r="E12" i="17" s="1"/>
  <c r="M18" i="7"/>
  <c r="M13" i="11" s="1"/>
  <c r="F15" i="15" s="1"/>
  <c r="N10" i="7"/>
  <c r="I36" i="17" l="1"/>
  <c r="E18" i="17"/>
  <c r="J29" i="17"/>
  <c r="AC20" i="11"/>
  <c r="Z20" i="11"/>
  <c r="E40" i="7"/>
  <c r="F32" i="7" s="1"/>
  <c r="E34" i="7"/>
  <c r="AB36" i="7"/>
  <c r="AB20" i="11" s="1"/>
  <c r="AC29" i="7"/>
  <c r="P13" i="7"/>
  <c r="F13" i="17" s="1"/>
  <c r="K35" i="7"/>
  <c r="N11" i="7"/>
  <c r="N12" i="7"/>
  <c r="N18" i="7"/>
  <c r="O10" i="7"/>
  <c r="I22" i="15"/>
  <c r="J36" i="17" l="1"/>
  <c r="AD36" i="7"/>
  <c r="E25" i="13"/>
  <c r="N13" i="11"/>
  <c r="E19" i="11"/>
  <c r="E37" i="7"/>
  <c r="F33" i="7"/>
  <c r="AD29" i="7"/>
  <c r="AE36" i="7" s="1"/>
  <c r="AE20" i="11" s="1"/>
  <c r="Q13" i="7"/>
  <c r="L35" i="7"/>
  <c r="O11" i="7"/>
  <c r="O12" i="7"/>
  <c r="O18" i="7"/>
  <c r="O13" i="11" s="1"/>
  <c r="P10" i="7"/>
  <c r="F10" i="17" s="1"/>
  <c r="AD20" i="11" l="1"/>
  <c r="K36" i="17"/>
  <c r="F40" i="7"/>
  <c r="G32" i="7" s="1"/>
  <c r="C32" i="17" s="1"/>
  <c r="F34" i="7"/>
  <c r="AE29" i="7"/>
  <c r="AF29" i="7" s="1"/>
  <c r="R13" i="7"/>
  <c r="M35" i="7"/>
  <c r="E35" i="17" s="1"/>
  <c r="P11" i="7"/>
  <c r="F11" i="17" s="1"/>
  <c r="P12" i="7"/>
  <c r="F12" i="17" s="1"/>
  <c r="P18" i="7"/>
  <c r="P13" i="11" s="1"/>
  <c r="G15" i="15" s="1"/>
  <c r="Q10" i="7"/>
  <c r="F25" i="13" l="1"/>
  <c r="S13" i="7"/>
  <c r="G13" i="17" s="1"/>
  <c r="F19" i="11"/>
  <c r="K29" i="17"/>
  <c r="F18" i="17"/>
  <c r="F37" i="7"/>
  <c r="G33" i="7"/>
  <c r="AF36" i="7"/>
  <c r="AG36" i="7"/>
  <c r="AG20" i="11" s="1"/>
  <c r="AG29" i="7"/>
  <c r="N35" i="7"/>
  <c r="Q11" i="7"/>
  <c r="Q12" i="7"/>
  <c r="Q18" i="7"/>
  <c r="R10" i="7"/>
  <c r="J22" i="15"/>
  <c r="AF20" i="11" l="1"/>
  <c r="G40" i="7"/>
  <c r="C40" i="17" s="1" a="1"/>
  <c r="C40" i="17" s="1"/>
  <c r="C33" i="17"/>
  <c r="Q13" i="11"/>
  <c r="G34" i="7"/>
  <c r="T13" i="7"/>
  <c r="AH36" i="7"/>
  <c r="AH20" i="11" s="1"/>
  <c r="AH29" i="7"/>
  <c r="L29" i="17" s="1"/>
  <c r="O35" i="7"/>
  <c r="R11" i="7"/>
  <c r="R12" i="7"/>
  <c r="R18" i="7"/>
  <c r="R13" i="11" s="1"/>
  <c r="S10" i="7"/>
  <c r="G10" i="17" s="1"/>
  <c r="G25" i="13" l="1"/>
  <c r="L36" i="17"/>
  <c r="H32" i="7"/>
  <c r="G19" i="11"/>
  <c r="C34" i="17"/>
  <c r="G37" i="7"/>
  <c r="C37" i="17" s="1"/>
  <c r="AI29" i="7"/>
  <c r="AI36" i="7"/>
  <c r="U13" i="7"/>
  <c r="P35" i="7"/>
  <c r="F35" i="17" s="1"/>
  <c r="S11" i="7"/>
  <c r="G11" i="17" s="1"/>
  <c r="S12" i="7"/>
  <c r="G12" i="17" s="1"/>
  <c r="S18" i="7"/>
  <c r="S13" i="11" s="1"/>
  <c r="H15" i="15" s="1"/>
  <c r="T10" i="7"/>
  <c r="AI20" i="11" l="1"/>
  <c r="G18" i="17"/>
  <c r="H33" i="7"/>
  <c r="V13" i="7"/>
  <c r="H13" i="17" s="1"/>
  <c r="AJ36" i="7"/>
  <c r="AJ20" i="11" s="1"/>
  <c r="AJ29" i="7"/>
  <c r="M29" i="17" s="1"/>
  <c r="Q35" i="7"/>
  <c r="T12" i="7"/>
  <c r="T11" i="7"/>
  <c r="T18" i="7"/>
  <c r="U10" i="7"/>
  <c r="W13" i="7" s="1"/>
  <c r="I13" i="17" s="1"/>
  <c r="K22" i="15"/>
  <c r="H10" i="17" l="1"/>
  <c r="H40" i="7"/>
  <c r="M36" i="17"/>
  <c r="T13" i="11"/>
  <c r="H34" i="7"/>
  <c r="R35" i="7"/>
  <c r="U11" i="7"/>
  <c r="H11" i="17" s="1"/>
  <c r="U12" i="7"/>
  <c r="H12" i="17" s="1"/>
  <c r="U18" i="7"/>
  <c r="U13" i="11" s="1"/>
  <c r="Y10" i="7"/>
  <c r="I10" i="17" s="1"/>
  <c r="I15" i="15" l="1"/>
  <c r="H18" i="17"/>
  <c r="H19" i="11"/>
  <c r="H37" i="7"/>
  <c r="I32" i="7"/>
  <c r="H25" i="13"/>
  <c r="S35" i="7"/>
  <c r="G35" i="17" s="1"/>
  <c r="Y11" i="7"/>
  <c r="I11" i="17" s="1"/>
  <c r="AA13" i="7"/>
  <c r="Y12" i="7"/>
  <c r="I12" i="17" s="1"/>
  <c r="Y18" i="7"/>
  <c r="Z10" i="7"/>
  <c r="Y13" i="11" l="1"/>
  <c r="J15" i="15" s="1"/>
  <c r="I18" i="17"/>
  <c r="I33" i="7"/>
  <c r="T35" i="7"/>
  <c r="Z11" i="7"/>
  <c r="AB13" i="7"/>
  <c r="J13" i="17" s="1"/>
  <c r="Z12" i="7"/>
  <c r="Z18" i="7"/>
  <c r="AA10" i="7"/>
  <c r="L22" i="15"/>
  <c r="I40" i="7" l="1"/>
  <c r="I34" i="7"/>
  <c r="Z13" i="11"/>
  <c r="U35" i="7"/>
  <c r="H35" i="17" s="1"/>
  <c r="AA11" i="7"/>
  <c r="AC13" i="7"/>
  <c r="AA12" i="7"/>
  <c r="AA18" i="7"/>
  <c r="AA13" i="11" s="1"/>
  <c r="AB10" i="7"/>
  <c r="J10" i="17" s="1"/>
  <c r="I37" i="7" l="1"/>
  <c r="I19" i="11"/>
  <c r="I25" i="13"/>
  <c r="J32" i="7"/>
  <c r="AB12" i="7"/>
  <c r="J12" i="17" s="1"/>
  <c r="AB11" i="7"/>
  <c r="J11" i="17" s="1"/>
  <c r="AD13" i="7"/>
  <c r="AB18" i="7"/>
  <c r="AC10" i="7"/>
  <c r="J33" i="7" l="1"/>
  <c r="J34" i="7" s="1"/>
  <c r="D32" i="17"/>
  <c r="AB13" i="11"/>
  <c r="K15" i="15" s="1"/>
  <c r="J18" i="17"/>
  <c r="AC11" i="7"/>
  <c r="AC12" i="7"/>
  <c r="AE13" i="7"/>
  <c r="K13" i="17" s="1"/>
  <c r="AC18" i="7"/>
  <c r="AD10" i="7"/>
  <c r="M22" i="15"/>
  <c r="AC13" i="11" l="1"/>
  <c r="J19" i="11"/>
  <c r="D34" i="17"/>
  <c r="J37" i="7"/>
  <c r="D37" i="17" s="1"/>
  <c r="J40" i="7"/>
  <c r="D33" i="17"/>
  <c r="AD11" i="7"/>
  <c r="AD12" i="7"/>
  <c r="AF13" i="7"/>
  <c r="AD18" i="7"/>
  <c r="AD13" i="11" s="1"/>
  <c r="AE10" i="7"/>
  <c r="K10" i="17" s="1"/>
  <c r="D40" i="17" l="1" a="1"/>
  <c r="D40" i="17" s="1"/>
  <c r="J25" i="13"/>
  <c r="K32" i="7"/>
  <c r="AE11" i="7"/>
  <c r="K11" i="17" s="1"/>
  <c r="AE12" i="7"/>
  <c r="K12" i="17" s="1"/>
  <c r="AG13" i="7"/>
  <c r="AE18" i="7"/>
  <c r="AE13" i="11" s="1"/>
  <c r="L15" i="15" s="1"/>
  <c r="AF10" i="7"/>
  <c r="N22" i="15"/>
  <c r="K18" i="17" l="1"/>
  <c r="K33" i="7"/>
  <c r="K34" i="7" s="1"/>
  <c r="AF11" i="7"/>
  <c r="AH13" i="7"/>
  <c r="L13" i="17" s="1"/>
  <c r="AF12" i="7"/>
  <c r="AF18" i="7"/>
  <c r="AG10" i="7"/>
  <c r="K37" i="7" l="1"/>
  <c r="K19" i="11"/>
  <c r="K40" i="7"/>
  <c r="AF13" i="11"/>
  <c r="AG12" i="7"/>
  <c r="AI13" i="7"/>
  <c r="AG11" i="7"/>
  <c r="AG18" i="7"/>
  <c r="AG13" i="11" s="1"/>
  <c r="AH10" i="7"/>
  <c r="L10" i="17" s="1"/>
  <c r="O22" i="15"/>
  <c r="K25" i="13" l="1"/>
  <c r="L32" i="7"/>
  <c r="AH11" i="7"/>
  <c r="L11" i="17" s="1"/>
  <c r="AH12" i="7"/>
  <c r="L12" i="17" s="1"/>
  <c r="AJ13" i="7"/>
  <c r="AH18" i="7"/>
  <c r="AH13" i="11" s="1"/>
  <c r="M15" i="15" s="1"/>
  <c r="AI10" i="7"/>
  <c r="L18" i="17" l="1"/>
  <c r="L33" i="7"/>
  <c r="L34" i="7" s="1"/>
  <c r="AI12" i="7"/>
  <c r="AK13" i="7"/>
  <c r="M13" i="17" s="1"/>
  <c r="AI11" i="7"/>
  <c r="AI18" i="7"/>
  <c r="AJ10" i="7"/>
  <c r="AI13" i="11" l="1"/>
  <c r="L19" i="11"/>
  <c r="L37" i="7"/>
  <c r="L40" i="7"/>
  <c r="AJ12" i="7"/>
  <c r="AJ11" i="7"/>
  <c r="AL13" i="7"/>
  <c r="AJ18" i="7"/>
  <c r="AJ13" i="11" s="1"/>
  <c r="AK10" i="7"/>
  <c r="M10" i="17" s="1"/>
  <c r="P22" i="15"/>
  <c r="M32" i="7" l="1"/>
  <c r="L25" i="13"/>
  <c r="AK12" i="7"/>
  <c r="M12" i="17" s="1"/>
  <c r="AK11" i="7"/>
  <c r="M11" i="17" s="1"/>
  <c r="AM13" i="7"/>
  <c r="AK18" i="7"/>
  <c r="AK13" i="11" s="1"/>
  <c r="N15" i="15" s="1"/>
  <c r="AL10" i="7"/>
  <c r="M18" i="17" l="1"/>
  <c r="M33" i="7"/>
  <c r="M34" i="7" s="1"/>
  <c r="E32" i="17"/>
  <c r="AL11" i="7"/>
  <c r="AL12" i="7"/>
  <c r="AN13" i="7"/>
  <c r="N13" i="17" s="1"/>
  <c r="AL18" i="7"/>
  <c r="AM10" i="7"/>
  <c r="M19" i="11" l="1"/>
  <c r="M37" i="7"/>
  <c r="E37" i="17" s="1"/>
  <c r="E34" i="17"/>
  <c r="AL13" i="11"/>
  <c r="M40" i="7"/>
  <c r="E33" i="17"/>
  <c r="AM11" i="7"/>
  <c r="AM12" i="7"/>
  <c r="AO13" i="7"/>
  <c r="AM18" i="7"/>
  <c r="AM13" i="11" s="1"/>
  <c r="AN10" i="7"/>
  <c r="N10" i="17" s="1"/>
  <c r="E40" i="17" l="1" a="1"/>
  <c r="E40" i="17" s="1"/>
  <c r="N32" i="7"/>
  <c r="M25" i="13"/>
  <c r="AN11" i="7"/>
  <c r="N11" i="17" s="1"/>
  <c r="AN12" i="7"/>
  <c r="N12" i="17" s="1"/>
  <c r="AP13" i="7"/>
  <c r="AN18" i="7"/>
  <c r="AN13" i="11" s="1"/>
  <c r="O15" i="15" s="1"/>
  <c r="AO10" i="7"/>
  <c r="N18" i="17" l="1"/>
  <c r="N33" i="7"/>
  <c r="N34" i="7" s="1"/>
  <c r="AO11" i="7"/>
  <c r="AQ13" i="7"/>
  <c r="O13" i="17" s="1"/>
  <c r="AO12" i="7"/>
  <c r="AO18" i="7"/>
  <c r="AP10" i="7"/>
  <c r="N19" i="11" l="1"/>
  <c r="N37" i="7"/>
  <c r="AO13" i="11"/>
  <c r="N40" i="7"/>
  <c r="AP11" i="7"/>
  <c r="AR13" i="7"/>
  <c r="AP12" i="7"/>
  <c r="AP18" i="7"/>
  <c r="AP13" i="11" s="1"/>
  <c r="AQ10" i="7"/>
  <c r="O10" i="17" s="1"/>
  <c r="N25" i="13" l="1"/>
  <c r="O32" i="7"/>
  <c r="AQ11" i="7"/>
  <c r="O11" i="17" s="1"/>
  <c r="AQ12" i="7"/>
  <c r="O12" i="17" s="1"/>
  <c r="AS13" i="7"/>
  <c r="AQ18" i="7"/>
  <c r="AR10" i="7"/>
  <c r="O33" i="7" l="1"/>
  <c r="O34" i="7" s="1"/>
  <c r="AQ13" i="11"/>
  <c r="P15" i="15" s="1"/>
  <c r="O18" i="17"/>
  <c r="AR12" i="7"/>
  <c r="AR11" i="7"/>
  <c r="AT13" i="7"/>
  <c r="P13" i="17" s="1"/>
  <c r="AR18" i="7"/>
  <c r="AS10" i="7"/>
  <c r="O37" i="7" l="1"/>
  <c r="O19" i="11"/>
  <c r="AR13" i="11"/>
  <c r="O40" i="7"/>
  <c r="AS12" i="7"/>
  <c r="AS11" i="7"/>
  <c r="AU13" i="7"/>
  <c r="AS18" i="7"/>
  <c r="AS13" i="11" s="1"/>
  <c r="AT10" i="7"/>
  <c r="P10" i="17" s="1"/>
  <c r="P32" i="7" l="1"/>
  <c r="O25" i="13"/>
  <c r="AT11" i="7"/>
  <c r="P11" i="17" s="1"/>
  <c r="AT12" i="7"/>
  <c r="P12" i="17" s="1"/>
  <c r="AV13" i="7"/>
  <c r="AT18" i="7"/>
  <c r="AU10" i="7"/>
  <c r="AT13" i="11" l="1"/>
  <c r="Q15" i="15" s="1"/>
  <c r="P18" i="17"/>
  <c r="P33" i="7"/>
  <c r="P34" i="7" s="1"/>
  <c r="F32" i="17"/>
  <c r="AU12" i="7"/>
  <c r="AU11" i="7"/>
  <c r="AW13" i="7"/>
  <c r="Q13" i="17" s="1"/>
  <c r="AU18" i="7"/>
  <c r="AV10" i="7"/>
  <c r="AU13" i="11" l="1"/>
  <c r="P19" i="11"/>
  <c r="P37" i="7"/>
  <c r="F37" i="17" s="1"/>
  <c r="F34" i="17"/>
  <c r="P40" i="7"/>
  <c r="F33" i="17"/>
  <c r="AV12" i="7"/>
  <c r="AV11" i="7"/>
  <c r="AX13" i="7"/>
  <c r="AV18" i="7"/>
  <c r="AV13" i="11" s="1"/>
  <c r="AW10" i="7"/>
  <c r="Q10" i="17" s="1"/>
  <c r="F40" i="17" l="1" a="1"/>
  <c r="F40" i="17" s="1"/>
  <c r="Q32" i="7"/>
  <c r="P25" i="13"/>
  <c r="AW12" i="7"/>
  <c r="Q12" i="17" s="1"/>
  <c r="AW11" i="7"/>
  <c r="Q11" i="17" s="1"/>
  <c r="AY13" i="7"/>
  <c r="AW18" i="7"/>
  <c r="AW13" i="11" s="1"/>
  <c r="R15" i="15" s="1"/>
  <c r="AX10" i="7"/>
  <c r="Q18" i="17" l="1"/>
  <c r="Q33" i="7"/>
  <c r="Q34" i="7" s="1"/>
  <c r="AX11" i="7"/>
  <c r="AX12" i="7"/>
  <c r="AZ13" i="7"/>
  <c r="R13" i="17" s="1"/>
  <c r="AX18" i="7"/>
  <c r="AY10" i="7"/>
  <c r="Q37" i="7" l="1"/>
  <c r="Q19" i="11"/>
  <c r="Q40" i="7"/>
  <c r="AX13" i="11"/>
  <c r="AY11" i="7"/>
  <c r="AY12" i="7"/>
  <c r="BA13" i="7"/>
  <c r="AY18" i="7"/>
  <c r="AY13" i="11" s="1"/>
  <c r="AZ10" i="7"/>
  <c r="R10" i="17" s="1"/>
  <c r="R32" i="7" l="1"/>
  <c r="Q25" i="13"/>
  <c r="AZ12" i="7"/>
  <c r="R12" i="17" s="1"/>
  <c r="AZ11" i="7"/>
  <c r="R11" i="17" s="1"/>
  <c r="BB13" i="7"/>
  <c r="AZ18" i="7"/>
  <c r="BA10" i="7"/>
  <c r="AZ13" i="11" l="1"/>
  <c r="S15" i="15" s="1"/>
  <c r="R18" i="17"/>
  <c r="R33" i="7"/>
  <c r="R34" i="7" s="1"/>
  <c r="BA11" i="7"/>
  <c r="BA12" i="7"/>
  <c r="BC13" i="7"/>
  <c r="S13" i="17" s="1"/>
  <c r="BA18" i="7"/>
  <c r="BB10" i="7"/>
  <c r="R37" i="7" l="1"/>
  <c r="R19" i="11"/>
  <c r="BA13" i="11"/>
  <c r="R40" i="7"/>
  <c r="BB11" i="7"/>
  <c r="BB12" i="7"/>
  <c r="BD13" i="7"/>
  <c r="BB18" i="7"/>
  <c r="BB13" i="11" s="1"/>
  <c r="BC10" i="7"/>
  <c r="S10" i="17" s="1"/>
  <c r="S32" i="7" l="1"/>
  <c r="R25" i="13"/>
  <c r="BC11" i="7"/>
  <c r="S11" i="17" s="1"/>
  <c r="BC12" i="7"/>
  <c r="S12" i="17" s="1"/>
  <c r="BE13" i="7"/>
  <c r="BC18" i="7"/>
  <c r="BD10" i="7"/>
  <c r="BC13" i="11" l="1"/>
  <c r="T15" i="15" s="1"/>
  <c r="S18" i="17"/>
  <c r="S33" i="7"/>
  <c r="S34" i="7" s="1"/>
  <c r="G32" i="17"/>
  <c r="BD11" i="7"/>
  <c r="BD12" i="7"/>
  <c r="BF13" i="7"/>
  <c r="T13" i="17" s="1"/>
  <c r="BD18" i="7"/>
  <c r="BE10" i="7"/>
  <c r="S37" i="7" l="1"/>
  <c r="G37" i="17" s="1"/>
  <c r="S19" i="11"/>
  <c r="G34" i="17"/>
  <c r="BD13" i="11"/>
  <c r="S40" i="7"/>
  <c r="G33" i="17"/>
  <c r="BE11" i="7"/>
  <c r="BE12" i="7"/>
  <c r="BG13" i="7"/>
  <c r="BE18" i="7"/>
  <c r="BE13" i="11" s="1"/>
  <c r="BF10" i="7"/>
  <c r="T10" i="17" s="1"/>
  <c r="G40" i="17" l="1" a="1"/>
  <c r="G40" i="17" s="1"/>
  <c r="T32" i="7"/>
  <c r="S25" i="13"/>
  <c r="BF11" i="7"/>
  <c r="T11" i="17" s="1"/>
  <c r="BF12" i="7"/>
  <c r="T12" i="17" s="1"/>
  <c r="BH13" i="7"/>
  <c r="BF18" i="7"/>
  <c r="BG10" i="7"/>
  <c r="BF13" i="11" l="1"/>
  <c r="U15" i="15" s="1"/>
  <c r="T18" i="17"/>
  <c r="T33" i="7"/>
  <c r="T34" i="7" s="1"/>
  <c r="BG11" i="7"/>
  <c r="BG12" i="7"/>
  <c r="BI13" i="7"/>
  <c r="U13" i="17" s="1"/>
  <c r="BG18" i="7"/>
  <c r="BH10" i="7"/>
  <c r="T19" i="11" l="1"/>
  <c r="T37" i="7"/>
  <c r="BG13" i="11"/>
  <c r="T40" i="7"/>
  <c r="BH12" i="7"/>
  <c r="BH11" i="7"/>
  <c r="BJ13" i="7"/>
  <c r="BH18" i="7"/>
  <c r="BH13" i="11" s="1"/>
  <c r="BI10" i="7"/>
  <c r="U10" i="17" s="1"/>
  <c r="U32" i="7" l="1"/>
  <c r="T25" i="13"/>
  <c r="BI11" i="7"/>
  <c r="U11" i="17" s="1"/>
  <c r="BI12" i="7"/>
  <c r="U12" i="17" s="1"/>
  <c r="BK13" i="7"/>
  <c r="BI18" i="7"/>
  <c r="BJ10" i="7"/>
  <c r="BI13" i="11" l="1"/>
  <c r="V15" i="15" s="1"/>
  <c r="U18" i="17"/>
  <c r="U33" i="7"/>
  <c r="U34" i="7" s="1"/>
  <c r="BJ11" i="7"/>
  <c r="BJ12" i="7"/>
  <c r="BL13" i="7"/>
  <c r="BJ18" i="7"/>
  <c r="BK10" i="7"/>
  <c r="U37" i="7" l="1"/>
  <c r="U19" i="11"/>
  <c r="U40" i="7"/>
  <c r="BK11" i="7"/>
  <c r="BK12" i="7"/>
  <c r="BM13" i="7"/>
  <c r="BK18" i="7"/>
  <c r="BL10" i="7"/>
  <c r="U25" i="13" l="1"/>
  <c r="V32" i="7"/>
  <c r="BL11" i="7"/>
  <c r="BL12" i="7"/>
  <c r="BN13" i="7"/>
  <c r="BL18" i="7"/>
  <c r="BM10" i="7"/>
  <c r="V33" i="7" l="1"/>
  <c r="V34" i="7" s="1"/>
  <c r="H32" i="17"/>
  <c r="BM12" i="7"/>
  <c r="BM11" i="7"/>
  <c r="BO13" i="7"/>
  <c r="BM18" i="7"/>
  <c r="BN10" i="7"/>
  <c r="V37" i="7" l="1"/>
  <c r="H37" i="17" s="1"/>
  <c r="V19" i="11"/>
  <c r="H34" i="17"/>
  <c r="V40" i="7"/>
  <c r="H33" i="17"/>
  <c r="BN11" i="7"/>
  <c r="BN12" i="7"/>
  <c r="BP13" i="7"/>
  <c r="BN18" i="7"/>
  <c r="BO10" i="7"/>
  <c r="H40" i="17" l="1" a="1"/>
  <c r="H40" i="17" s="1"/>
  <c r="W32" i="7"/>
  <c r="V25" i="13"/>
  <c r="BO12" i="7"/>
  <c r="BO11" i="7"/>
  <c r="BQ13" i="7"/>
  <c r="BO18" i="7"/>
  <c r="BP10" i="7"/>
  <c r="W33" i="7" l="1"/>
  <c r="W34" i="7" s="1"/>
  <c r="BP12" i="7"/>
  <c r="BP11" i="7"/>
  <c r="BR13" i="7"/>
  <c r="BP18" i="7"/>
  <c r="BQ10" i="7"/>
  <c r="W19" i="11" l="1"/>
  <c r="W37" i="7"/>
  <c r="W40" i="7"/>
  <c r="BQ11" i="7"/>
  <c r="BQ12" i="7"/>
  <c r="BS13" i="7"/>
  <c r="BQ18" i="7"/>
  <c r="BR10" i="7"/>
  <c r="W25" i="13" l="1"/>
  <c r="X32" i="7"/>
  <c r="BR11" i="7"/>
  <c r="BR12" i="7"/>
  <c r="BT13" i="7"/>
  <c r="BR18" i="7"/>
  <c r="BS10" i="7"/>
  <c r="X33" i="7" l="1"/>
  <c r="X34" i="7" s="1"/>
  <c r="BS11" i="7"/>
  <c r="BS12" i="7"/>
  <c r="BU13" i="7"/>
  <c r="BS18" i="7"/>
  <c r="BT10" i="7"/>
  <c r="X37" i="7" l="1"/>
  <c r="X19" i="11"/>
  <c r="X40" i="7"/>
  <c r="BT11" i="7"/>
  <c r="BT12" i="7"/>
  <c r="BV13" i="7"/>
  <c r="BT18" i="7"/>
  <c r="BU10" i="7"/>
  <c r="Y32" i="7" l="1"/>
  <c r="X25" i="13"/>
  <c r="BU11" i="7"/>
  <c r="BU12" i="7"/>
  <c r="BW13" i="7"/>
  <c r="BU18" i="7"/>
  <c r="BV10" i="7"/>
  <c r="Y33" i="7" l="1"/>
  <c r="Y34" i="7" s="1"/>
  <c r="I32" i="17"/>
  <c r="BV11" i="7"/>
  <c r="BV12" i="7"/>
  <c r="BX13" i="7"/>
  <c r="BV18" i="7"/>
  <c r="BW10" i="7"/>
  <c r="Y19" i="11" l="1"/>
  <c r="Y37" i="7"/>
  <c r="I37" i="17" s="1"/>
  <c r="I34" i="17"/>
  <c r="Y40" i="7"/>
  <c r="I33" i="17"/>
  <c r="BW11" i="7"/>
  <c r="BW12" i="7"/>
  <c r="BY13" i="7"/>
  <c r="BW18" i="7"/>
  <c r="BX10" i="7"/>
  <c r="I40" i="17" l="1" a="1"/>
  <c r="I40" i="17" s="1"/>
  <c r="Z32" i="7"/>
  <c r="Y25" i="13"/>
  <c r="BX12" i="7"/>
  <c r="BX11" i="7"/>
  <c r="BZ13" i="7"/>
  <c r="BX18" i="7"/>
  <c r="BY10" i="7"/>
  <c r="Z33" i="7" l="1"/>
  <c r="Z34" i="7" s="1"/>
  <c r="BY12" i="7"/>
  <c r="BY11" i="7"/>
  <c r="CA13" i="7"/>
  <c r="BY18" i="7"/>
  <c r="BZ10" i="7"/>
  <c r="Z37" i="7" l="1"/>
  <c r="Z19" i="11"/>
  <c r="Z40" i="7"/>
  <c r="BZ11" i="7"/>
  <c r="BZ12" i="7"/>
  <c r="CB13" i="7"/>
  <c r="BZ18" i="7"/>
  <c r="CA10" i="7"/>
  <c r="AA32" i="7" l="1"/>
  <c r="Z25" i="13"/>
  <c r="CA12" i="7"/>
  <c r="CA11" i="7"/>
  <c r="CC13" i="7"/>
  <c r="CA18" i="7"/>
  <c r="CB10" i="7"/>
  <c r="AA33" i="7" l="1"/>
  <c r="AA34" i="7" s="1"/>
  <c r="CB12" i="7"/>
  <c r="CB11" i="7"/>
  <c r="CD13" i="7"/>
  <c r="CB18" i="7"/>
  <c r="CC10" i="7"/>
  <c r="AA19" i="11" l="1"/>
  <c r="AA37" i="7"/>
  <c r="AA40" i="7"/>
  <c r="CC11" i="7"/>
  <c r="CC12" i="7"/>
  <c r="CE13" i="7"/>
  <c r="CC18" i="7"/>
  <c r="CD10" i="7"/>
  <c r="AB32" i="7" l="1"/>
  <c r="AA25" i="13"/>
  <c r="CD11" i="7"/>
  <c r="CD12" i="7"/>
  <c r="CF13" i="7"/>
  <c r="CD18" i="7"/>
  <c r="CE10" i="7"/>
  <c r="AB33" i="7" l="1"/>
  <c r="AB34" i="7" s="1"/>
  <c r="J32" i="17"/>
  <c r="CE11" i="7"/>
  <c r="CE12" i="7"/>
  <c r="CG13" i="7"/>
  <c r="CE18" i="7"/>
  <c r="CF10" i="7"/>
  <c r="AB19" i="11" l="1"/>
  <c r="AB37" i="7"/>
  <c r="J37" i="17" s="1"/>
  <c r="J34" i="17"/>
  <c r="AB40" i="7"/>
  <c r="J33" i="17"/>
  <c r="CF12" i="7"/>
  <c r="CF11" i="7"/>
  <c r="CH13" i="7"/>
  <c r="CF18" i="7"/>
  <c r="CG10" i="7"/>
  <c r="J40" i="17" l="1" a="1"/>
  <c r="J40" i="17" s="1"/>
  <c r="AC32" i="7"/>
  <c r="AB25" i="13"/>
  <c r="CG11" i="7"/>
  <c r="CG12" i="7"/>
  <c r="CI13" i="7"/>
  <c r="CG18" i="7"/>
  <c r="CH10" i="7"/>
  <c r="AC33" i="7" l="1"/>
  <c r="AC34" i="7" s="1"/>
  <c r="CH11" i="7"/>
  <c r="CH12" i="7"/>
  <c r="CJ13" i="7"/>
  <c r="CH18" i="7"/>
  <c r="CI10" i="7"/>
  <c r="AC19" i="11" l="1"/>
  <c r="AC37" i="7"/>
  <c r="AC40" i="7"/>
  <c r="CI12" i="7"/>
  <c r="CI11" i="7"/>
  <c r="CK13" i="7"/>
  <c r="CI18" i="7"/>
  <c r="CJ10" i="7"/>
  <c r="AD32" i="7" l="1"/>
  <c r="AC25" i="13"/>
  <c r="CJ12" i="7"/>
  <c r="CJ11" i="7"/>
  <c r="CL13" i="7"/>
  <c r="CJ18" i="7"/>
  <c r="CK10" i="7"/>
  <c r="AD33" i="7" l="1"/>
  <c r="AD34" i="7" s="1"/>
  <c r="CK12" i="7"/>
  <c r="CK11" i="7"/>
  <c r="CM13" i="7"/>
  <c r="CK18" i="7"/>
  <c r="CL10" i="7"/>
  <c r="AD37" i="7" l="1"/>
  <c r="AD19" i="11"/>
  <c r="AD40" i="7"/>
  <c r="CL11" i="7"/>
  <c r="CL12" i="7"/>
  <c r="CN13" i="7"/>
  <c r="CL18" i="7"/>
  <c r="CM10" i="7"/>
  <c r="AD25" i="13" l="1"/>
  <c r="AE32" i="7"/>
  <c r="CM12" i="7"/>
  <c r="CM11" i="7"/>
  <c r="CO13" i="7"/>
  <c r="CM18" i="7"/>
  <c r="CN10" i="7"/>
  <c r="AE33" i="7" l="1"/>
  <c r="AE34" i="7" s="1"/>
  <c r="K32" i="17"/>
  <c r="CN12" i="7"/>
  <c r="CN11" i="7"/>
  <c r="CP13" i="7"/>
  <c r="CN18" i="7"/>
  <c r="CO10" i="7"/>
  <c r="AE37" i="7" l="1"/>
  <c r="K37" i="17" s="1"/>
  <c r="AE19" i="11"/>
  <c r="K34" i="17"/>
  <c r="AE40" i="7"/>
  <c r="K33" i="17"/>
  <c r="CO11" i="7"/>
  <c r="CO12" i="7"/>
  <c r="CQ13" i="7"/>
  <c r="CO18" i="7"/>
  <c r="CP10" i="7"/>
  <c r="K40" i="17" l="1" a="1"/>
  <c r="K40" i="17" s="1"/>
  <c r="AE25" i="13"/>
  <c r="AF32" i="7"/>
  <c r="CP11" i="7"/>
  <c r="CP12" i="7"/>
  <c r="CR13" i="7"/>
  <c r="CP18" i="7"/>
  <c r="CQ10" i="7"/>
  <c r="AF33" i="7" l="1"/>
  <c r="AF34" i="7" s="1"/>
  <c r="CQ12" i="7"/>
  <c r="CQ11" i="7"/>
  <c r="CS13" i="7"/>
  <c r="CQ18" i="7"/>
  <c r="CR10" i="7"/>
  <c r="AF37" i="7" l="1"/>
  <c r="AF19" i="11"/>
  <c r="AF40" i="7"/>
  <c r="CR11" i="7"/>
  <c r="CR12" i="7"/>
  <c r="CT13" i="7"/>
  <c r="CR18" i="7"/>
  <c r="CS10" i="7"/>
  <c r="AF25" i="13" l="1"/>
  <c r="AG32" i="7"/>
  <c r="CS11" i="7"/>
  <c r="CS12" i="7"/>
  <c r="CU13" i="7"/>
  <c r="CS18" i="7"/>
  <c r="CT10" i="7"/>
  <c r="AG33" i="7" l="1"/>
  <c r="AG34" i="7" s="1"/>
  <c r="CT11" i="7"/>
  <c r="CT12" i="7"/>
  <c r="CV13" i="7"/>
  <c r="CT18" i="7"/>
  <c r="CU10" i="7"/>
  <c r="AG37" i="7" l="1"/>
  <c r="AG19" i="11"/>
  <c r="AG40" i="7"/>
  <c r="CU11" i="7"/>
  <c r="CU12" i="7"/>
  <c r="CW13" i="7"/>
  <c r="CU18" i="7"/>
  <c r="CV10" i="7"/>
  <c r="AH32" i="7" l="1"/>
  <c r="AG25" i="13"/>
  <c r="CV12" i="7"/>
  <c r="CV11" i="7"/>
  <c r="CX13" i="7"/>
  <c r="CV18" i="7"/>
  <c r="CW10" i="7"/>
  <c r="AH33" i="7" l="1"/>
  <c r="AH34" i="7" s="1"/>
  <c r="L32" i="17"/>
  <c r="CW11" i="7"/>
  <c r="CW12" i="7"/>
  <c r="CY13" i="7"/>
  <c r="CW18" i="7"/>
  <c r="CX10" i="7"/>
  <c r="AH19" i="11" l="1"/>
  <c r="AH37" i="7"/>
  <c r="L37" i="17" s="1"/>
  <c r="L34" i="17"/>
  <c r="AH40" i="7"/>
  <c r="L33" i="17"/>
  <c r="CX11" i="7"/>
  <c r="CX12" i="7"/>
  <c r="CZ13" i="7"/>
  <c r="CX18" i="7"/>
  <c r="CY10" i="7"/>
  <c r="L40" i="17" l="1" a="1"/>
  <c r="L40" i="17" s="1"/>
  <c r="AI32" i="7"/>
  <c r="AH25" i="13"/>
  <c r="CY11" i="7"/>
  <c r="CY12" i="7"/>
  <c r="DA13" i="7"/>
  <c r="CY18" i="7"/>
  <c r="CZ10" i="7"/>
  <c r="AI33" i="7" l="1"/>
  <c r="AI34" i="7" s="1"/>
  <c r="CZ11" i="7"/>
  <c r="CZ12" i="7"/>
  <c r="DB13" i="7"/>
  <c r="CZ18" i="7"/>
  <c r="DA10" i="7"/>
  <c r="AI37" i="7" l="1"/>
  <c r="AI19" i="11"/>
  <c r="AI40" i="7"/>
  <c r="DA11" i="7"/>
  <c r="DA12" i="7"/>
  <c r="DC13" i="7"/>
  <c r="DA18" i="7"/>
  <c r="DB10" i="7"/>
  <c r="AJ32" i="7" l="1"/>
  <c r="AI25" i="13"/>
  <c r="DB11" i="7"/>
  <c r="DB12" i="7"/>
  <c r="DD13" i="7"/>
  <c r="DB18" i="7"/>
  <c r="DC10" i="7"/>
  <c r="AJ33" i="7" l="1"/>
  <c r="AJ34" i="7" s="1"/>
  <c r="DC11" i="7"/>
  <c r="DC12" i="7"/>
  <c r="DE13" i="7"/>
  <c r="DC18" i="7"/>
  <c r="DD10" i="7"/>
  <c r="AJ37" i="7" l="1"/>
  <c r="AJ19" i="11"/>
  <c r="AJ40" i="7"/>
  <c r="M33" i="17"/>
  <c r="DD12" i="7"/>
  <c r="DD11" i="7"/>
  <c r="DF13" i="7"/>
  <c r="DD18" i="7"/>
  <c r="DE10" i="7"/>
  <c r="AK32" i="7" l="1"/>
  <c r="AJ25" i="13"/>
  <c r="DE12" i="7"/>
  <c r="DE11" i="7"/>
  <c r="DG13" i="7"/>
  <c r="DE18" i="7"/>
  <c r="DF10" i="7"/>
  <c r="AK34" i="7" l="1"/>
  <c r="M32" i="17"/>
  <c r="DF11" i="7"/>
  <c r="DF12" i="7"/>
  <c r="DH13" i="7"/>
  <c r="DF18" i="7"/>
  <c r="DG10" i="7"/>
  <c r="AK19" i="11" l="1"/>
  <c r="M34" i="17"/>
  <c r="DG11" i="7"/>
  <c r="DG12" i="7"/>
  <c r="DI13" i="7"/>
  <c r="DG18" i="7"/>
  <c r="DH10" i="7"/>
  <c r="DH11" i="7" l="1"/>
  <c r="DH12" i="7"/>
  <c r="DJ13" i="7"/>
  <c r="DH18" i="7"/>
  <c r="DI10" i="7"/>
  <c r="DI11" i="7" l="1"/>
  <c r="DI12" i="7"/>
  <c r="DK13" i="7"/>
  <c r="DI18" i="7"/>
  <c r="DJ10" i="7"/>
  <c r="DJ11" i="7" l="1"/>
  <c r="DJ12" i="7"/>
  <c r="DL13" i="7"/>
  <c r="DJ18" i="7"/>
  <c r="DK10" i="7"/>
  <c r="DK11" i="7" l="1"/>
  <c r="DK12" i="7"/>
  <c r="DM13" i="7"/>
  <c r="DK18" i="7"/>
  <c r="DL10" i="7"/>
  <c r="DL12" i="7" l="1"/>
  <c r="DL11" i="7"/>
  <c r="DN13" i="7"/>
  <c r="DL18" i="7"/>
  <c r="DM10" i="7"/>
  <c r="DM11" i="7" l="1"/>
  <c r="DM12" i="7"/>
  <c r="DO13" i="7"/>
  <c r="DM18" i="7"/>
  <c r="DN10" i="7"/>
  <c r="DN11" i="7" l="1"/>
  <c r="DN12" i="7"/>
  <c r="DP13" i="7"/>
  <c r="DN18" i="7"/>
  <c r="DO10" i="7"/>
  <c r="DO12" i="7" l="1"/>
  <c r="DO11" i="7"/>
  <c r="DQ13" i="7"/>
  <c r="DO18" i="7"/>
  <c r="DP10" i="7"/>
  <c r="DP12" i="7" l="1"/>
  <c r="DP11" i="7"/>
  <c r="DR13" i="7"/>
  <c r="DP18" i="7"/>
  <c r="DQ10" i="7"/>
  <c r="DQ12" i="7" l="1"/>
  <c r="DQ11" i="7"/>
  <c r="DS13" i="7"/>
  <c r="DQ18" i="7"/>
  <c r="DR10" i="7"/>
  <c r="DR11" i="7" l="1"/>
  <c r="DR12" i="7"/>
  <c r="DT13" i="7"/>
  <c r="DR18" i="7"/>
  <c r="DS10" i="7"/>
  <c r="DS12" i="7" l="1"/>
  <c r="DS11" i="7"/>
  <c r="DU13" i="7"/>
  <c r="DS18" i="7"/>
  <c r="DT10" i="7"/>
  <c r="DT12" i="7" l="1"/>
  <c r="DT11" i="7"/>
  <c r="DV13" i="7"/>
  <c r="DT18" i="7"/>
  <c r="DU10" i="7"/>
  <c r="DU11" i="7" l="1"/>
  <c r="DU12" i="7"/>
  <c r="DW13" i="7"/>
  <c r="DU18" i="7"/>
  <c r="DV10" i="7"/>
  <c r="DV11" i="7" l="1"/>
  <c r="DV12" i="7"/>
  <c r="DX13" i="7"/>
  <c r="DV18" i="7"/>
  <c r="DW10" i="7"/>
  <c r="DW11" i="7" l="1"/>
  <c r="DW12" i="7"/>
  <c r="DY13" i="7"/>
  <c r="DW18" i="7"/>
  <c r="DX10" i="7"/>
  <c r="DX11" i="7" l="1"/>
  <c r="DX12" i="7"/>
  <c r="DZ13" i="7"/>
  <c r="DX18" i="7"/>
  <c r="DY10" i="7"/>
  <c r="DY12" i="7" l="1"/>
  <c r="DY11" i="7"/>
  <c r="EA13" i="7"/>
  <c r="DY18" i="7"/>
  <c r="DZ10" i="7"/>
  <c r="DZ11" i="7" l="1"/>
  <c r="DZ12" i="7"/>
  <c r="EB13" i="7"/>
  <c r="DZ18" i="7"/>
  <c r="EA10" i="7"/>
  <c r="EA12" i="7" l="1"/>
  <c r="EA11" i="7"/>
  <c r="EC13" i="7"/>
  <c r="EA18" i="7"/>
  <c r="EB10" i="7"/>
  <c r="EB12" i="7" l="1"/>
  <c r="EB11" i="7"/>
  <c r="ED13" i="7"/>
  <c r="EB18" i="7"/>
  <c r="EC10" i="7"/>
  <c r="EC12" i="7" l="1"/>
  <c r="EC11" i="7"/>
  <c r="EE13" i="7"/>
  <c r="EC18" i="7"/>
  <c r="ED10" i="7"/>
  <c r="ED12" i="7" l="1"/>
  <c r="ED11" i="7"/>
  <c r="EF13" i="7"/>
  <c r="ED18" i="7"/>
  <c r="EE10" i="7"/>
  <c r="EE11" i="7" l="1"/>
  <c r="EE12" i="7"/>
  <c r="EG13" i="7"/>
  <c r="EE18" i="7"/>
  <c r="EF10" i="7"/>
  <c r="EF12" i="7" l="1"/>
  <c r="EF11" i="7"/>
  <c r="EH13" i="7"/>
  <c r="EF18" i="7"/>
  <c r="EG10" i="7"/>
  <c r="EG11" i="7" l="1"/>
  <c r="EG12" i="7"/>
  <c r="EI13" i="7"/>
  <c r="EG18" i="7"/>
  <c r="EH10" i="7"/>
  <c r="EH11" i="7" l="1"/>
  <c r="EH12" i="7"/>
  <c r="EJ13" i="7"/>
  <c r="EH18" i="7"/>
  <c r="EI10" i="7"/>
  <c r="EI11" i="7" l="1"/>
  <c r="EI12" i="7"/>
  <c r="EK13" i="7"/>
  <c r="EI18" i="7"/>
  <c r="EJ10" i="7"/>
  <c r="EJ11" i="7" l="1"/>
  <c r="EJ12" i="7"/>
  <c r="EL13" i="7"/>
  <c r="EJ18" i="7"/>
  <c r="EK10" i="7"/>
  <c r="EK11" i="7" l="1"/>
  <c r="EK12" i="7"/>
  <c r="EM13" i="7"/>
  <c r="EK18" i="7"/>
  <c r="EL10" i="7"/>
  <c r="EL12" i="7" l="1"/>
  <c r="EL11" i="7"/>
  <c r="EN13" i="7"/>
  <c r="EL18" i="7"/>
  <c r="EM10" i="7"/>
  <c r="EM11" i="7" l="1"/>
  <c r="EM12" i="7"/>
  <c r="EO13" i="7"/>
  <c r="EM18" i="7"/>
  <c r="EN10" i="7"/>
  <c r="EN11" i="7" l="1"/>
  <c r="EN12" i="7"/>
  <c r="EP13" i="7"/>
  <c r="EN18" i="7"/>
  <c r="EO10" i="7"/>
  <c r="EO11" i="7" l="1"/>
  <c r="EO12" i="7"/>
  <c r="EQ13" i="7"/>
  <c r="EO18" i="7"/>
  <c r="EP10" i="7"/>
  <c r="EP11" i="7" l="1"/>
  <c r="EP12" i="7"/>
  <c r="ER13" i="7"/>
  <c r="EP18" i="7"/>
  <c r="EQ10" i="7"/>
  <c r="EQ12" i="7" l="1"/>
  <c r="EQ11" i="7"/>
  <c r="ES13" i="7"/>
  <c r="EQ18" i="7"/>
  <c r="ER10" i="7"/>
  <c r="ER12" i="7" l="1"/>
  <c r="ER11" i="7"/>
  <c r="ET13" i="7"/>
  <c r="ER18" i="7"/>
  <c r="ES10" i="7"/>
  <c r="ES11" i="7" l="1"/>
  <c r="ES12" i="7"/>
  <c r="EU13" i="7"/>
  <c r="ES18" i="7"/>
  <c r="ET10" i="7"/>
  <c r="ET12" i="7" l="1"/>
  <c r="ET11" i="7"/>
  <c r="EV13" i="7"/>
  <c r="ET18" i="7"/>
  <c r="EU10" i="7"/>
  <c r="EU11" i="7" l="1"/>
  <c r="EU12" i="7"/>
  <c r="EW13" i="7"/>
  <c r="EU18" i="7"/>
  <c r="EV10" i="7"/>
  <c r="EV11" i="7" l="1"/>
  <c r="EV12" i="7"/>
  <c r="EX13" i="7"/>
  <c r="EV18" i="7"/>
  <c r="EW10" i="7"/>
  <c r="EW11" i="7" l="1"/>
  <c r="EW12" i="7"/>
  <c r="EY13" i="7"/>
  <c r="EW18" i="7"/>
  <c r="EX10" i="7"/>
  <c r="EX11" i="7" l="1"/>
  <c r="EX12" i="7"/>
  <c r="EZ13" i="7"/>
  <c r="EX18" i="7"/>
  <c r="EY10" i="7"/>
  <c r="EY11" i="7" l="1"/>
  <c r="EY12" i="7"/>
  <c r="FA13" i="7"/>
  <c r="EY18" i="7"/>
  <c r="EZ10" i="7"/>
  <c r="EZ12" i="7" l="1"/>
  <c r="EZ11" i="7"/>
  <c r="FB13" i="7"/>
  <c r="EZ18" i="7"/>
  <c r="FA10" i="7"/>
  <c r="FA12" i="7" l="1"/>
  <c r="FA11" i="7"/>
  <c r="FC13" i="7"/>
  <c r="FA18" i="7"/>
  <c r="FB10" i="7"/>
  <c r="FB12" i="7" l="1"/>
  <c r="FB11" i="7"/>
  <c r="FD13" i="7"/>
  <c r="FB18" i="7"/>
  <c r="FC10" i="7"/>
  <c r="FC11" i="7" l="1"/>
  <c r="FC12" i="7"/>
  <c r="FE13" i="7"/>
  <c r="FC18" i="7"/>
  <c r="FD10" i="7"/>
  <c r="FD11" i="7" l="1"/>
  <c r="FD12" i="7"/>
  <c r="FF13" i="7"/>
  <c r="FD18" i="7"/>
  <c r="FE10" i="7"/>
  <c r="FE11" i="7" l="1"/>
  <c r="FE12" i="7"/>
  <c r="FG13" i="7"/>
  <c r="FE18" i="7"/>
  <c r="FF10" i="7"/>
  <c r="FF11" i="7" l="1"/>
  <c r="FF12" i="7"/>
  <c r="FH13" i="7"/>
  <c r="FF18" i="7"/>
  <c r="FG10" i="7"/>
  <c r="FG11" i="7" l="1"/>
  <c r="FG12" i="7"/>
  <c r="FI13" i="7"/>
  <c r="FG18" i="7"/>
  <c r="FH10" i="7"/>
  <c r="FH11" i="7" l="1"/>
  <c r="FH12" i="7"/>
  <c r="FJ13" i="7"/>
  <c r="FH18" i="7"/>
  <c r="FI10" i="7"/>
  <c r="FI12" i="7" l="1"/>
  <c r="FI11" i="7"/>
  <c r="FK13" i="7"/>
  <c r="FI18" i="7"/>
  <c r="FJ10" i="7"/>
  <c r="B26" i="13"/>
  <c r="FJ12" i="7" l="1"/>
  <c r="FJ11" i="7"/>
  <c r="FL13" i="7"/>
  <c r="FJ18" i="7"/>
  <c r="FK10" i="7"/>
  <c r="FK12" i="7" l="1"/>
  <c r="FK11" i="7"/>
  <c r="FM13" i="7"/>
  <c r="FK18" i="7"/>
  <c r="FL10" i="7"/>
  <c r="C21" i="11"/>
  <c r="FL11" i="7" l="1"/>
  <c r="FL12" i="7"/>
  <c r="FN13" i="7"/>
  <c r="FL18" i="7"/>
  <c r="FM10" i="7"/>
  <c r="FM12" i="7" l="1"/>
  <c r="FM11" i="7"/>
  <c r="FO13" i="7"/>
  <c r="FM18" i="7"/>
  <c r="FN10" i="7"/>
  <c r="C26" i="13"/>
  <c r="FN11" i="7" l="1"/>
  <c r="FN12" i="7"/>
  <c r="FP13" i="7"/>
  <c r="FN18" i="7"/>
  <c r="FO10" i="7"/>
  <c r="FO11" i="7" l="1"/>
  <c r="FO12" i="7"/>
  <c r="FQ13" i="7"/>
  <c r="FO18" i="7"/>
  <c r="FP10" i="7"/>
  <c r="FP11" i="7" l="1"/>
  <c r="FP12" i="7"/>
  <c r="FR13" i="7"/>
  <c r="FP18" i="7"/>
  <c r="FQ10" i="7"/>
  <c r="C21" i="15"/>
  <c r="D21" i="11"/>
  <c r="C23" i="15" s="1"/>
  <c r="FQ11" i="7" l="1"/>
  <c r="FQ12" i="7"/>
  <c r="FS13" i="7"/>
  <c r="FQ18" i="7"/>
  <c r="FR10" i="7"/>
  <c r="FR12" i="7" l="1"/>
  <c r="FR11" i="7"/>
  <c r="FT13" i="7"/>
  <c r="FR18" i="7"/>
  <c r="FS10" i="7"/>
  <c r="B25" i="16" a="1"/>
  <c r="B25" i="16" s="1"/>
  <c r="D26" i="13"/>
  <c r="FS12" i="7" l="1"/>
  <c r="FS11" i="7"/>
  <c r="FU13" i="7"/>
  <c r="FS18" i="7"/>
  <c r="FT10" i="7"/>
  <c r="B26" i="16" a="1"/>
  <c r="B26" i="16" s="1"/>
  <c r="FT11" i="7" l="1"/>
  <c r="FT12" i="7"/>
  <c r="FV13" i="7"/>
  <c r="FT18" i="7"/>
  <c r="FU10" i="7"/>
  <c r="E21" i="11"/>
  <c r="FU12" i="7" l="1"/>
  <c r="FU11" i="7"/>
  <c r="FW13" i="7"/>
  <c r="FU18" i="7"/>
  <c r="FV10" i="7"/>
  <c r="E26" i="13"/>
  <c r="FV11" i="7" l="1"/>
  <c r="FV12" i="7"/>
  <c r="FX13" i="7"/>
  <c r="FV18" i="7"/>
  <c r="FW10" i="7"/>
  <c r="FW12" i="7" l="1"/>
  <c r="FW11" i="7"/>
  <c r="FY13" i="7"/>
  <c r="FW18" i="7"/>
  <c r="FX10" i="7"/>
  <c r="FX12" i="7" l="1"/>
  <c r="FX11" i="7"/>
  <c r="FZ13" i="7"/>
  <c r="FX18" i="7"/>
  <c r="FY10" i="7"/>
  <c r="F21" i="11"/>
  <c r="FY11" i="7" l="1"/>
  <c r="FY12" i="7"/>
  <c r="FY18" i="7"/>
  <c r="FZ10" i="7"/>
  <c r="K16" i="7" s="1"/>
  <c r="F26" i="13"/>
  <c r="AG14" i="7" l="1"/>
  <c r="AK14" i="7"/>
  <c r="G16" i="7"/>
  <c r="G6" i="11" s="1"/>
  <c r="G7" i="11" s="1"/>
  <c r="EA16" i="7"/>
  <c r="EA17" i="7" s="1"/>
  <c r="EA19" i="7" s="1"/>
  <c r="EA20" i="7" s="1"/>
  <c r="DI16" i="7"/>
  <c r="DI17" i="7" s="1"/>
  <c r="DI19" i="7" s="1"/>
  <c r="DI20" i="7" s="1"/>
  <c r="FL16" i="7"/>
  <c r="FL17" i="7" s="1"/>
  <c r="FL19" i="7" s="1"/>
  <c r="FL20" i="7" s="1"/>
  <c r="FO16" i="7"/>
  <c r="FO17" i="7" s="1"/>
  <c r="FO19" i="7" s="1"/>
  <c r="FO20" i="7" s="1"/>
  <c r="FX16" i="7"/>
  <c r="FX17" i="7" s="1"/>
  <c r="FX19" i="7" s="1"/>
  <c r="FX20" i="7" s="1"/>
  <c r="FP16" i="7"/>
  <c r="FP17" i="7" s="1"/>
  <c r="FP19" i="7" s="1"/>
  <c r="FP20" i="7" s="1"/>
  <c r="CS16" i="7"/>
  <c r="CS17" i="7" s="1"/>
  <c r="CS19" i="7" s="1"/>
  <c r="CS20" i="7" s="1"/>
  <c r="FZ16" i="7"/>
  <c r="BD16" i="7"/>
  <c r="EZ16" i="7"/>
  <c r="EZ17" i="7" s="1"/>
  <c r="EZ19" i="7" s="1"/>
  <c r="EZ20" i="7" s="1"/>
  <c r="DA16" i="7"/>
  <c r="DA17" i="7" s="1"/>
  <c r="DA19" i="7" s="1"/>
  <c r="DA20" i="7" s="1"/>
  <c r="DL16" i="7"/>
  <c r="DL17" i="7" s="1"/>
  <c r="DL19" i="7" s="1"/>
  <c r="DL20" i="7" s="1"/>
  <c r="FE16" i="7"/>
  <c r="FE17" i="7" s="1"/>
  <c r="FE19" i="7" s="1"/>
  <c r="FE20" i="7" s="1"/>
  <c r="AZ16" i="7"/>
  <c r="AZ6" i="11" s="1"/>
  <c r="AZ7" i="11" s="1"/>
  <c r="EM16" i="7"/>
  <c r="EM17" i="7" s="1"/>
  <c r="EM19" i="7" s="1"/>
  <c r="EM20" i="7" s="1"/>
  <c r="CD16" i="7"/>
  <c r="CD17" i="7" s="1"/>
  <c r="CD19" i="7" s="1"/>
  <c r="CD20" i="7" s="1"/>
  <c r="CT16" i="7"/>
  <c r="CT17" i="7" s="1"/>
  <c r="CT19" i="7" s="1"/>
  <c r="CT20" i="7" s="1"/>
  <c r="FF16" i="7"/>
  <c r="FF17" i="7" s="1"/>
  <c r="FF19" i="7" s="1"/>
  <c r="FF20" i="7" s="1"/>
  <c r="AW16" i="7"/>
  <c r="CC16" i="7"/>
  <c r="CC17" i="7" s="1"/>
  <c r="CC19" i="7" s="1"/>
  <c r="CC20" i="7" s="1"/>
  <c r="Y16" i="7"/>
  <c r="BM16" i="7"/>
  <c r="BM17" i="7" s="1"/>
  <c r="BM19" i="7" s="1"/>
  <c r="BM20" i="7" s="1"/>
  <c r="FB16" i="7"/>
  <c r="FB17" i="7" s="1"/>
  <c r="FB19" i="7" s="1"/>
  <c r="FB20" i="7" s="1"/>
  <c r="DZ16" i="7"/>
  <c r="DZ17" i="7" s="1"/>
  <c r="DZ19" i="7" s="1"/>
  <c r="DZ20" i="7" s="1"/>
  <c r="BK16" i="7"/>
  <c r="BK17" i="7" s="1"/>
  <c r="BK19" i="7" s="1"/>
  <c r="BK20" i="7" s="1"/>
  <c r="CF16" i="7"/>
  <c r="CF17" i="7" s="1"/>
  <c r="CF19" i="7" s="1"/>
  <c r="CF20" i="7" s="1"/>
  <c r="T16" i="7"/>
  <c r="EQ16" i="7"/>
  <c r="EQ17" i="7" s="1"/>
  <c r="EQ19" i="7" s="1"/>
  <c r="EQ20" i="7" s="1"/>
  <c r="AN16" i="7"/>
  <c r="EC16" i="7"/>
  <c r="EC17" i="7" s="1"/>
  <c r="EC19" i="7" s="1"/>
  <c r="EC20" i="7" s="1"/>
  <c r="EO16" i="7"/>
  <c r="EO17" i="7" s="1"/>
  <c r="EO19" i="7" s="1"/>
  <c r="EO20" i="7" s="1"/>
  <c r="AP16" i="7"/>
  <c r="BJ16" i="7"/>
  <c r="BJ17" i="7" s="1"/>
  <c r="BJ19" i="7" s="1"/>
  <c r="BJ20" i="7" s="1"/>
  <c r="FG16" i="7"/>
  <c r="FG17" i="7" s="1"/>
  <c r="FG19" i="7" s="1"/>
  <c r="FG20" i="7" s="1"/>
  <c r="BL16" i="7"/>
  <c r="BL17" i="7" s="1"/>
  <c r="BL19" i="7" s="1"/>
  <c r="BL20" i="7" s="1"/>
  <c r="C16" i="7"/>
  <c r="CJ16" i="7"/>
  <c r="CJ17" i="7" s="1"/>
  <c r="CJ19" i="7" s="1"/>
  <c r="CJ20" i="7" s="1"/>
  <c r="EV16" i="7"/>
  <c r="EV17" i="7" s="1"/>
  <c r="EV19" i="7" s="1"/>
  <c r="EV20" i="7" s="1"/>
  <c r="FS16" i="7"/>
  <c r="FS17" i="7" s="1"/>
  <c r="FS19" i="7" s="1"/>
  <c r="FS20" i="7" s="1"/>
  <c r="BV16" i="7"/>
  <c r="BV17" i="7" s="1"/>
  <c r="BV19" i="7" s="1"/>
  <c r="BV20" i="7" s="1"/>
  <c r="BT16" i="7"/>
  <c r="BT17" i="7" s="1"/>
  <c r="BT19" i="7" s="1"/>
  <c r="BT20" i="7" s="1"/>
  <c r="AO16" i="7"/>
  <c r="Z16" i="7"/>
  <c r="AD16" i="7"/>
  <c r="AD6" i="11" s="1"/>
  <c r="AD7" i="11" s="1"/>
  <c r="CG16" i="7"/>
  <c r="CG17" i="7" s="1"/>
  <c r="CG19" i="7" s="1"/>
  <c r="CG20" i="7" s="1"/>
  <c r="DU16" i="7"/>
  <c r="DU17" i="7" s="1"/>
  <c r="DU19" i="7" s="1"/>
  <c r="DU20" i="7" s="1"/>
  <c r="CW16" i="7"/>
  <c r="CW17" i="7" s="1"/>
  <c r="CW19" i="7" s="1"/>
  <c r="CW20" i="7" s="1"/>
  <c r="W16" i="7"/>
  <c r="DE16" i="7"/>
  <c r="DE17" i="7" s="1"/>
  <c r="DE19" i="7" s="1"/>
  <c r="DE20" i="7" s="1"/>
  <c r="EN16" i="7"/>
  <c r="EN17" i="7" s="1"/>
  <c r="EN19" i="7" s="1"/>
  <c r="EN20" i="7" s="1"/>
  <c r="CX16" i="7"/>
  <c r="CX17" i="7" s="1"/>
  <c r="CX19" i="7" s="1"/>
  <c r="CX20" i="7" s="1"/>
  <c r="BR16" i="7"/>
  <c r="BR17" i="7" s="1"/>
  <c r="BR19" i="7" s="1"/>
  <c r="BR20" i="7" s="1"/>
  <c r="FQ16" i="7"/>
  <c r="FQ17" i="7" s="1"/>
  <c r="FQ19" i="7" s="1"/>
  <c r="FQ20" i="7" s="1"/>
  <c r="BG16" i="7"/>
  <c r="DT16" i="7"/>
  <c r="DT17" i="7" s="1"/>
  <c r="DT19" i="7" s="1"/>
  <c r="DT20" i="7" s="1"/>
  <c r="AQ16" i="7"/>
  <c r="BU16" i="7"/>
  <c r="BU17" i="7" s="1"/>
  <c r="BU19" i="7" s="1"/>
  <c r="BU20" i="7" s="1"/>
  <c r="S16" i="7"/>
  <c r="FI16" i="7"/>
  <c r="FI17" i="7" s="1"/>
  <c r="FI19" i="7" s="1"/>
  <c r="FI20" i="7" s="1"/>
  <c r="CE16" i="7"/>
  <c r="CE17" i="7" s="1"/>
  <c r="CE19" i="7" s="1"/>
  <c r="CE20" i="7" s="1"/>
  <c r="FK16" i="7"/>
  <c r="FK17" i="7" s="1"/>
  <c r="FK19" i="7" s="1"/>
  <c r="FK20" i="7" s="1"/>
  <c r="BB16" i="7"/>
  <c r="CK16" i="7"/>
  <c r="CK17" i="7" s="1"/>
  <c r="CK19" i="7" s="1"/>
  <c r="CK20" i="7" s="1"/>
  <c r="BN16" i="7"/>
  <c r="BN17" i="7" s="1"/>
  <c r="BN19" i="7" s="1"/>
  <c r="BN20" i="7" s="1"/>
  <c r="AB14" i="7"/>
  <c r="BO16" i="7"/>
  <c r="BO17" i="7" s="1"/>
  <c r="BO19" i="7" s="1"/>
  <c r="BO20" i="7" s="1"/>
  <c r="AU16" i="7"/>
  <c r="P16" i="7"/>
  <c r="DB16" i="7"/>
  <c r="DB17" i="7" s="1"/>
  <c r="DB19" i="7" s="1"/>
  <c r="DB20" i="7" s="1"/>
  <c r="BE16" i="7"/>
  <c r="AI16" i="7"/>
  <c r="CV16" i="7"/>
  <c r="CV17" i="7" s="1"/>
  <c r="CV19" i="7" s="1"/>
  <c r="CV20" i="7" s="1"/>
  <c r="BZ16" i="7"/>
  <c r="BZ17" i="7" s="1"/>
  <c r="BZ19" i="7" s="1"/>
  <c r="BZ20" i="7" s="1"/>
  <c r="BP16" i="7"/>
  <c r="BP17" i="7" s="1"/>
  <c r="BP19" i="7" s="1"/>
  <c r="BP20" i="7" s="1"/>
  <c r="AJ16" i="7"/>
  <c r="AJ6" i="11" s="1"/>
  <c r="AJ7" i="11" s="1"/>
  <c r="ER16" i="7"/>
  <c r="ER17" i="7" s="1"/>
  <c r="ER19" i="7" s="1"/>
  <c r="ER20" i="7" s="1"/>
  <c r="DG16" i="7"/>
  <c r="DG17" i="7" s="1"/>
  <c r="DG19" i="7" s="1"/>
  <c r="DG20" i="7" s="1"/>
  <c r="AG16" i="7"/>
  <c r="AG6" i="11" s="1"/>
  <c r="AG7" i="11" s="1"/>
  <c r="FJ16" i="7"/>
  <c r="FJ17" i="7" s="1"/>
  <c r="FJ19" i="7" s="1"/>
  <c r="FJ20" i="7" s="1"/>
  <c r="BH16" i="7"/>
  <c r="DO16" i="7"/>
  <c r="DO17" i="7" s="1"/>
  <c r="DO19" i="7" s="1"/>
  <c r="DO20" i="7" s="1"/>
  <c r="Q16" i="7"/>
  <c r="ET16" i="7"/>
  <c r="ET17" i="7" s="1"/>
  <c r="ET19" i="7" s="1"/>
  <c r="ET20" i="7" s="1"/>
  <c r="AY16" i="7"/>
  <c r="FR16" i="7"/>
  <c r="FR17" i="7" s="1"/>
  <c r="FR19" i="7" s="1"/>
  <c r="FR20" i="7" s="1"/>
  <c r="BX16" i="7"/>
  <c r="BX17" i="7" s="1"/>
  <c r="BX19" i="7" s="1"/>
  <c r="BX20" i="7" s="1"/>
  <c r="CN16" i="7"/>
  <c r="CN17" i="7" s="1"/>
  <c r="CN19" i="7" s="1"/>
  <c r="CN20" i="7" s="1"/>
  <c r="EK16" i="7"/>
  <c r="EK17" i="7" s="1"/>
  <c r="EK19" i="7" s="1"/>
  <c r="EK20" i="7" s="1"/>
  <c r="EE16" i="7"/>
  <c r="EE17" i="7" s="1"/>
  <c r="EE19" i="7" s="1"/>
  <c r="EE20" i="7" s="1"/>
  <c r="AI14" i="7"/>
  <c r="FY16" i="7"/>
  <c r="FY17" i="7" s="1"/>
  <c r="FY19" i="7" s="1"/>
  <c r="FA16" i="7"/>
  <c r="FA17" i="7" s="1"/>
  <c r="FA19" i="7" s="1"/>
  <c r="FA20" i="7" s="1"/>
  <c r="H16" i="7"/>
  <c r="BF16" i="7"/>
  <c r="CP16" i="7"/>
  <c r="CP17" i="7" s="1"/>
  <c r="CP19" i="7" s="1"/>
  <c r="CP20" i="7" s="1"/>
  <c r="R16" i="7"/>
  <c r="FT16" i="7"/>
  <c r="FT17" i="7" s="1"/>
  <c r="FT19" i="7" s="1"/>
  <c r="FT20" i="7" s="1"/>
  <c r="EW16" i="7"/>
  <c r="EW17" i="7" s="1"/>
  <c r="EW19" i="7" s="1"/>
  <c r="EW20" i="7" s="1"/>
  <c r="N16" i="7"/>
  <c r="CR16" i="7"/>
  <c r="CR17" i="7" s="1"/>
  <c r="CR19" i="7" s="1"/>
  <c r="CR20" i="7" s="1"/>
  <c r="O16" i="7"/>
  <c r="AF16" i="7"/>
  <c r="DF16" i="7"/>
  <c r="DF17" i="7" s="1"/>
  <c r="DF19" i="7" s="1"/>
  <c r="DF20" i="7" s="1"/>
  <c r="AC16" i="7"/>
  <c r="X16" i="7"/>
  <c r="DK16" i="7"/>
  <c r="DK17" i="7" s="1"/>
  <c r="DK19" i="7" s="1"/>
  <c r="DK20" i="7" s="1"/>
  <c r="AX16" i="7"/>
  <c r="CO16" i="7"/>
  <c r="CO17" i="7" s="1"/>
  <c r="CO19" i="7" s="1"/>
  <c r="CO20" i="7" s="1"/>
  <c r="FH16" i="7"/>
  <c r="FH17" i="7" s="1"/>
  <c r="FH19" i="7" s="1"/>
  <c r="FH20" i="7" s="1"/>
  <c r="AA16" i="7"/>
  <c r="AA6" i="11" s="1"/>
  <c r="AA7" i="11" s="1"/>
  <c r="AH16" i="7"/>
  <c r="AH6" i="11" s="1"/>
  <c r="AH7" i="11" s="1"/>
  <c r="CQ16" i="7"/>
  <c r="CQ17" i="7" s="1"/>
  <c r="CQ19" i="7" s="1"/>
  <c r="CQ20" i="7" s="1"/>
  <c r="F16" i="7"/>
  <c r="CY16" i="7"/>
  <c r="CY17" i="7" s="1"/>
  <c r="CY19" i="7" s="1"/>
  <c r="CY20" i="7" s="1"/>
  <c r="EX16" i="7"/>
  <c r="EX17" i="7" s="1"/>
  <c r="EX19" i="7" s="1"/>
  <c r="EX20" i="7" s="1"/>
  <c r="V16" i="7"/>
  <c r="ES16" i="7"/>
  <c r="ES17" i="7" s="1"/>
  <c r="ES19" i="7" s="1"/>
  <c r="ES20" i="7" s="1"/>
  <c r="CM16" i="7"/>
  <c r="CM17" i="7" s="1"/>
  <c r="CM19" i="7" s="1"/>
  <c r="CM20" i="7" s="1"/>
  <c r="FC16" i="7"/>
  <c r="FC17" i="7" s="1"/>
  <c r="FC19" i="7" s="1"/>
  <c r="FC20" i="7" s="1"/>
  <c r="AK16" i="7"/>
  <c r="DQ16" i="7"/>
  <c r="DQ17" i="7" s="1"/>
  <c r="DQ19" i="7" s="1"/>
  <c r="DQ20" i="7" s="1"/>
  <c r="FW16" i="7"/>
  <c r="FW17" i="7" s="1"/>
  <c r="FW19" i="7" s="1"/>
  <c r="FW20" i="7" s="1"/>
  <c r="BS16" i="7"/>
  <c r="BS17" i="7" s="1"/>
  <c r="BS19" i="7" s="1"/>
  <c r="BS20" i="7" s="1"/>
  <c r="FN16" i="7"/>
  <c r="FN17" i="7" s="1"/>
  <c r="FN19" i="7" s="1"/>
  <c r="FN20" i="7" s="1"/>
  <c r="EY16" i="7"/>
  <c r="EY17" i="7" s="1"/>
  <c r="EY19" i="7" s="1"/>
  <c r="EY20" i="7" s="1"/>
  <c r="E16" i="7"/>
  <c r="DC16" i="7"/>
  <c r="DC17" i="7" s="1"/>
  <c r="DC19" i="7" s="1"/>
  <c r="DC20" i="7" s="1"/>
  <c r="D16" i="7"/>
  <c r="U16" i="7"/>
  <c r="L16" i="7"/>
  <c r="BY16" i="7"/>
  <c r="BY17" i="7" s="1"/>
  <c r="BY19" i="7" s="1"/>
  <c r="BY20" i="7" s="1"/>
  <c r="EG16" i="7"/>
  <c r="EG17" i="7" s="1"/>
  <c r="EG19" i="7" s="1"/>
  <c r="EG20" i="7" s="1"/>
  <c r="B16" i="7"/>
  <c r="FD16" i="7"/>
  <c r="FD17" i="7" s="1"/>
  <c r="FD19" i="7" s="1"/>
  <c r="FD20" i="7" s="1"/>
  <c r="DM16" i="7"/>
  <c r="DM17" i="7" s="1"/>
  <c r="DM19" i="7" s="1"/>
  <c r="DM20" i="7" s="1"/>
  <c r="AV16" i="7"/>
  <c r="BA16" i="7"/>
  <c r="M16" i="7"/>
  <c r="AT16" i="7"/>
  <c r="CH16" i="7"/>
  <c r="CH17" i="7" s="1"/>
  <c r="CH19" i="7" s="1"/>
  <c r="CH20" i="7" s="1"/>
  <c r="AS16" i="7"/>
  <c r="EU16" i="7"/>
  <c r="EU17" i="7" s="1"/>
  <c r="EU19" i="7" s="1"/>
  <c r="EU20" i="7" s="1"/>
  <c r="AL16" i="7"/>
  <c r="EJ16" i="7"/>
  <c r="EJ17" i="7" s="1"/>
  <c r="EJ19" i="7" s="1"/>
  <c r="EJ20" i="7" s="1"/>
  <c r="AR16" i="7"/>
  <c r="DS16" i="7"/>
  <c r="DS17" i="7" s="1"/>
  <c r="DS19" i="7" s="1"/>
  <c r="DS20" i="7" s="1"/>
  <c r="BC16" i="7"/>
  <c r="DH16" i="7"/>
  <c r="DH17" i="7" s="1"/>
  <c r="DH19" i="7" s="1"/>
  <c r="DH20" i="7" s="1"/>
  <c r="AM16" i="7"/>
  <c r="BW16" i="7"/>
  <c r="BW17" i="7" s="1"/>
  <c r="BW19" i="7" s="1"/>
  <c r="BW20" i="7" s="1"/>
  <c r="EB16" i="7"/>
  <c r="EB17" i="7" s="1"/>
  <c r="EB19" i="7" s="1"/>
  <c r="EB20" i="7" s="1"/>
  <c r="CU16" i="7"/>
  <c r="CU17" i="7" s="1"/>
  <c r="CU19" i="7" s="1"/>
  <c r="CU20" i="7" s="1"/>
  <c r="CA16" i="7"/>
  <c r="CA17" i="7" s="1"/>
  <c r="CA19" i="7" s="1"/>
  <c r="CA20" i="7" s="1"/>
  <c r="EL16" i="7"/>
  <c r="EL17" i="7" s="1"/>
  <c r="EL19" i="7" s="1"/>
  <c r="EL20" i="7" s="1"/>
  <c r="DP16" i="7"/>
  <c r="DP17" i="7" s="1"/>
  <c r="DP19" i="7" s="1"/>
  <c r="DP20" i="7" s="1"/>
  <c r="CI16" i="7"/>
  <c r="CI17" i="7" s="1"/>
  <c r="CI19" i="7" s="1"/>
  <c r="CI20" i="7" s="1"/>
  <c r="EF16" i="7"/>
  <c r="EF17" i="7" s="1"/>
  <c r="EF19" i="7" s="1"/>
  <c r="EF20" i="7" s="1"/>
  <c r="EP16" i="7"/>
  <c r="EP17" i="7" s="1"/>
  <c r="EP19" i="7" s="1"/>
  <c r="EP20" i="7" s="1"/>
  <c r="FU16" i="7"/>
  <c r="FU17" i="7" s="1"/>
  <c r="FU19" i="7" s="1"/>
  <c r="FU20" i="7" s="1"/>
  <c r="K6" i="11"/>
  <c r="K17" i="7"/>
  <c r="I16" i="7"/>
  <c r="EI16" i="7"/>
  <c r="EI17" i="7" s="1"/>
  <c r="EI19" i="7" s="1"/>
  <c r="EI20" i="7" s="1"/>
  <c r="AE16" i="7"/>
  <c r="AE6" i="11" s="1"/>
  <c r="AE7" i="11" s="1"/>
  <c r="DR16" i="7"/>
  <c r="DR17" i="7" s="1"/>
  <c r="DR19" i="7" s="1"/>
  <c r="DR20" i="7" s="1"/>
  <c r="CZ16" i="7"/>
  <c r="CZ17" i="7" s="1"/>
  <c r="CZ19" i="7" s="1"/>
  <c r="CZ20" i="7" s="1"/>
  <c r="DJ16" i="7"/>
  <c r="DJ17" i="7" s="1"/>
  <c r="DJ19" i="7" s="1"/>
  <c r="DJ20" i="7" s="1"/>
  <c r="BQ16" i="7"/>
  <c r="BQ17" i="7" s="1"/>
  <c r="BQ19" i="7" s="1"/>
  <c r="BQ20" i="7" s="1"/>
  <c r="DY16" i="7"/>
  <c r="DY17" i="7" s="1"/>
  <c r="DY19" i="7" s="1"/>
  <c r="DY20" i="7" s="1"/>
  <c r="DN16" i="7"/>
  <c r="DN17" i="7" s="1"/>
  <c r="DN19" i="7" s="1"/>
  <c r="DN20" i="7" s="1"/>
  <c r="EH16" i="7"/>
  <c r="EH17" i="7" s="1"/>
  <c r="EH19" i="7" s="1"/>
  <c r="EH20" i="7" s="1"/>
  <c r="CL16" i="7"/>
  <c r="CL17" i="7" s="1"/>
  <c r="CL19" i="7" s="1"/>
  <c r="CL20" i="7" s="1"/>
  <c r="BI16" i="7"/>
  <c r="J16" i="7"/>
  <c r="DV16" i="7"/>
  <c r="DV17" i="7" s="1"/>
  <c r="DV19" i="7" s="1"/>
  <c r="DV20" i="7" s="1"/>
  <c r="DW16" i="7"/>
  <c r="DW17" i="7" s="1"/>
  <c r="DW19" i="7" s="1"/>
  <c r="DW20" i="7" s="1"/>
  <c r="AB16" i="7"/>
  <c r="AB6" i="11" s="1"/>
  <c r="AB7" i="11" s="1"/>
  <c r="CB16" i="7"/>
  <c r="CB17" i="7" s="1"/>
  <c r="CB19" i="7" s="1"/>
  <c r="CB20" i="7" s="1"/>
  <c r="ED16" i="7"/>
  <c r="ED17" i="7" s="1"/>
  <c r="ED19" i="7" s="1"/>
  <c r="ED20" i="7" s="1"/>
  <c r="DX16" i="7"/>
  <c r="DX17" i="7" s="1"/>
  <c r="DX19" i="7" s="1"/>
  <c r="DX20" i="7" s="1"/>
  <c r="FV16" i="7"/>
  <c r="FV17" i="7" s="1"/>
  <c r="FV19" i="7" s="1"/>
  <c r="FV20" i="7" s="1"/>
  <c r="FM16" i="7"/>
  <c r="FM17" i="7" s="1"/>
  <c r="FM19" i="7" s="1"/>
  <c r="FM20" i="7" s="1"/>
  <c r="DD16" i="7"/>
  <c r="DD17" i="7" s="1"/>
  <c r="DD19" i="7" s="1"/>
  <c r="DD20" i="7" s="1"/>
  <c r="FZ12" i="7"/>
  <c r="FZ11" i="7"/>
  <c r="FZ18" i="7"/>
  <c r="AJ14" i="7"/>
  <c r="AJ17" i="7" s="1"/>
  <c r="AJ19" i="7" s="1"/>
  <c r="AJ20" i="7" s="1"/>
  <c r="AA14" i="7"/>
  <c r="J14" i="17" s="1"/>
  <c r="AH14" i="7"/>
  <c r="AC14" i="7"/>
  <c r="AK15" i="7"/>
  <c r="AE14" i="7"/>
  <c r="AF14" i="7"/>
  <c r="AD14" i="7"/>
  <c r="AD17" i="7" l="1"/>
  <c r="AD19" i="7" s="1"/>
  <c r="AD20" i="7" s="1"/>
  <c r="R16" i="17"/>
  <c r="AZ17" i="7"/>
  <c r="AZ19" i="7" s="1"/>
  <c r="AZ20" i="7" s="1"/>
  <c r="AZ31" i="11" s="1"/>
  <c r="P16" i="17"/>
  <c r="E16" i="17"/>
  <c r="C16" i="17"/>
  <c r="K14" i="17"/>
  <c r="AK6" i="11"/>
  <c r="AK7" i="11" s="1"/>
  <c r="M15" i="17"/>
  <c r="L14" i="17"/>
  <c r="M14" i="17"/>
  <c r="G16" i="17"/>
  <c r="O16" i="17"/>
  <c r="K19" i="7"/>
  <c r="S16" i="17"/>
  <c r="H16" i="17"/>
  <c r="AC6" i="11"/>
  <c r="AC7" i="11" s="1"/>
  <c r="K16" i="17"/>
  <c r="I16" i="17"/>
  <c r="N16" i="17"/>
  <c r="AI6" i="11"/>
  <c r="AI7" i="11" s="1"/>
  <c r="AI12" i="11" s="1"/>
  <c r="M16" i="17"/>
  <c r="BD6" i="11"/>
  <c r="BD7" i="11" s="1"/>
  <c r="T16" i="17"/>
  <c r="AF6" i="11"/>
  <c r="M8" i="15" s="1"/>
  <c r="L16" i="17"/>
  <c r="U16" i="17"/>
  <c r="D16" i="17"/>
  <c r="F16" i="17"/>
  <c r="Q16" i="17"/>
  <c r="J16" i="17"/>
  <c r="B16" i="17"/>
  <c r="FZ17" i="7"/>
  <c r="FZ19" i="7" s="1"/>
  <c r="FZ20" i="7" s="1"/>
  <c r="G17" i="7"/>
  <c r="G19" i="7" s="1"/>
  <c r="G20" i="7" s="1"/>
  <c r="G39" i="7" s="1"/>
  <c r="AG17" i="7"/>
  <c r="AG19" i="7" s="1"/>
  <c r="AG20" i="7" s="1"/>
  <c r="AF17" i="7"/>
  <c r="AA17" i="7"/>
  <c r="AA19" i="7" s="1"/>
  <c r="AA20" i="7" s="1"/>
  <c r="AA28" i="7" s="1"/>
  <c r="AA30" i="7" s="1"/>
  <c r="AC17" i="7"/>
  <c r="AE17" i="7"/>
  <c r="AE19" i="7" s="1"/>
  <c r="AE20" i="7" s="1"/>
  <c r="AE39" i="7" s="1"/>
  <c r="AI17" i="7"/>
  <c r="AH17" i="7"/>
  <c r="AH19" i="7" s="1"/>
  <c r="AH20" i="7" s="1"/>
  <c r="AH28" i="7" s="1"/>
  <c r="AH30" i="7" s="1"/>
  <c r="BD17" i="7"/>
  <c r="K7" i="11"/>
  <c r="L6" i="11"/>
  <c r="L7" i="11" s="1"/>
  <c r="L17" i="7"/>
  <c r="L19" i="7" s="1"/>
  <c r="L20" i="7" s="1"/>
  <c r="AX6" i="11"/>
  <c r="AX17" i="7"/>
  <c r="N6" i="11"/>
  <c r="N17" i="7"/>
  <c r="AJ12" i="11"/>
  <c r="AJ10" i="11"/>
  <c r="AJ11" i="11"/>
  <c r="AU6" i="11"/>
  <c r="AU17" i="7"/>
  <c r="Z6" i="11"/>
  <c r="Z17" i="7"/>
  <c r="AN6" i="11"/>
  <c r="AN7" i="11" s="1"/>
  <c r="AN17" i="7"/>
  <c r="AN19" i="7" s="1"/>
  <c r="AN20" i="7" s="1"/>
  <c r="AN31" i="11" s="1"/>
  <c r="Y6" i="11"/>
  <c r="Y7" i="11" s="1"/>
  <c r="Y17" i="7"/>
  <c r="Y19" i="7" s="1"/>
  <c r="Y20" i="7" s="1"/>
  <c r="Y39" i="7" s="1"/>
  <c r="AL6" i="11"/>
  <c r="AL17" i="7"/>
  <c r="G12" i="11"/>
  <c r="G10" i="11"/>
  <c r="G11" i="11"/>
  <c r="U6" i="11"/>
  <c r="U7" i="11" s="1"/>
  <c r="U17" i="7"/>
  <c r="U19" i="7" s="1"/>
  <c r="U20" i="7" s="1"/>
  <c r="Q6" i="11"/>
  <c r="Q17" i="7"/>
  <c r="S6" i="11"/>
  <c r="S7" i="11" s="1"/>
  <c r="S17" i="7"/>
  <c r="S19" i="7" s="1"/>
  <c r="S20" i="7" s="1"/>
  <c r="AO6" i="11"/>
  <c r="AO17" i="7"/>
  <c r="C6" i="11"/>
  <c r="C7" i="11" s="1"/>
  <c r="C17" i="7"/>
  <c r="C19" i="7" s="1"/>
  <c r="C20" i="7" s="1"/>
  <c r="J6" i="11"/>
  <c r="J7" i="11" s="1"/>
  <c r="J17" i="7"/>
  <c r="J19" i="7" s="1"/>
  <c r="J20" i="7" s="1"/>
  <c r="AV6" i="11"/>
  <c r="AV7" i="11" s="1"/>
  <c r="AV17" i="7"/>
  <c r="AV19" i="7" s="1"/>
  <c r="AV20" i="7" s="1"/>
  <c r="AV31" i="11" s="1"/>
  <c r="D6" i="11"/>
  <c r="D7" i="11" s="1"/>
  <c r="D17" i="7"/>
  <c r="D19" i="7" s="1"/>
  <c r="D20" i="7" s="1"/>
  <c r="F6" i="11"/>
  <c r="F7" i="11" s="1"/>
  <c r="F17" i="7"/>
  <c r="F19" i="7" s="1"/>
  <c r="F20" i="7" s="1"/>
  <c r="X6" i="11"/>
  <c r="X7" i="11" s="1"/>
  <c r="X17" i="7"/>
  <c r="X19" i="7" s="1"/>
  <c r="X20" i="7" s="1"/>
  <c r="AB17" i="7"/>
  <c r="AB19" i="7" s="1"/>
  <c r="AB20" i="7" s="1"/>
  <c r="T6" i="11"/>
  <c r="T17" i="7"/>
  <c r="AW6" i="11"/>
  <c r="AW7" i="11" s="1"/>
  <c r="AW17" i="7"/>
  <c r="AW19" i="7" s="1"/>
  <c r="AW20" i="7" s="1"/>
  <c r="AW31" i="11" s="1"/>
  <c r="BI6" i="11"/>
  <c r="BI7" i="11" s="1"/>
  <c r="BI17" i="7"/>
  <c r="BI19" i="7" s="1"/>
  <c r="BI20" i="7" s="1"/>
  <c r="BI31" i="11" s="1"/>
  <c r="AM6" i="11"/>
  <c r="AM7" i="11" s="1"/>
  <c r="AM17" i="7"/>
  <c r="AM19" i="7" s="1"/>
  <c r="AM20" i="7" s="1"/>
  <c r="AM31" i="11" s="1"/>
  <c r="AS6" i="11"/>
  <c r="AS7" i="11" s="1"/>
  <c r="AS17" i="7"/>
  <c r="AS19" i="7" s="1"/>
  <c r="AS20" i="7" s="1"/>
  <c r="AS31" i="11" s="1"/>
  <c r="L8" i="15"/>
  <c r="R6" i="11"/>
  <c r="R7" i="11" s="1"/>
  <c r="R17" i="7"/>
  <c r="R19" i="7" s="1"/>
  <c r="R20" i="7" s="1"/>
  <c r="BH6" i="11"/>
  <c r="BH7" i="11" s="1"/>
  <c r="BH17" i="7"/>
  <c r="BH19" i="7" s="1"/>
  <c r="BH20" i="7" s="1"/>
  <c r="BH31" i="11" s="1"/>
  <c r="AQ6" i="11"/>
  <c r="AQ7" i="11" s="1"/>
  <c r="AQ17" i="7"/>
  <c r="AQ19" i="7" s="1"/>
  <c r="AQ20" i="7" s="1"/>
  <c r="AQ31" i="11" s="1"/>
  <c r="W6" i="11"/>
  <c r="W17" i="7"/>
  <c r="AE11" i="11"/>
  <c r="AE12" i="11"/>
  <c r="AE10" i="11"/>
  <c r="E6" i="11"/>
  <c r="E17" i="7"/>
  <c r="AH12" i="11"/>
  <c r="AH11" i="11"/>
  <c r="AH10" i="11"/>
  <c r="AZ12" i="11"/>
  <c r="AZ10" i="11"/>
  <c r="AZ11" i="11"/>
  <c r="BC6" i="11"/>
  <c r="BC7" i="11" s="1"/>
  <c r="BC17" i="7"/>
  <c r="BC19" i="7" s="1"/>
  <c r="BC20" i="7" s="1"/>
  <c r="BC31" i="11" s="1"/>
  <c r="AT6" i="11"/>
  <c r="AT7" i="11" s="1"/>
  <c r="AT17" i="7"/>
  <c r="AT19" i="7" s="1"/>
  <c r="AT20" i="7" s="1"/>
  <c r="AT31" i="11" s="1"/>
  <c r="B6" i="11"/>
  <c r="B17" i="7"/>
  <c r="AA10" i="11"/>
  <c r="AA11" i="11"/>
  <c r="AA12" i="11"/>
  <c r="BF6" i="11"/>
  <c r="BF7" i="11" s="1"/>
  <c r="BF17" i="7"/>
  <c r="BF19" i="7" s="1"/>
  <c r="BF20" i="7" s="1"/>
  <c r="BF31" i="11" s="1"/>
  <c r="AG11" i="11"/>
  <c r="AG12" i="11"/>
  <c r="AG10" i="11"/>
  <c r="BE6" i="11"/>
  <c r="BE7" i="11" s="1"/>
  <c r="BE17" i="7"/>
  <c r="BE19" i="7" s="1"/>
  <c r="BE20" i="7" s="1"/>
  <c r="BE31" i="11" s="1"/>
  <c r="BB6" i="11"/>
  <c r="BB7" i="11" s="1"/>
  <c r="BB17" i="7"/>
  <c r="BB19" i="7" s="1"/>
  <c r="BB20" i="7" s="1"/>
  <c r="BB31" i="11" s="1"/>
  <c r="BG6" i="11"/>
  <c r="BG17" i="7"/>
  <c r="AP6" i="11"/>
  <c r="AP7" i="11" s="1"/>
  <c r="AP17" i="7"/>
  <c r="AP19" i="7" s="1"/>
  <c r="AP20" i="7" s="1"/>
  <c r="AP31" i="11" s="1"/>
  <c r="I6" i="11"/>
  <c r="I7" i="11" s="1"/>
  <c r="I17" i="7"/>
  <c r="I19" i="7" s="1"/>
  <c r="I20" i="7" s="1"/>
  <c r="M6" i="11"/>
  <c r="M7" i="11" s="1"/>
  <c r="M17" i="7"/>
  <c r="M19" i="7" s="1"/>
  <c r="M20" i="7" s="1"/>
  <c r="V6" i="11"/>
  <c r="V7" i="11" s="1"/>
  <c r="V17" i="7"/>
  <c r="V19" i="7" s="1"/>
  <c r="V20" i="7" s="1"/>
  <c r="O6" i="11"/>
  <c r="O7" i="11" s="1"/>
  <c r="O17" i="7"/>
  <c r="O19" i="7" s="1"/>
  <c r="O20" i="7" s="1"/>
  <c r="H6" i="11"/>
  <c r="H17" i="7"/>
  <c r="AB11" i="11"/>
  <c r="AB12" i="11"/>
  <c r="AB10" i="11"/>
  <c r="AR6" i="11"/>
  <c r="AR17" i="7"/>
  <c r="BA6" i="11"/>
  <c r="BA17" i="7"/>
  <c r="AY6" i="11"/>
  <c r="AY7" i="11" s="1"/>
  <c r="AY17" i="7"/>
  <c r="AY19" i="7" s="1"/>
  <c r="AY20" i="7" s="1"/>
  <c r="AY31" i="11" s="1"/>
  <c r="P6" i="11"/>
  <c r="P7" i="11" s="1"/>
  <c r="P17" i="7"/>
  <c r="P19" i="7" s="1"/>
  <c r="P20" i="7" s="1"/>
  <c r="AD11" i="11"/>
  <c r="AD12" i="11"/>
  <c r="AD10" i="11"/>
  <c r="AD28" i="7"/>
  <c r="AD30" i="7" s="1"/>
  <c r="AD39" i="7"/>
  <c r="AD31" i="11"/>
  <c r="AK17" i="7"/>
  <c r="AK19" i="7" s="1"/>
  <c r="FY20" i="7"/>
  <c r="AJ28" i="7"/>
  <c r="AJ30" i="7" s="1"/>
  <c r="AJ31" i="11"/>
  <c r="AJ39" i="7"/>
  <c r="AF7" i="11" l="1"/>
  <c r="AF10" i="11" s="1"/>
  <c r="M12" i="15" s="1"/>
  <c r="AE28" i="7"/>
  <c r="AE30" i="7" s="1"/>
  <c r="AI10" i="11"/>
  <c r="N8" i="15"/>
  <c r="AE31" i="11"/>
  <c r="G31" i="11"/>
  <c r="AH31" i="11"/>
  <c r="K20" i="7"/>
  <c r="E19" i="17"/>
  <c r="H19" i="7"/>
  <c r="D17" i="17"/>
  <c r="E19" i="7"/>
  <c r="C17" i="17"/>
  <c r="BA19" i="7"/>
  <c r="S17" i="17"/>
  <c r="AI11" i="11"/>
  <c r="Q19" i="7"/>
  <c r="G17" i="17"/>
  <c r="AC19" i="7"/>
  <c r="K17" i="17"/>
  <c r="E17" i="17"/>
  <c r="AF19" i="7"/>
  <c r="L17" i="17"/>
  <c r="AA31" i="11"/>
  <c r="AR19" i="7"/>
  <c r="P17" i="17"/>
  <c r="W19" i="7"/>
  <c r="I17" i="17"/>
  <c r="AA39" i="7"/>
  <c r="AO19" i="7"/>
  <c r="O17" i="17"/>
  <c r="N19" i="7"/>
  <c r="F17" i="17"/>
  <c r="BD19" i="7"/>
  <c r="T17" i="17"/>
  <c r="T19" i="7"/>
  <c r="H17" i="17"/>
  <c r="Z19" i="7"/>
  <c r="J17" i="17"/>
  <c r="AX19" i="7"/>
  <c r="R17" i="17"/>
  <c r="AI19" i="7"/>
  <c r="M17" i="17"/>
  <c r="BG19" i="7"/>
  <c r="U17" i="17"/>
  <c r="AL19" i="7"/>
  <c r="N17" i="17"/>
  <c r="AU19" i="7"/>
  <c r="Q17" i="17"/>
  <c r="B17" i="17"/>
  <c r="G28" i="7"/>
  <c r="G30" i="7" s="1"/>
  <c r="AG31" i="11"/>
  <c r="AG28" i="7"/>
  <c r="AG30" i="7" s="1"/>
  <c r="AG39" i="7"/>
  <c r="AH39" i="7"/>
  <c r="U8" i="15"/>
  <c r="M31" i="11"/>
  <c r="M28" i="7"/>
  <c r="M30" i="7" s="1"/>
  <c r="M39" i="7"/>
  <c r="V8" i="15"/>
  <c r="BG7" i="11"/>
  <c r="B7" i="11"/>
  <c r="C28" i="13" s="1"/>
  <c r="C29" i="13" s="1"/>
  <c r="C31" i="13" s="1"/>
  <c r="C8" i="15"/>
  <c r="BH11" i="11"/>
  <c r="BH10" i="11"/>
  <c r="BH12" i="11"/>
  <c r="AM11" i="11"/>
  <c r="AM10" i="11"/>
  <c r="AM12" i="11"/>
  <c r="X31" i="11"/>
  <c r="X39" i="7"/>
  <c r="X28" i="7"/>
  <c r="X30" i="7" s="1"/>
  <c r="J31" i="11"/>
  <c r="J28" i="7"/>
  <c r="J30" i="7" s="1"/>
  <c r="J39" i="7"/>
  <c r="AL7" i="11"/>
  <c r="O8" i="15"/>
  <c r="R8" i="15"/>
  <c r="AU7" i="11"/>
  <c r="L31" i="11"/>
  <c r="L28" i="7"/>
  <c r="L30" i="7" s="1"/>
  <c r="L39" i="7"/>
  <c r="U9" i="15"/>
  <c r="BD10" i="11"/>
  <c r="BD11" i="11"/>
  <c r="BD12" i="11"/>
  <c r="P31" i="11"/>
  <c r="P28" i="7"/>
  <c r="P30" i="7" s="1"/>
  <c r="P39" i="7"/>
  <c r="I31" i="11"/>
  <c r="I39" i="7"/>
  <c r="I28" i="7"/>
  <c r="I30" i="7" s="1"/>
  <c r="BB11" i="11"/>
  <c r="BB12" i="11"/>
  <c r="BB10" i="11"/>
  <c r="AT12" i="11"/>
  <c r="AT10" i="11"/>
  <c r="AT11" i="11"/>
  <c r="R10" i="11"/>
  <c r="R11" i="11"/>
  <c r="R12" i="11"/>
  <c r="BI11" i="11"/>
  <c r="BI12" i="11"/>
  <c r="BI10" i="11"/>
  <c r="F31" i="11"/>
  <c r="F28" i="7"/>
  <c r="F30" i="7" s="1"/>
  <c r="F39" i="7"/>
  <c r="C31" i="11"/>
  <c r="C39" i="7"/>
  <c r="C28" i="7"/>
  <c r="C30" i="7" s="1"/>
  <c r="U31" i="11"/>
  <c r="U28" i="7"/>
  <c r="U30" i="7" s="1"/>
  <c r="U39" i="7"/>
  <c r="Y10" i="11"/>
  <c r="Y12" i="11"/>
  <c r="Y11" i="11"/>
  <c r="M10" i="11"/>
  <c r="M11" i="11"/>
  <c r="M12" i="11"/>
  <c r="BF11" i="11"/>
  <c r="BF10" i="11"/>
  <c r="BF12" i="11"/>
  <c r="AF11" i="11"/>
  <c r="M13" i="15" s="1"/>
  <c r="M9" i="15"/>
  <c r="AF12" i="11"/>
  <c r="F11" i="11"/>
  <c r="F12" i="11"/>
  <c r="F10" i="11"/>
  <c r="C12" i="11"/>
  <c r="C10" i="11"/>
  <c r="C11" i="11"/>
  <c r="U12" i="11"/>
  <c r="U10" i="11"/>
  <c r="U11" i="11"/>
  <c r="Y31" i="11"/>
  <c r="Y28" i="7"/>
  <c r="Y30" i="7" s="1"/>
  <c r="BE11" i="11"/>
  <c r="BE12" i="11"/>
  <c r="BE10" i="11"/>
  <c r="BC11" i="11"/>
  <c r="BC10" i="11"/>
  <c r="BC12" i="11"/>
  <c r="J8" i="15"/>
  <c r="W7" i="11"/>
  <c r="AC10" i="11"/>
  <c r="L12" i="15" s="1"/>
  <c r="AC12" i="11"/>
  <c r="AC11" i="11"/>
  <c r="L13" i="15" s="1"/>
  <c r="L9" i="15"/>
  <c r="AW12" i="11"/>
  <c r="AW11" i="11"/>
  <c r="AW10" i="11"/>
  <c r="D31" i="11"/>
  <c r="D39" i="7"/>
  <c r="D28" i="7"/>
  <c r="D30" i="7" s="1"/>
  <c r="AN11" i="11"/>
  <c r="AN12" i="11"/>
  <c r="AN10" i="11"/>
  <c r="R31" i="11"/>
  <c r="R39" i="7"/>
  <c r="R28" i="7"/>
  <c r="R30" i="7" s="1"/>
  <c r="J12" i="11"/>
  <c r="J10" i="11"/>
  <c r="J11" i="11"/>
  <c r="L11" i="11"/>
  <c r="L12" i="11"/>
  <c r="L10" i="11"/>
  <c r="P11" i="11"/>
  <c r="P12" i="11"/>
  <c r="P10" i="11"/>
  <c r="H7" i="11"/>
  <c r="E8" i="15"/>
  <c r="I11" i="11"/>
  <c r="I12" i="11"/>
  <c r="I10" i="11"/>
  <c r="O31" i="11"/>
  <c r="O39" i="7"/>
  <c r="O28" i="7"/>
  <c r="O30" i="7" s="1"/>
  <c r="AY11" i="11"/>
  <c r="AY10" i="11"/>
  <c r="AY12" i="11"/>
  <c r="O11" i="11"/>
  <c r="O12" i="11"/>
  <c r="O10" i="11"/>
  <c r="D11" i="11"/>
  <c r="D12" i="11"/>
  <c r="D10" i="11"/>
  <c r="P8" i="15"/>
  <c r="AO7" i="11"/>
  <c r="G8" i="15"/>
  <c r="N7" i="11"/>
  <c r="F9" i="15"/>
  <c r="K11" i="11"/>
  <c r="K12" i="11"/>
  <c r="K10" i="11"/>
  <c r="AR7" i="11"/>
  <c r="Q8" i="15"/>
  <c r="Q7" i="11"/>
  <c r="H8" i="15"/>
  <c r="V31" i="11"/>
  <c r="V39" i="7"/>
  <c r="V28" i="7"/>
  <c r="V30" i="7" s="1"/>
  <c r="AP12" i="11"/>
  <c r="AP11" i="11"/>
  <c r="AP10" i="11"/>
  <c r="AQ11" i="11"/>
  <c r="AQ12" i="11"/>
  <c r="AQ10" i="11"/>
  <c r="AS12" i="11"/>
  <c r="AS10" i="11"/>
  <c r="AS11" i="11"/>
  <c r="I8" i="15"/>
  <c r="T7" i="11"/>
  <c r="S31" i="11"/>
  <c r="S28" i="7"/>
  <c r="S30" i="7" s="1"/>
  <c r="S39" i="7"/>
  <c r="K8" i="15"/>
  <c r="Z7" i="11"/>
  <c r="F8" i="15"/>
  <c r="X12" i="11"/>
  <c r="X10" i="11"/>
  <c r="X11" i="11"/>
  <c r="T8" i="15"/>
  <c r="BA7" i="11"/>
  <c r="V11" i="11"/>
  <c r="V12" i="11"/>
  <c r="V10" i="11"/>
  <c r="B19" i="7"/>
  <c r="B19" i="17" s="1"/>
  <c r="E7" i="11"/>
  <c r="D8" i="15"/>
  <c r="AB39" i="7"/>
  <c r="AB28" i="7"/>
  <c r="AB30" i="7" s="1"/>
  <c r="AB31" i="11"/>
  <c r="AV11" i="11"/>
  <c r="AV12" i="11"/>
  <c r="AV10" i="11"/>
  <c r="S12" i="11"/>
  <c r="S10" i="11"/>
  <c r="S11" i="11"/>
  <c r="AX7" i="11"/>
  <c r="S8" i="15"/>
  <c r="AK35" i="7"/>
  <c r="M35" i="17" s="1"/>
  <c r="AK20" i="7"/>
  <c r="N9" i="15"/>
  <c r="AK12" i="11"/>
  <c r="AK10" i="11"/>
  <c r="AK11" i="11"/>
  <c r="G21" i="11"/>
  <c r="D23" i="15" s="1"/>
  <c r="D21" i="15"/>
  <c r="N13" i="15" l="1"/>
  <c r="AL20" i="7"/>
  <c r="N19" i="17"/>
  <c r="Z20" i="7"/>
  <c r="J19" i="17"/>
  <c r="AO20" i="7"/>
  <c r="O19" i="17"/>
  <c r="AF20" i="7"/>
  <c r="L19" i="17"/>
  <c r="BA20" i="7"/>
  <c r="S19" i="17"/>
  <c r="BG20" i="7"/>
  <c r="U19" i="17"/>
  <c r="T20" i="7"/>
  <c r="H19" i="17"/>
  <c r="E20" i="7"/>
  <c r="C19" i="17"/>
  <c r="W20" i="7"/>
  <c r="I19" i="17"/>
  <c r="AC20" i="7"/>
  <c r="AC39" i="7" s="1"/>
  <c r="K19" i="17"/>
  <c r="AI20" i="7"/>
  <c r="M19" i="17"/>
  <c r="BD20" i="7"/>
  <c r="T19" i="17"/>
  <c r="H20" i="7"/>
  <c r="D19" i="17"/>
  <c r="AR20" i="7"/>
  <c r="P19" i="17"/>
  <c r="Q20" i="7"/>
  <c r="G19" i="17"/>
  <c r="AU20" i="7"/>
  <c r="Q19" i="17"/>
  <c r="AX20" i="7"/>
  <c r="R19" i="17"/>
  <c r="N20" i="7"/>
  <c r="F19" i="17"/>
  <c r="E20" i="17"/>
  <c r="K28" i="7"/>
  <c r="K39" i="7"/>
  <c r="E39" i="17" s="1"/>
  <c r="K31" i="11"/>
  <c r="F33" i="15" s="1"/>
  <c r="D28" i="13"/>
  <c r="B28" i="13"/>
  <c r="B29" i="13" s="1"/>
  <c r="B31" i="13" s="1"/>
  <c r="F13" i="15"/>
  <c r="BE28" i="13"/>
  <c r="BI28" i="13"/>
  <c r="U28" i="16" s="1" a="1"/>
  <c r="U28" i="16" s="1"/>
  <c r="AW28" i="13"/>
  <c r="Q28" i="16" s="1" a="1"/>
  <c r="Q28" i="16" s="1"/>
  <c r="AR17" i="13"/>
  <c r="H28" i="13"/>
  <c r="H29" i="13" s="1"/>
  <c r="AT17" i="13"/>
  <c r="P17" i="16" s="1" a="1"/>
  <c r="P17" i="16" s="1"/>
  <c r="G28" i="13"/>
  <c r="C28" i="16" s="1" a="1"/>
  <c r="C28" i="16" s="1"/>
  <c r="BC28" i="13"/>
  <c r="S28" i="16" s="1" a="1"/>
  <c r="S28" i="16" s="1"/>
  <c r="AS28" i="13"/>
  <c r="AU17" i="13"/>
  <c r="BA17" i="13"/>
  <c r="K28" i="13"/>
  <c r="K29" i="13" s="1"/>
  <c r="AD28" i="13"/>
  <c r="AD29" i="13" s="1"/>
  <c r="F12" i="15"/>
  <c r="AT28" i="13"/>
  <c r="P28" i="16" s="1" a="1"/>
  <c r="P28" i="16" s="1"/>
  <c r="BD17" i="13"/>
  <c r="AL28" i="13"/>
  <c r="AX17" i="13"/>
  <c r="AA28" i="13"/>
  <c r="AA29" i="13" s="1"/>
  <c r="AX28" i="13"/>
  <c r="L28" i="13"/>
  <c r="L29" i="13" s="1"/>
  <c r="BB28" i="13"/>
  <c r="AK17" i="13"/>
  <c r="M17" i="16" s="1" a="1"/>
  <c r="M17" i="16" s="1"/>
  <c r="BG17" i="13"/>
  <c r="AS17" i="13"/>
  <c r="M28" i="13"/>
  <c r="E28" i="16" s="1" a="1"/>
  <c r="E28" i="16" s="1"/>
  <c r="AQ28" i="13"/>
  <c r="O28" i="16" s="1" a="1"/>
  <c r="O28" i="16" s="1"/>
  <c r="N28" i="13"/>
  <c r="N29" i="13" s="1"/>
  <c r="U28" i="13"/>
  <c r="U29" i="13" s="1"/>
  <c r="AY17" i="13"/>
  <c r="AZ28" i="13"/>
  <c r="R28" i="16" s="1" a="1"/>
  <c r="R28" i="16" s="1"/>
  <c r="BC17" i="13"/>
  <c r="S17" i="16" s="1" a="1"/>
  <c r="S17" i="16" s="1"/>
  <c r="AK28" i="13"/>
  <c r="M28" i="16" s="1" a="1"/>
  <c r="M28" i="16" s="1"/>
  <c r="E28" i="13"/>
  <c r="E29" i="13" s="1"/>
  <c r="E31" i="13" s="1"/>
  <c r="I28" i="13"/>
  <c r="I29" i="13" s="1"/>
  <c r="W28" i="13"/>
  <c r="W29" i="13" s="1"/>
  <c r="AN17" i="13"/>
  <c r="N17" i="16" s="1" a="1"/>
  <c r="N17" i="16" s="1"/>
  <c r="BF17" i="13"/>
  <c r="T17" i="16" s="1" a="1"/>
  <c r="T17" i="16" s="1"/>
  <c r="BB17" i="13"/>
  <c r="AQ17" i="13"/>
  <c r="O17" i="16" s="1" a="1"/>
  <c r="O17" i="16" s="1"/>
  <c r="AW17" i="13"/>
  <c r="Q17" i="16" s="1" a="1"/>
  <c r="Q17" i="16" s="1"/>
  <c r="AL17" i="13"/>
  <c r="AN28" i="13"/>
  <c r="N28" i="16" s="1" a="1"/>
  <c r="N28" i="16" s="1"/>
  <c r="AZ17" i="13"/>
  <c r="R17" i="16" s="1" a="1"/>
  <c r="R17" i="16" s="1"/>
  <c r="F28" i="13"/>
  <c r="F29" i="13" s="1"/>
  <c r="F31" i="13" s="1"/>
  <c r="P28" i="13"/>
  <c r="F28" i="16" s="1" a="1"/>
  <c r="F28" i="16" s="1"/>
  <c r="J28" i="13"/>
  <c r="D28" i="16" s="1" a="1"/>
  <c r="D28" i="16" s="1"/>
  <c r="AF28" i="13"/>
  <c r="AJ28" i="13"/>
  <c r="BI17" i="13"/>
  <c r="U17" i="16" s="1" a="1"/>
  <c r="U17" i="16" s="1"/>
  <c r="AX12" i="11"/>
  <c r="AX10" i="11"/>
  <c r="S12" i="15" s="1"/>
  <c r="AX11" i="11"/>
  <c r="S13" i="15" s="1"/>
  <c r="S9" i="15"/>
  <c r="AB28" i="13"/>
  <c r="Y28" i="13"/>
  <c r="AP17" i="13"/>
  <c r="BA28" i="13"/>
  <c r="BE17" i="13"/>
  <c r="BH28" i="13"/>
  <c r="BF28" i="13"/>
  <c r="T28" i="16" s="1" a="1"/>
  <c r="T28" i="16" s="1"/>
  <c r="B20" i="7"/>
  <c r="B39" i="7" s="1"/>
  <c r="AO10" i="11"/>
  <c r="P12" i="15" s="1"/>
  <c r="P9" i="15"/>
  <c r="AO11" i="11"/>
  <c r="P13" i="15" s="1"/>
  <c r="AO12" i="11"/>
  <c r="R9" i="15"/>
  <c r="AU11" i="11"/>
  <c r="R13" i="15" s="1"/>
  <c r="AU12" i="11"/>
  <c r="AU10" i="11"/>
  <c r="R12" i="15" s="1"/>
  <c r="T10" i="11"/>
  <c r="I12" i="15" s="1"/>
  <c r="T12" i="11"/>
  <c r="T11" i="11"/>
  <c r="I13" i="15" s="1"/>
  <c r="I9" i="15"/>
  <c r="U13" i="15"/>
  <c r="N11" i="11"/>
  <c r="G13" i="15" s="1"/>
  <c r="N12" i="11"/>
  <c r="N10" i="11"/>
  <c r="G12" i="15" s="1"/>
  <c r="G9" i="15"/>
  <c r="U12" i="15"/>
  <c r="AL11" i="11"/>
  <c r="O13" i="15" s="1"/>
  <c r="AL12" i="11"/>
  <c r="AL10" i="11"/>
  <c r="O12" i="15" s="1"/>
  <c r="O9" i="15"/>
  <c r="BH17" i="13"/>
  <c r="AM17" i="13"/>
  <c r="AP28" i="13"/>
  <c r="BG28" i="13"/>
  <c r="AM28" i="13"/>
  <c r="AU28" i="13"/>
  <c r="E10" i="11"/>
  <c r="D12" i="15" s="1"/>
  <c r="E11" i="11"/>
  <c r="D13" i="15" s="1"/>
  <c r="E12" i="11"/>
  <c r="D9" i="15"/>
  <c r="AG28" i="13"/>
  <c r="AH28" i="13"/>
  <c r="L28" i="16" s="1" a="1"/>
  <c r="L28" i="16" s="1"/>
  <c r="AC28" i="13"/>
  <c r="AC29" i="13" s="1"/>
  <c r="Q28" i="13"/>
  <c r="Q29" i="13" s="1"/>
  <c r="Z12" i="11"/>
  <c r="Z10" i="11"/>
  <c r="K12" i="15" s="1"/>
  <c r="Z11" i="11"/>
  <c r="K13" i="15" s="1"/>
  <c r="K9" i="15"/>
  <c r="H9" i="15"/>
  <c r="Q11" i="11"/>
  <c r="H13" i="15" s="1"/>
  <c r="Q12" i="11"/>
  <c r="Q10" i="11"/>
  <c r="H12" i="15" s="1"/>
  <c r="W12" i="11"/>
  <c r="W10" i="11"/>
  <c r="J12" i="15" s="1"/>
  <c r="J9" i="15"/>
  <c r="W11" i="11"/>
  <c r="J13" i="15" s="1"/>
  <c r="Z28" i="13"/>
  <c r="Z29" i="13" s="1"/>
  <c r="T28" i="13"/>
  <c r="T29" i="13" s="1"/>
  <c r="AE28" i="13"/>
  <c r="K28" i="16" s="1" a="1"/>
  <c r="K28" i="16" s="1"/>
  <c r="BA12" i="11"/>
  <c r="BA10" i="11"/>
  <c r="T12" i="15" s="1"/>
  <c r="BA11" i="11"/>
  <c r="T13" i="15" s="1"/>
  <c r="T9" i="15"/>
  <c r="B12" i="11"/>
  <c r="C17" i="13"/>
  <c r="J17" i="13"/>
  <c r="D17" i="16" s="1" a="1"/>
  <c r="D17" i="16" s="1"/>
  <c r="Q17" i="13"/>
  <c r="X17" i="13"/>
  <c r="AE17" i="13"/>
  <c r="K17" i="16" s="1" a="1"/>
  <c r="K17" i="16" s="1"/>
  <c r="B10" i="11"/>
  <c r="B17" i="13"/>
  <c r="I17" i="13"/>
  <c r="P17" i="13"/>
  <c r="F17" i="16" s="1" a="1"/>
  <c r="F17" i="16" s="1"/>
  <c r="W17" i="13"/>
  <c r="AD17" i="13"/>
  <c r="B11" i="11"/>
  <c r="H17" i="13"/>
  <c r="O17" i="13"/>
  <c r="V17" i="13"/>
  <c r="H17" i="16" s="1" a="1"/>
  <c r="H17" i="16" s="1"/>
  <c r="C9" i="15"/>
  <c r="AC17" i="13"/>
  <c r="AJ17" i="13"/>
  <c r="G17" i="13"/>
  <c r="C17" i="16" s="1" a="1"/>
  <c r="C17" i="16" s="1"/>
  <c r="N17" i="13"/>
  <c r="AI17" i="13"/>
  <c r="U17" i="13"/>
  <c r="AB17" i="13"/>
  <c r="J17" i="16" s="1" a="1"/>
  <c r="J17" i="16" s="1"/>
  <c r="F17" i="13"/>
  <c r="M17" i="13"/>
  <c r="E17" i="16" s="1" a="1"/>
  <c r="E17" i="16" s="1"/>
  <c r="T17" i="13"/>
  <c r="AA17" i="13"/>
  <c r="AH17" i="13"/>
  <c r="L17" i="16" s="1" a="1"/>
  <c r="L17" i="16" s="1"/>
  <c r="D17" i="13"/>
  <c r="B17" i="16" s="1" a="1"/>
  <c r="B17" i="16" s="1"/>
  <c r="K17" i="13"/>
  <c r="R17" i="13"/>
  <c r="Y17" i="13"/>
  <c r="I17" i="16" s="1" a="1"/>
  <c r="I17" i="16" s="1"/>
  <c r="AF17" i="13"/>
  <c r="S17" i="13"/>
  <c r="G17" i="16" s="1" a="1"/>
  <c r="G17" i="16" s="1"/>
  <c r="Z17" i="13"/>
  <c r="AG17" i="13"/>
  <c r="E17" i="13"/>
  <c r="L17" i="13"/>
  <c r="B28" i="16" a="1"/>
  <c r="B28" i="16" s="1"/>
  <c r="D29" i="13"/>
  <c r="V28" i="13"/>
  <c r="AO17" i="13"/>
  <c r="AR28" i="13"/>
  <c r="AV17" i="13"/>
  <c r="AY28" i="13"/>
  <c r="AO28" i="13"/>
  <c r="AV28" i="13"/>
  <c r="BD28" i="13"/>
  <c r="R28" i="13"/>
  <c r="R29" i="13" s="1"/>
  <c r="S28" i="13"/>
  <c r="AI28" i="13"/>
  <c r="O28" i="13"/>
  <c r="O29" i="13" s="1"/>
  <c r="X28" i="13"/>
  <c r="X29" i="13" s="1"/>
  <c r="AR12" i="11"/>
  <c r="AR10" i="11"/>
  <c r="Q12" i="15" s="1"/>
  <c r="AR11" i="11"/>
  <c r="Q13" i="15" s="1"/>
  <c r="Q9" i="15"/>
  <c r="H10" i="11"/>
  <c r="E12" i="15" s="1"/>
  <c r="H11" i="11"/>
  <c r="E13" i="15" s="1"/>
  <c r="E9" i="15"/>
  <c r="H12" i="11"/>
  <c r="BG10" i="11"/>
  <c r="V12" i="15" s="1"/>
  <c r="V9" i="15"/>
  <c r="BG12" i="11"/>
  <c r="BG11" i="11"/>
  <c r="V13" i="15" s="1"/>
  <c r="AK31" i="11"/>
  <c r="N12" i="15"/>
  <c r="AK40" i="7"/>
  <c r="M40" i="17" s="1" a="1"/>
  <c r="M40" i="17" s="1"/>
  <c r="AK37" i="7"/>
  <c r="M37" i="17" s="1"/>
  <c r="B20" i="17" l="1"/>
  <c r="M29" i="13"/>
  <c r="E29" i="16" s="1" a="1"/>
  <c r="E29" i="16" s="1"/>
  <c r="AU31" i="11"/>
  <c r="R33" i="15" s="1"/>
  <c r="Q20" i="17"/>
  <c r="BD31" i="11"/>
  <c r="U33" i="15" s="1"/>
  <c r="T20" i="17"/>
  <c r="C20" i="17"/>
  <c r="E31" i="11"/>
  <c r="D33" i="15" s="1"/>
  <c r="E28" i="7"/>
  <c r="E39" i="7"/>
  <c r="C39" i="17" s="1"/>
  <c r="K30" i="7"/>
  <c r="E30" i="17" s="1"/>
  <c r="E28" i="17"/>
  <c r="L20" i="17"/>
  <c r="AF39" i="7"/>
  <c r="L39" i="17" s="1"/>
  <c r="AF31" i="11"/>
  <c r="M33" i="15" s="1"/>
  <c r="AF28" i="7"/>
  <c r="G20" i="17"/>
  <c r="Q31" i="11"/>
  <c r="H33" i="15" s="1"/>
  <c r="Q28" i="7"/>
  <c r="Q39" i="7"/>
  <c r="G39" i="17" s="1"/>
  <c r="M20" i="17"/>
  <c r="AI28" i="7"/>
  <c r="AI39" i="7"/>
  <c r="AI31" i="11"/>
  <c r="N33" i="15" s="1"/>
  <c r="H20" i="17"/>
  <c r="T31" i="11"/>
  <c r="I33" i="15" s="1"/>
  <c r="T28" i="7"/>
  <c r="T39" i="7"/>
  <c r="H39" i="17" s="1"/>
  <c r="AO31" i="11"/>
  <c r="P33" i="15" s="1"/>
  <c r="O20" i="17"/>
  <c r="F20" i="17"/>
  <c r="N31" i="11"/>
  <c r="G33" i="15" s="1"/>
  <c r="N28" i="7"/>
  <c r="N39" i="7"/>
  <c r="F39" i="17" s="1"/>
  <c r="AR31" i="11"/>
  <c r="Q33" i="15" s="1"/>
  <c r="P20" i="17"/>
  <c r="K20" i="17"/>
  <c r="AC28" i="7"/>
  <c r="AC31" i="11"/>
  <c r="L33" i="15" s="1"/>
  <c r="K39" i="17"/>
  <c r="BG31" i="11"/>
  <c r="V33" i="15" s="1"/>
  <c r="U20" i="17"/>
  <c r="J20" i="17"/>
  <c r="Z31" i="11"/>
  <c r="K33" i="15" s="1"/>
  <c r="Z39" i="7"/>
  <c r="J39" i="17" s="1"/>
  <c r="Z28" i="7"/>
  <c r="AX31" i="11"/>
  <c r="S33" i="15" s="1"/>
  <c r="R20" i="17"/>
  <c r="D20" i="17"/>
  <c r="H31" i="11"/>
  <c r="E33" i="15" s="1"/>
  <c r="H28" i="7"/>
  <c r="H39" i="7"/>
  <c r="D39" i="17" s="1"/>
  <c r="I20" i="17"/>
  <c r="W31" i="11"/>
  <c r="J33" i="15" s="1"/>
  <c r="W28" i="7"/>
  <c r="W39" i="7"/>
  <c r="I39" i="17" s="1"/>
  <c r="BA31" i="11"/>
  <c r="T33" i="15" s="1"/>
  <c r="S20" i="17"/>
  <c r="AL31" i="11"/>
  <c r="O33" i="15" s="1"/>
  <c r="N20" i="17"/>
  <c r="P29" i="13"/>
  <c r="F29" i="16" s="1" a="1"/>
  <c r="F29" i="16" s="1"/>
  <c r="AK14" i="13"/>
  <c r="M14" i="16" s="1" a="1"/>
  <c r="M14" i="16" s="1"/>
  <c r="G29" i="13"/>
  <c r="C29" i="16" s="1" a="1"/>
  <c r="C29" i="16" s="1"/>
  <c r="AU14" i="13"/>
  <c r="AX14" i="13"/>
  <c r="J29" i="13"/>
  <c r="D29" i="16" s="1" a="1"/>
  <c r="D29" i="16" s="1"/>
  <c r="AT14" i="13"/>
  <c r="P14" i="16" s="1" a="1"/>
  <c r="P14" i="16" s="1"/>
  <c r="BG14" i="13"/>
  <c r="BI14" i="13"/>
  <c r="U14" i="16" s="1" a="1"/>
  <c r="U14" i="16" s="1"/>
  <c r="AO14" i="13"/>
  <c r="I28" i="16" a="1"/>
  <c r="I28" i="16" s="1"/>
  <c r="Y29" i="13"/>
  <c r="I29" i="16" s="1" a="1"/>
  <c r="I29" i="16" s="1"/>
  <c r="AN14" i="13"/>
  <c r="N14" i="16" s="1" a="1"/>
  <c r="N14" i="16" s="1"/>
  <c r="BD14" i="13"/>
  <c r="AY14" i="13"/>
  <c r="AG14" i="13"/>
  <c r="AE14" i="13"/>
  <c r="K14" i="16" s="1" a="1"/>
  <c r="K14" i="16" s="1"/>
  <c r="AC14" i="13"/>
  <c r="D14" i="13"/>
  <c r="B14" i="16" s="1" a="1"/>
  <c r="B14" i="16" s="1"/>
  <c r="R14" i="13"/>
  <c r="Y14" i="13"/>
  <c r="I14" i="16" s="1" a="1"/>
  <c r="I14" i="16" s="1"/>
  <c r="AI14" i="13"/>
  <c r="Q14" i="13"/>
  <c r="O14" i="13"/>
  <c r="M14" i="13"/>
  <c r="E14" i="16" s="1" a="1"/>
  <c r="E14" i="16" s="1"/>
  <c r="AA14" i="13"/>
  <c r="B14" i="13"/>
  <c r="C12" i="15"/>
  <c r="I14" i="13"/>
  <c r="G14" i="13"/>
  <c r="C14" i="16" s="1" a="1"/>
  <c r="C14" i="16" s="1"/>
  <c r="E14" i="13"/>
  <c r="S14" i="13"/>
  <c r="G14" i="16" s="1" a="1"/>
  <c r="G14" i="16" s="1"/>
  <c r="AF14" i="13"/>
  <c r="AD14" i="13"/>
  <c r="AJ14" i="13"/>
  <c r="K14" i="13"/>
  <c r="X14" i="13"/>
  <c r="V14" i="13"/>
  <c r="H14" i="16" s="1" a="1"/>
  <c r="H14" i="16" s="1"/>
  <c r="AB14" i="13"/>
  <c r="J14" i="16" s="1" a="1"/>
  <c r="J14" i="16" s="1"/>
  <c r="C14" i="13"/>
  <c r="U14" i="13"/>
  <c r="P14" i="13"/>
  <c r="F14" i="16" s="1" a="1"/>
  <c r="F14" i="16" s="1"/>
  <c r="N14" i="13"/>
  <c r="T14" i="13"/>
  <c r="AH14" i="13"/>
  <c r="L14" i="16" s="1" a="1"/>
  <c r="L14" i="16" s="1"/>
  <c r="W14" i="13"/>
  <c r="J14" i="13"/>
  <c r="D14" i="16" s="1" a="1"/>
  <c r="D14" i="16" s="1"/>
  <c r="H14" i="13"/>
  <c r="F14" i="13"/>
  <c r="L14" i="13"/>
  <c r="Z14" i="13"/>
  <c r="J28" i="16" a="1"/>
  <c r="J28" i="16" s="1"/>
  <c r="AB29" i="13"/>
  <c r="J29" i="16" s="1" a="1"/>
  <c r="J29" i="16" s="1"/>
  <c r="AM14" i="13"/>
  <c r="AQ14" i="13"/>
  <c r="O14" i="16" s="1" a="1"/>
  <c r="O14" i="16" s="1"/>
  <c r="BA14" i="13"/>
  <c r="AC15" i="13"/>
  <c r="AB15" i="13"/>
  <c r="J15" i="16" s="1" a="1"/>
  <c r="J15" i="16" s="1"/>
  <c r="AA15" i="13"/>
  <c r="Z15" i="13"/>
  <c r="Y15" i="13"/>
  <c r="I15" i="16" s="1" a="1"/>
  <c r="I15" i="16" s="1"/>
  <c r="P15" i="13"/>
  <c r="F15" i="16" s="1" a="1"/>
  <c r="F15" i="16" s="1"/>
  <c r="G15" i="13"/>
  <c r="C15" i="16" s="1" a="1"/>
  <c r="C15" i="16" s="1"/>
  <c r="BB15" i="13"/>
  <c r="U15" i="13"/>
  <c r="T15" i="13"/>
  <c r="Q15" i="13"/>
  <c r="H15" i="13"/>
  <c r="M15" i="13"/>
  <c r="E15" i="16" s="1" a="1"/>
  <c r="E15" i="16" s="1"/>
  <c r="L15" i="13"/>
  <c r="K15" i="13"/>
  <c r="J15" i="13"/>
  <c r="D15" i="16" s="1" a="1"/>
  <c r="D15" i="16" s="1"/>
  <c r="I15" i="13"/>
  <c r="BC15" i="13"/>
  <c r="S15" i="16" s="1" a="1"/>
  <c r="S15" i="16" s="1"/>
  <c r="AT15" i="13"/>
  <c r="P15" i="16" s="1" a="1"/>
  <c r="P15" i="16" s="1"/>
  <c r="E15" i="13"/>
  <c r="D15" i="13"/>
  <c r="B15" i="16" s="1" a="1"/>
  <c r="B15" i="16" s="1"/>
  <c r="C15" i="13"/>
  <c r="B15" i="13"/>
  <c r="BD15" i="13"/>
  <c r="AU15" i="13"/>
  <c r="AL15" i="13"/>
  <c r="BI15" i="13"/>
  <c r="U15" i="16" s="1" a="1"/>
  <c r="U15" i="16" s="1"/>
  <c r="BH15" i="13"/>
  <c r="BG15" i="13"/>
  <c r="BF15" i="13"/>
  <c r="T15" i="16" s="1" a="1"/>
  <c r="T15" i="16" s="1"/>
  <c r="BE15" i="13"/>
  <c r="AV15" i="13"/>
  <c r="AM15" i="13"/>
  <c r="AD15" i="13"/>
  <c r="BA15" i="13"/>
  <c r="AZ15" i="13"/>
  <c r="R15" i="16" s="1" a="1"/>
  <c r="R15" i="16" s="1"/>
  <c r="AY15" i="13"/>
  <c r="AX15" i="13"/>
  <c r="AW15" i="13"/>
  <c r="Q15" i="16" s="1" a="1"/>
  <c r="Q15" i="16" s="1"/>
  <c r="AN15" i="13"/>
  <c r="N15" i="16" s="1" a="1"/>
  <c r="N15" i="16" s="1"/>
  <c r="AE15" i="13"/>
  <c r="K15" i="16" s="1" a="1"/>
  <c r="K15" i="16" s="1"/>
  <c r="V15" i="13"/>
  <c r="H15" i="16" s="1" a="1"/>
  <c r="H15" i="16" s="1"/>
  <c r="C13" i="15"/>
  <c r="S15" i="13"/>
  <c r="G15" i="16" s="1" a="1"/>
  <c r="G15" i="16" s="1"/>
  <c r="AS15" i="13"/>
  <c r="AR15" i="13"/>
  <c r="AQ15" i="13"/>
  <c r="O15" i="16" s="1" a="1"/>
  <c r="O15" i="16" s="1"/>
  <c r="AP15" i="13"/>
  <c r="AO15" i="13"/>
  <c r="AF15" i="13"/>
  <c r="W15" i="13"/>
  <c r="N15" i="13"/>
  <c r="R15" i="13"/>
  <c r="AK15" i="13"/>
  <c r="M15" i="16" s="1" a="1"/>
  <c r="M15" i="16" s="1"/>
  <c r="AJ15" i="13"/>
  <c r="AI15" i="13"/>
  <c r="AH15" i="13"/>
  <c r="L15" i="16" s="1" a="1"/>
  <c r="L15" i="16" s="1"/>
  <c r="AG15" i="13"/>
  <c r="X15" i="13"/>
  <c r="O15" i="13"/>
  <c r="F15" i="13"/>
  <c r="AP14" i="13"/>
  <c r="AV14" i="13"/>
  <c r="BB14" i="13"/>
  <c r="B45" i="7"/>
  <c r="E3" i="1" s="1"/>
  <c r="B28" i="7"/>
  <c r="B28" i="17" s="1"/>
  <c r="B31" i="11"/>
  <c r="C33" i="15" s="1"/>
  <c r="AW14" i="13"/>
  <c r="Q14" i="16" s="1" a="1"/>
  <c r="Q14" i="16" s="1"/>
  <c r="AZ14" i="13"/>
  <c r="R14" i="16" s="1" a="1"/>
  <c r="R14" i="16" s="1"/>
  <c r="AR14" i="13"/>
  <c r="BE14" i="13"/>
  <c r="AS14" i="13"/>
  <c r="BF14" i="13"/>
  <c r="T14" i="16" s="1" a="1"/>
  <c r="T14" i="16" s="1"/>
  <c r="S29" i="13"/>
  <c r="G29" i="16" s="1" a="1"/>
  <c r="G29" i="16" s="1"/>
  <c r="G28" i="16" a="1"/>
  <c r="G28" i="16" s="1"/>
  <c r="H28" i="16" a="1"/>
  <c r="H28" i="16" s="1"/>
  <c r="V29" i="13"/>
  <c r="H29" i="16" s="1" a="1"/>
  <c r="H29" i="16" s="1"/>
  <c r="AL14" i="13"/>
  <c r="BC14" i="13"/>
  <c r="S14" i="16" s="1" a="1"/>
  <c r="S14" i="16" s="1"/>
  <c r="BH14" i="13"/>
  <c r="B29" i="16" a="1"/>
  <c r="B29" i="16" s="1"/>
  <c r="D31" i="13"/>
  <c r="B31" i="16" s="1" a="1"/>
  <c r="B31" i="16" s="1"/>
  <c r="Q16" i="13"/>
  <c r="BB16" i="13"/>
  <c r="BA16" i="13"/>
  <c r="AY16" i="13"/>
  <c r="AT16" i="13"/>
  <c r="AP16" i="13"/>
  <c r="BC16" i="13"/>
  <c r="AQ16" i="13"/>
  <c r="BD16" i="13"/>
  <c r="AU16" i="13"/>
  <c r="AL16" i="13"/>
  <c r="AK16" i="13"/>
  <c r="AJ16" i="13"/>
  <c r="AI16" i="13"/>
  <c r="AH16" i="13"/>
  <c r="BE16" i="13"/>
  <c r="AV16" i="13"/>
  <c r="AM16" i="13"/>
  <c r="AD16" i="13"/>
  <c r="AC16" i="13"/>
  <c r="AB16" i="13"/>
  <c r="AA16" i="13"/>
  <c r="Z16" i="13"/>
  <c r="AW16" i="13"/>
  <c r="AN16" i="13"/>
  <c r="AE16" i="13"/>
  <c r="V16" i="13"/>
  <c r="U16" i="13"/>
  <c r="T16" i="13"/>
  <c r="S16" i="13"/>
  <c r="R16" i="13"/>
  <c r="AO16" i="13"/>
  <c r="AF16" i="13"/>
  <c r="W16" i="13"/>
  <c r="N16" i="13"/>
  <c r="M16" i="13"/>
  <c r="L16" i="13"/>
  <c r="K16" i="13"/>
  <c r="J16" i="13"/>
  <c r="I16" i="13"/>
  <c r="AR16" i="13"/>
  <c r="AG16" i="13"/>
  <c r="X16" i="13"/>
  <c r="O16" i="13"/>
  <c r="F16" i="13"/>
  <c r="E16" i="13"/>
  <c r="D16" i="13"/>
  <c r="C16" i="13"/>
  <c r="B16" i="13"/>
  <c r="AS16" i="13"/>
  <c r="Y16" i="13"/>
  <c r="P16" i="13"/>
  <c r="G16" i="13"/>
  <c r="BI16" i="13"/>
  <c r="BH16" i="13"/>
  <c r="BG16" i="13"/>
  <c r="BF16" i="13"/>
  <c r="H16" i="13"/>
  <c r="AZ16" i="13"/>
  <c r="AX16" i="13"/>
  <c r="B46" i="7"/>
  <c r="E4" i="1" s="1"/>
  <c r="AL32" i="7"/>
  <c r="AK25" i="13"/>
  <c r="AL35" i="7"/>
  <c r="C25" i="16" a="1"/>
  <c r="C25" i="16" s="1"/>
  <c r="G26" i="13"/>
  <c r="N30" i="7" l="1"/>
  <c r="F30" i="17" s="1"/>
  <c r="F28" i="17"/>
  <c r="E30" i="7"/>
  <c r="C30" i="17" s="1"/>
  <c r="C28" i="17"/>
  <c r="AL40" i="7"/>
  <c r="AM32" i="7" s="1"/>
  <c r="AM34" i="7" s="1"/>
  <c r="W30" i="7"/>
  <c r="I30" i="17" s="1"/>
  <c r="I28" i="17"/>
  <c r="AF30" i="7"/>
  <c r="L30" i="17" s="1"/>
  <c r="L28" i="17"/>
  <c r="Z30" i="7"/>
  <c r="J30" i="17" s="1"/>
  <c r="J28" i="17"/>
  <c r="AC30" i="7"/>
  <c r="K30" i="17" s="1"/>
  <c r="K28" i="17"/>
  <c r="AI30" i="7"/>
  <c r="H30" i="7"/>
  <c r="D30" i="17" s="1"/>
  <c r="D28" i="17"/>
  <c r="T30" i="7"/>
  <c r="H30" i="17" s="1"/>
  <c r="H28" i="17"/>
  <c r="Q30" i="7"/>
  <c r="G30" i="17" s="1"/>
  <c r="G28" i="17"/>
  <c r="AL34" i="7"/>
  <c r="O34" i="13"/>
  <c r="I34" i="13"/>
  <c r="W34" i="13"/>
  <c r="AC34" i="13"/>
  <c r="X34" i="13"/>
  <c r="F34" i="13"/>
  <c r="G34" i="13"/>
  <c r="C34" i="16" s="1" a="1"/>
  <c r="C34" i="16" s="1"/>
  <c r="L34" i="13"/>
  <c r="N34" i="13"/>
  <c r="AJ34" i="13"/>
  <c r="AB34" i="13"/>
  <c r="T34" i="13"/>
  <c r="M34" i="13"/>
  <c r="S34" i="13"/>
  <c r="Q34" i="13"/>
  <c r="K34" i="13"/>
  <c r="E34" i="13"/>
  <c r="AE34" i="13"/>
  <c r="AH34" i="13"/>
  <c r="AD34" i="13"/>
  <c r="D34" i="13"/>
  <c r="B34" i="16" s="1" a="1"/>
  <c r="B34" i="16" s="1"/>
  <c r="Z34" i="13"/>
  <c r="C34" i="13"/>
  <c r="B34" i="13"/>
  <c r="AI34" i="13"/>
  <c r="AA34" i="13"/>
  <c r="AG34" i="13"/>
  <c r="J34" i="13"/>
  <c r="H34" i="13"/>
  <c r="U34" i="13"/>
  <c r="AF34" i="13"/>
  <c r="P34" i="13"/>
  <c r="B30" i="7"/>
  <c r="Y34" i="13"/>
  <c r="R34" i="13"/>
  <c r="V34" i="13"/>
  <c r="C26" i="16" a="1"/>
  <c r="C26" i="16" s="1"/>
  <c r="G31" i="13"/>
  <c r="C31" i="16" s="1" a="1"/>
  <c r="C31" i="16" s="1"/>
  <c r="AE29" i="13"/>
  <c r="K29" i="16" s="1" a="1"/>
  <c r="K29" i="16" s="1"/>
  <c r="B30" i="17" l="1"/>
  <c r="AM35" i="7"/>
  <c r="AM40" i="7" s="1"/>
  <c r="AN32" i="7" s="1"/>
  <c r="AN34" i="7" s="1"/>
  <c r="N34" i="17" s="1"/>
  <c r="AL25" i="13"/>
  <c r="AL37" i="7"/>
  <c r="AL28" i="7" s="1"/>
  <c r="AL19" i="11"/>
  <c r="AM19" i="11"/>
  <c r="H21" i="11"/>
  <c r="AF29" i="13"/>
  <c r="AM37" i="7" l="1"/>
  <c r="AM28" i="7" s="1"/>
  <c r="AM30" i="7" s="1"/>
  <c r="B39" i="17"/>
  <c r="E18" i="13"/>
  <c r="E44" i="13" s="1"/>
  <c r="I18" i="13"/>
  <c r="Q18" i="13"/>
  <c r="T18" i="13"/>
  <c r="H18" i="13"/>
  <c r="X18" i="13"/>
  <c r="N18" i="13"/>
  <c r="J18" i="13"/>
  <c r="L18" i="13"/>
  <c r="P18" i="13"/>
  <c r="W18" i="13"/>
  <c r="AI18" i="13"/>
  <c r="D18" i="13"/>
  <c r="AH18" i="13"/>
  <c r="G18" i="13"/>
  <c r="U18" i="13"/>
  <c r="S18" i="13"/>
  <c r="Y18" i="13"/>
  <c r="AB18" i="13"/>
  <c r="AE18" i="13"/>
  <c r="C18" i="13"/>
  <c r="C44" i="13" s="1"/>
  <c r="O18" i="13"/>
  <c r="M18" i="13"/>
  <c r="AJ18" i="13"/>
  <c r="F18" i="13"/>
  <c r="F44" i="13" s="1"/>
  <c r="AG18" i="13"/>
  <c r="AC18" i="13"/>
  <c r="B41" i="7"/>
  <c r="C41" i="7" s="1"/>
  <c r="D41" i="7" s="1"/>
  <c r="E41" i="7" s="1"/>
  <c r="F41" i="7" s="1"/>
  <c r="G41" i="7" s="1"/>
  <c r="C41" i="17" s="1" a="1"/>
  <c r="C41" i="17" s="1"/>
  <c r="K18" i="13"/>
  <c r="AA18" i="13"/>
  <c r="AD18" i="13"/>
  <c r="AF18" i="13"/>
  <c r="V18" i="13"/>
  <c r="Z18" i="13"/>
  <c r="R18" i="13"/>
  <c r="B18" i="13"/>
  <c r="B44" i="13" s="1"/>
  <c r="AL39" i="7"/>
  <c r="AN35" i="7"/>
  <c r="AN40" i="7" s="1"/>
  <c r="N40" i="17" s="1" a="1"/>
  <c r="N40" i="17" s="1"/>
  <c r="AM25" i="13"/>
  <c r="N32" i="17"/>
  <c r="AL30" i="7"/>
  <c r="B41" i="17" a="1"/>
  <c r="B41" i="17" s="1"/>
  <c r="AN19" i="11"/>
  <c r="H44" i="13"/>
  <c r="H26" i="13"/>
  <c r="H31" i="13" s="1"/>
  <c r="AM39" i="7" l="1"/>
  <c r="D44" i="13"/>
  <c r="B18" i="16" a="1"/>
  <c r="B18" i="16" s="1"/>
  <c r="N35" i="17"/>
  <c r="G44" i="13"/>
  <c r="C18" i="16" a="1"/>
  <c r="C18" i="16" s="1"/>
  <c r="AN37" i="7"/>
  <c r="N37" i="17" s="1"/>
  <c r="AO35" i="7"/>
  <c r="AO40" i="7" s="1"/>
  <c r="AO25" i="13" s="1"/>
  <c r="AN25" i="13"/>
  <c r="AO32" i="7"/>
  <c r="H41" i="7"/>
  <c r="I41" i="7" s="1"/>
  <c r="J41" i="7" s="1"/>
  <c r="D41" i="17" s="1" a="1"/>
  <c r="D41" i="17" s="1"/>
  <c r="AO34" i="7"/>
  <c r="AN28" i="7" l="1"/>
  <c r="AN30" i="7" s="1"/>
  <c r="N30" i="17" s="1"/>
  <c r="AN39" i="7"/>
  <c r="N39" i="17" s="1"/>
  <c r="AP35" i="7"/>
  <c r="AP40" i="7" s="1"/>
  <c r="AQ35" i="7" s="1"/>
  <c r="AP32" i="7"/>
  <c r="AP34" i="7" s="1"/>
  <c r="AP19" i="11" s="1"/>
  <c r="N28" i="17"/>
  <c r="AO37" i="7"/>
  <c r="AO28" i="7" s="1"/>
  <c r="K41" i="7"/>
  <c r="L41" i="7" s="1"/>
  <c r="M41" i="7" s="1"/>
  <c r="E41" i="17" s="1" a="1"/>
  <c r="E41" i="17" s="1"/>
  <c r="AO19" i="11"/>
  <c r="AG29" i="13"/>
  <c r="AP25" i="13" l="1"/>
  <c r="AQ32" i="7"/>
  <c r="O32" i="17" s="1"/>
  <c r="AP37" i="7"/>
  <c r="AP28" i="7" s="1"/>
  <c r="AP30" i="7" s="1"/>
  <c r="AO39" i="7"/>
  <c r="AQ40" i="7"/>
  <c r="O40" i="17" s="1" a="1"/>
  <c r="O40" i="17" s="1"/>
  <c r="O35" i="17"/>
  <c r="AO30" i="7"/>
  <c r="N41" i="7"/>
  <c r="O41" i="7" s="1"/>
  <c r="P41" i="7" s="1"/>
  <c r="F41" i="17" s="1" a="1"/>
  <c r="F41" i="17" s="1"/>
  <c r="I21" i="11"/>
  <c r="AP39" i="7" l="1"/>
  <c r="AQ25" i="13"/>
  <c r="AR32" i="7"/>
  <c r="AR34" i="7" s="1"/>
  <c r="AQ34" i="7"/>
  <c r="AQ19" i="11" s="1"/>
  <c r="AR35" i="7"/>
  <c r="AR40" i="7" s="1"/>
  <c r="O34" i="17"/>
  <c r="Q41" i="7"/>
  <c r="R41" i="7" s="1"/>
  <c r="S41" i="7" s="1"/>
  <c r="G41" i="17" s="1" a="1"/>
  <c r="G41" i="17" s="1"/>
  <c r="I44" i="13"/>
  <c r="I26" i="13"/>
  <c r="I31" i="13" s="1"/>
  <c r="AQ37" i="7" l="1"/>
  <c r="O37" i="17" s="1"/>
  <c r="AR25" i="13"/>
  <c r="AS32" i="7"/>
  <c r="AS34" i="7" s="1"/>
  <c r="AS19" i="11" s="1"/>
  <c r="AR37" i="7"/>
  <c r="AR28" i="7" s="1"/>
  <c r="AR19" i="11"/>
  <c r="AS35" i="7"/>
  <c r="AS40" i="7" s="1"/>
  <c r="AT35" i="7" s="1"/>
  <c r="T41" i="7"/>
  <c r="U41" i="7" s="1"/>
  <c r="V41" i="7" s="1"/>
  <c r="H41" i="17" s="1" a="1"/>
  <c r="H41" i="17" s="1"/>
  <c r="AQ28" i="7" l="1"/>
  <c r="AQ39" i="7"/>
  <c r="O39" i="17" s="1"/>
  <c r="AR39" i="7"/>
  <c r="AS25" i="13"/>
  <c r="AT32" i="7"/>
  <c r="AT34" i="7" s="1"/>
  <c r="P34" i="17" s="1"/>
  <c r="AS37" i="7"/>
  <c r="AS28" i="7" s="1"/>
  <c r="AS30" i="7" s="1"/>
  <c r="AR30" i="7"/>
  <c r="AT40" i="7"/>
  <c r="P40" i="17" s="1" a="1"/>
  <c r="P40" i="17" s="1"/>
  <c r="P35" i="17"/>
  <c r="P32" i="17"/>
  <c r="W41" i="7"/>
  <c r="X41" i="7" s="1"/>
  <c r="Y41" i="7" s="1"/>
  <c r="I41" i="17" s="1" a="1"/>
  <c r="I41" i="17" s="1"/>
  <c r="AQ30" i="7" l="1"/>
  <c r="O30" i="17" s="1"/>
  <c r="O28" i="17"/>
  <c r="AT19" i="11"/>
  <c r="AT37" i="7"/>
  <c r="P37" i="17" s="1"/>
  <c r="AS39" i="7"/>
  <c r="AU35" i="7"/>
  <c r="AT25" i="13"/>
  <c r="AU32" i="7"/>
  <c r="Z41" i="7"/>
  <c r="AA41" i="7" s="1"/>
  <c r="AB41" i="7" s="1"/>
  <c r="J41" i="17" s="1" a="1"/>
  <c r="J41" i="17" s="1"/>
  <c r="J21" i="11"/>
  <c r="E23" i="15" s="1"/>
  <c r="E21" i="15"/>
  <c r="AT39" i="7" l="1"/>
  <c r="P39" i="17" s="1"/>
  <c r="AT28" i="7"/>
  <c r="AT30" i="7" s="1"/>
  <c r="P30" i="17" s="1"/>
  <c r="AU34" i="7"/>
  <c r="AU40" i="7"/>
  <c r="AC41" i="7"/>
  <c r="AD41" i="7" s="1"/>
  <c r="AE41" i="7" s="1"/>
  <c r="K41" i="17" s="1" a="1"/>
  <c r="K41" i="17" s="1"/>
  <c r="D34" i="16" a="1"/>
  <c r="D34" i="16" s="1"/>
  <c r="D25" i="16" a="1"/>
  <c r="D25" i="16" s="1"/>
  <c r="J26" i="13"/>
  <c r="P28" i="17" l="1"/>
  <c r="AV35" i="7"/>
  <c r="AV32" i="7"/>
  <c r="AU25" i="13"/>
  <c r="AU37" i="7"/>
  <c r="AU19" i="11"/>
  <c r="AF41" i="7"/>
  <c r="AG41" i="7" s="1"/>
  <c r="AH41" i="7" s="1"/>
  <c r="L41" i="17" s="1" a="1"/>
  <c r="L41" i="17" s="1"/>
  <c r="D18" i="16" a="1"/>
  <c r="D18" i="16" s="1"/>
  <c r="J44" i="13"/>
  <c r="D26" i="16" a="1"/>
  <c r="D26" i="16" s="1"/>
  <c r="J31" i="13"/>
  <c r="D31" i="16" s="1" a="1"/>
  <c r="D31" i="16" s="1"/>
  <c r="AU28" i="7" l="1"/>
  <c r="AU39" i="7"/>
  <c r="AV34" i="7"/>
  <c r="AV40" i="7"/>
  <c r="AI41" i="7"/>
  <c r="AJ41" i="7" s="1"/>
  <c r="K21" i="11"/>
  <c r="AV25" i="13" l="1"/>
  <c r="AW35" i="7"/>
  <c r="AW32" i="7"/>
  <c r="AU30" i="7"/>
  <c r="AV37" i="7"/>
  <c r="AV19" i="11"/>
  <c r="K44" i="13"/>
  <c r="K26" i="13"/>
  <c r="K31" i="13" s="1"/>
  <c r="AV28" i="7" l="1"/>
  <c r="AV39" i="7"/>
  <c r="AW34" i="7"/>
  <c r="Q32" i="17"/>
  <c r="AW40" i="7"/>
  <c r="Q35" i="17"/>
  <c r="AW37" i="7" l="1"/>
  <c r="AW19" i="11"/>
  <c r="Q34" i="17"/>
  <c r="Q40" i="17" a="1"/>
  <c r="Q40" i="17" s="1"/>
  <c r="AW25" i="13"/>
  <c r="AX35" i="7"/>
  <c r="AX32" i="7"/>
  <c r="AV30" i="7"/>
  <c r="AX34" i="7" l="1"/>
  <c r="AX40" i="7"/>
  <c r="AW39" i="7"/>
  <c r="Q39" i="17" s="1"/>
  <c r="AW28" i="7"/>
  <c r="Q37" i="17"/>
  <c r="L21" i="11"/>
  <c r="AY32" i="7" l="1"/>
  <c r="AX25" i="13"/>
  <c r="AY35" i="7"/>
  <c r="AW30" i="7"/>
  <c r="Q30" i="17" s="1"/>
  <c r="Q28" i="17"/>
  <c r="AX19" i="11"/>
  <c r="AX37" i="7"/>
  <c r="L44" i="13"/>
  <c r="L26" i="13"/>
  <c r="L31" i="13" s="1"/>
  <c r="AX39" i="7" l="1"/>
  <c r="AX28" i="7"/>
  <c r="AY40" i="7"/>
  <c r="AY34" i="7"/>
  <c r="AY37" i="7" l="1"/>
  <c r="AY19" i="11"/>
  <c r="AZ32" i="7"/>
  <c r="AY25" i="13"/>
  <c r="AZ35" i="7"/>
  <c r="AX30" i="7"/>
  <c r="AZ40" i="7" l="1"/>
  <c r="R35" i="17"/>
  <c r="AZ34" i="7"/>
  <c r="R32" i="17"/>
  <c r="AY39" i="7"/>
  <c r="AY28" i="7"/>
  <c r="M21" i="11"/>
  <c r="F23" i="15" s="1"/>
  <c r="F21" i="15"/>
  <c r="AY30" i="7" l="1"/>
  <c r="AZ19" i="11"/>
  <c r="AZ37" i="7"/>
  <c r="R34" i="17"/>
  <c r="R40" i="17" a="1"/>
  <c r="R40" i="17" s="1"/>
  <c r="BA32" i="7"/>
  <c r="AZ25" i="13"/>
  <c r="BA35" i="7"/>
  <c r="E34" i="16" a="1"/>
  <c r="E34" i="16" s="1"/>
  <c r="BA34" i="7" l="1"/>
  <c r="AZ28" i="7"/>
  <c r="AZ39" i="7"/>
  <c r="R39" i="17" s="1"/>
  <c r="R37" i="17"/>
  <c r="BA40" i="7"/>
  <c r="E18" i="16" a="1"/>
  <c r="E18" i="16" s="1"/>
  <c r="M44" i="13"/>
  <c r="E25" i="16" a="1"/>
  <c r="E25" i="16" s="1"/>
  <c r="M26" i="13"/>
  <c r="BB32" i="7" l="1"/>
  <c r="BA25" i="13"/>
  <c r="BB35" i="7"/>
  <c r="AZ30" i="7"/>
  <c r="R30" i="17" s="1"/>
  <c r="R28" i="17"/>
  <c r="BA19" i="11"/>
  <c r="BA37" i="7"/>
  <c r="E26" i="16" a="1"/>
  <c r="E26" i="16" s="1"/>
  <c r="M31" i="13"/>
  <c r="E31" i="16" s="1" a="1"/>
  <c r="E31" i="16" s="1"/>
  <c r="BA28" i="7" l="1"/>
  <c r="BA39" i="7"/>
  <c r="BB40" i="7"/>
  <c r="BB34" i="7"/>
  <c r="N21" i="11"/>
  <c r="BC32" i="7" l="1"/>
  <c r="BB25" i="13"/>
  <c r="BC35" i="7"/>
  <c r="BA30" i="7"/>
  <c r="BB19" i="11"/>
  <c r="BB37" i="7"/>
  <c r="N44" i="13"/>
  <c r="N26" i="13"/>
  <c r="N31" i="13" s="1"/>
  <c r="BB28" i="7" l="1"/>
  <c r="BB39" i="7"/>
  <c r="BC40" i="7"/>
  <c r="S35" i="17"/>
  <c r="BC34" i="7"/>
  <c r="S32" i="17"/>
  <c r="BC19" i="11" l="1"/>
  <c r="BC37" i="7"/>
  <c r="S34" i="17"/>
  <c r="S40" i="17" a="1"/>
  <c r="S40" i="17" s="1"/>
  <c r="BD32" i="7"/>
  <c r="BC25" i="13"/>
  <c r="BD35" i="7"/>
  <c r="BB30" i="7"/>
  <c r="BD40" i="7" l="1"/>
  <c r="BD34" i="7"/>
  <c r="BC39" i="7"/>
  <c r="S39" i="17" s="1"/>
  <c r="BC28" i="7"/>
  <c r="S37" i="17"/>
  <c r="O21" i="11"/>
  <c r="BD25" i="13" l="1"/>
  <c r="BE35" i="7"/>
  <c r="BE32" i="7"/>
  <c r="BC30" i="7"/>
  <c r="S30" i="17" s="1"/>
  <c r="S28" i="17"/>
  <c r="BD19" i="11"/>
  <c r="BD37" i="7"/>
  <c r="O44" i="13"/>
  <c r="O26" i="13"/>
  <c r="O31" i="13" s="1"/>
  <c r="BD39" i="7" l="1"/>
  <c r="BD28" i="7"/>
  <c r="BE34" i="7"/>
  <c r="BE40" i="7"/>
  <c r="BF32" i="7" l="1"/>
  <c r="BE25" i="13"/>
  <c r="BF35" i="7"/>
  <c r="BE37" i="7"/>
  <c r="BE19" i="11"/>
  <c r="BD30" i="7"/>
  <c r="BE28" i="7" l="1"/>
  <c r="BE39" i="7"/>
  <c r="BF40" i="7"/>
  <c r="T35" i="17"/>
  <c r="BF34" i="7"/>
  <c r="T32" i="17"/>
  <c r="P21" i="11"/>
  <c r="G23" i="15" s="1"/>
  <c r="G21" i="15"/>
  <c r="T40" i="17" l="1" a="1"/>
  <c r="T40" i="17" s="1"/>
  <c r="BG32" i="7"/>
  <c r="BF25" i="13"/>
  <c r="BG35" i="7"/>
  <c r="BF37" i="7"/>
  <c r="BF19" i="11"/>
  <c r="T34" i="17"/>
  <c r="BE30" i="7"/>
  <c r="F34" i="16" a="1"/>
  <c r="F34" i="16" s="1"/>
  <c r="BF28" i="7" l="1"/>
  <c r="BF39" i="7"/>
  <c r="T39" i="17" s="1"/>
  <c r="T37" i="17"/>
  <c r="BG40" i="7"/>
  <c r="BG34" i="7"/>
  <c r="F18" i="16" a="1"/>
  <c r="F18" i="16" s="1"/>
  <c r="P44" i="13"/>
  <c r="F25" i="16" a="1"/>
  <c r="F25" i="16" s="1"/>
  <c r="P26" i="13"/>
  <c r="BH32" i="7" l="1"/>
  <c r="BG25" i="13"/>
  <c r="BH35" i="7"/>
  <c r="BF30" i="7"/>
  <c r="T30" i="17" s="1"/>
  <c r="T28" i="17"/>
  <c r="BG37" i="7"/>
  <c r="BG19" i="11"/>
  <c r="F26" i="16" a="1"/>
  <c r="F26" i="16" s="1"/>
  <c r="P31" i="13"/>
  <c r="F31" i="16" s="1" a="1"/>
  <c r="F31" i="16" s="1"/>
  <c r="BG28" i="7" l="1"/>
  <c r="BG39" i="7"/>
  <c r="BH40" i="7"/>
  <c r="BH34" i="7"/>
  <c r="Q21" i="11"/>
  <c r="BI32" i="7" l="1"/>
  <c r="BH25" i="13"/>
  <c r="BI35" i="7"/>
  <c r="BH19" i="11"/>
  <c r="BH37" i="7"/>
  <c r="BG30" i="7"/>
  <c r="Q44" i="13"/>
  <c r="Q26" i="13"/>
  <c r="Q31" i="13" s="1"/>
  <c r="BH39" i="7" l="1"/>
  <c r="BH28" i="7"/>
  <c r="BI40" i="7"/>
  <c r="U35" i="17"/>
  <c r="BI34" i="7"/>
  <c r="U32" i="17"/>
  <c r="BI37" i="7" l="1"/>
  <c r="BI19" i="11"/>
  <c r="U34" i="17"/>
  <c r="U40" i="17" a="1"/>
  <c r="U40" i="17" s="1"/>
  <c r="BJ32" i="7"/>
  <c r="BJ34" i="7" s="1"/>
  <c r="BI25" i="13"/>
  <c r="BJ35" i="7"/>
  <c r="BJ40" i="7" s="1"/>
  <c r="BH30" i="7"/>
  <c r="BJ37" i="7" l="1"/>
  <c r="BK35" i="7"/>
  <c r="BK40" i="7" s="1"/>
  <c r="BK32" i="7"/>
  <c r="BK34" i="7" s="1"/>
  <c r="BI28" i="7"/>
  <c r="BI39" i="7"/>
  <c r="U39" i="17" s="1"/>
  <c r="U37" i="17"/>
  <c r="R21" i="11"/>
  <c r="R26" i="13"/>
  <c r="R31" i="13" s="1"/>
  <c r="BK37" i="7" l="1"/>
  <c r="BK28" i="7" s="1"/>
  <c r="BK30" i="7" s="1"/>
  <c r="BI30" i="7"/>
  <c r="U30" i="17" s="1"/>
  <c r="U28" i="17"/>
  <c r="BL32" i="7"/>
  <c r="BL34" i="7" s="1"/>
  <c r="BL35" i="7"/>
  <c r="BL40" i="7" s="1"/>
  <c r="BJ28" i="7"/>
  <c r="BJ30" i="7" s="1"/>
  <c r="BJ39" i="7"/>
  <c r="R44" i="13"/>
  <c r="BK39" i="7" l="1"/>
  <c r="BM32" i="7"/>
  <c r="BM34" i="7" s="1"/>
  <c r="BM35" i="7"/>
  <c r="BM40" i="7" s="1"/>
  <c r="BL37" i="7"/>
  <c r="BN32" i="7" l="1"/>
  <c r="BN34" i="7" s="1"/>
  <c r="BN35" i="7"/>
  <c r="BN40" i="7" s="1"/>
  <c r="BL28" i="7"/>
  <c r="BL30" i="7" s="1"/>
  <c r="BL39" i="7"/>
  <c r="BM37" i="7"/>
  <c r="S21" i="11"/>
  <c r="H23" i="15" s="1"/>
  <c r="H21" i="15"/>
  <c r="BM28" i="7" l="1"/>
  <c r="BM30" i="7" s="1"/>
  <c r="BM39" i="7"/>
  <c r="BO35" i="7"/>
  <c r="BO40" i="7" s="1"/>
  <c r="BO32" i="7"/>
  <c r="BO34" i="7" s="1"/>
  <c r="BN37" i="7"/>
  <c r="G34" i="16" a="1"/>
  <c r="G34" i="16" s="1"/>
  <c r="BO37" i="7" l="1"/>
  <c r="BO39" i="7" s="1"/>
  <c r="BN39" i="7"/>
  <c r="BN28" i="7"/>
  <c r="BN30" i="7" s="1"/>
  <c r="BP32" i="7"/>
  <c r="BP34" i="7" s="1"/>
  <c r="BP35" i="7"/>
  <c r="BP40" i="7" s="1"/>
  <c r="G18" i="16" a="1"/>
  <c r="G18" i="16" s="1"/>
  <c r="S44" i="13"/>
  <c r="G25" i="16" a="1"/>
  <c r="G25" i="16" s="1"/>
  <c r="S26" i="13"/>
  <c r="BO28" i="7" l="1"/>
  <c r="BO30" i="7" s="1"/>
  <c r="BQ35" i="7"/>
  <c r="BQ40" i="7" s="1"/>
  <c r="BQ32" i="7"/>
  <c r="BQ34" i="7" s="1"/>
  <c r="BP37" i="7"/>
  <c r="G26" i="16" a="1"/>
  <c r="G26" i="16" s="1"/>
  <c r="S31" i="13"/>
  <c r="BQ37" i="7" l="1"/>
  <c r="BQ28" i="7" s="1"/>
  <c r="BQ30" i="7" s="1"/>
  <c r="BP28" i="7"/>
  <c r="BP30" i="7" s="1"/>
  <c r="BP39" i="7"/>
  <c r="BR32" i="7"/>
  <c r="BR34" i="7" s="1"/>
  <c r="BR35" i="7"/>
  <c r="BR40" i="7" s="1"/>
  <c r="G31" i="16" a="1"/>
  <c r="G31" i="16" s="1"/>
  <c r="T21" i="11"/>
  <c r="BQ39" i="7" l="1"/>
  <c r="BS32" i="7"/>
  <c r="BS34" i="7" s="1"/>
  <c r="BS35" i="7"/>
  <c r="BS40" i="7" s="1"/>
  <c r="BR37" i="7"/>
  <c r="T44" i="13"/>
  <c r="T26" i="13"/>
  <c r="T31" i="13" s="1"/>
  <c r="BT32" i="7" l="1"/>
  <c r="BT34" i="7" s="1"/>
  <c r="BT35" i="7"/>
  <c r="BT40" i="7" s="1"/>
  <c r="BR39" i="7"/>
  <c r="BR28" i="7"/>
  <c r="BR30" i="7" s="1"/>
  <c r="BS37" i="7"/>
  <c r="BS39" i="7" l="1"/>
  <c r="BS28" i="7"/>
  <c r="BS30" i="7" s="1"/>
  <c r="BU32" i="7"/>
  <c r="BU34" i="7" s="1"/>
  <c r="BU35" i="7"/>
  <c r="BU40" i="7" s="1"/>
  <c r="BT37" i="7"/>
  <c r="BT28" i="7" l="1"/>
  <c r="BT30" i="7" s="1"/>
  <c r="BT39" i="7"/>
  <c r="BU37" i="7"/>
  <c r="BV32" i="7"/>
  <c r="BV34" i="7" s="1"/>
  <c r="BV35" i="7"/>
  <c r="BV40" i="7" s="1"/>
  <c r="U21" i="11"/>
  <c r="BW35" i="7" l="1"/>
  <c r="BW40" i="7" s="1"/>
  <c r="BW32" i="7"/>
  <c r="BW34" i="7" s="1"/>
  <c r="BV37" i="7"/>
  <c r="BU28" i="7"/>
  <c r="BU30" i="7" s="1"/>
  <c r="BU39" i="7"/>
  <c r="U44" i="13"/>
  <c r="U26" i="13"/>
  <c r="U31" i="13" s="1"/>
  <c r="BW37" i="7" l="1"/>
  <c r="BW39" i="7" s="1"/>
  <c r="BV39" i="7"/>
  <c r="BV28" i="7"/>
  <c r="BV30" i="7" s="1"/>
  <c r="BX32" i="7"/>
  <c r="BX34" i="7" s="1"/>
  <c r="BX35" i="7"/>
  <c r="BX40" i="7" s="1"/>
  <c r="AI29" i="13"/>
  <c r="AJ29" i="13"/>
  <c r="BW28" i="7" l="1"/>
  <c r="BW30" i="7" s="1"/>
  <c r="BY32" i="7"/>
  <c r="BY34" i="7" s="1"/>
  <c r="BY35" i="7"/>
  <c r="BY40" i="7" s="1"/>
  <c r="BX37" i="7"/>
  <c r="AH29" i="13"/>
  <c r="BZ32" i="7" l="1"/>
  <c r="BZ34" i="7" s="1"/>
  <c r="BZ35" i="7"/>
  <c r="BZ40" i="7" s="1"/>
  <c r="BX39" i="7"/>
  <c r="BX28" i="7"/>
  <c r="BX30" i="7" s="1"/>
  <c r="BY37" i="7"/>
  <c r="V21" i="11"/>
  <c r="I23" i="15" s="1"/>
  <c r="I21" i="15"/>
  <c r="L29" i="16" a="1"/>
  <c r="L29" i="16" s="1"/>
  <c r="BY28" i="7" l="1"/>
  <c r="BY30" i="7" s="1"/>
  <c r="BY39" i="7"/>
  <c r="CA35" i="7"/>
  <c r="CA40" i="7" s="1"/>
  <c r="CA32" i="7"/>
  <c r="CA34" i="7" s="1"/>
  <c r="BZ37" i="7"/>
  <c r="H34" i="16" a="1"/>
  <c r="H34" i="16" s="1"/>
  <c r="V26" i="13"/>
  <c r="H25" i="16" a="1"/>
  <c r="H25" i="16" s="1"/>
  <c r="CA37" i="7" l="1"/>
  <c r="CA39" i="7" s="1"/>
  <c r="BZ39" i="7"/>
  <c r="BZ28" i="7"/>
  <c r="BZ30" i="7" s="1"/>
  <c r="CB32" i="7"/>
  <c r="CB34" i="7" s="1"/>
  <c r="CB35" i="7"/>
  <c r="CB40" i="7" s="1"/>
  <c r="H18" i="16" a="1"/>
  <c r="H18" i="16" s="1"/>
  <c r="V44" i="13"/>
  <c r="H26" i="16" a="1"/>
  <c r="H26" i="16" s="1"/>
  <c r="V31" i="13"/>
  <c r="M26" i="15"/>
  <c r="CA28" i="7" l="1"/>
  <c r="CA30" i="7" s="1"/>
  <c r="CC32" i="7"/>
  <c r="CC34" i="7" s="1"/>
  <c r="CC35" i="7"/>
  <c r="CC40" i="7" s="1"/>
  <c r="CB37" i="7"/>
  <c r="W26" i="13"/>
  <c r="W31" i="13" s="1"/>
  <c r="H31" i="16" a="1"/>
  <c r="H31" i="16" s="1"/>
  <c r="W21" i="11"/>
  <c r="J26" i="15"/>
  <c r="O26" i="15"/>
  <c r="AO29" i="13"/>
  <c r="AY29" i="13"/>
  <c r="BB29" i="13"/>
  <c r="AP29" i="13"/>
  <c r="AL29" i="13"/>
  <c r="BH29" i="13"/>
  <c r="BD29" i="13"/>
  <c r="AU29" i="13"/>
  <c r="BE29" i="13"/>
  <c r="AX29" i="13"/>
  <c r="BA29" i="13"/>
  <c r="AM29" i="13"/>
  <c r="AS29" i="13"/>
  <c r="AR29" i="13"/>
  <c r="BG29" i="13"/>
  <c r="AV29" i="13"/>
  <c r="Q26" i="15"/>
  <c r="CB39" i="7" l="1"/>
  <c r="CB28" i="7"/>
  <c r="CB30" i="7" s="1"/>
  <c r="CD32" i="7"/>
  <c r="CD34" i="7" s="1"/>
  <c r="CD35" i="7"/>
  <c r="CD40" i="7" s="1"/>
  <c r="CC37" i="7"/>
  <c r="W44" i="13"/>
  <c r="AT29" i="13"/>
  <c r="AK29" i="13"/>
  <c r="BI29" i="13"/>
  <c r="AZ29" i="13"/>
  <c r="AQ29" i="13"/>
  <c r="AN29" i="13"/>
  <c r="BC29" i="13"/>
  <c r="BF29" i="13"/>
  <c r="AW29" i="13"/>
  <c r="CD37" i="7" l="1"/>
  <c r="CC28" i="7"/>
  <c r="CC30" i="7" s="1"/>
  <c r="CC39" i="7"/>
  <c r="CE32" i="7"/>
  <c r="CE34" i="7" s="1"/>
  <c r="CE35" i="7"/>
  <c r="CE40" i="7" s="1"/>
  <c r="N29" i="16" a="1"/>
  <c r="N29" i="16" s="1"/>
  <c r="R29" i="16" a="1"/>
  <c r="R29" i="16" s="1"/>
  <c r="M29" i="16" a="1"/>
  <c r="M29" i="16" s="1"/>
  <c r="T29" i="16" a="1"/>
  <c r="T29" i="16" s="1"/>
  <c r="P29" i="16" a="1"/>
  <c r="P29" i="16" s="1"/>
  <c r="Q29" i="16" a="1"/>
  <c r="Q29" i="16" s="1"/>
  <c r="S29" i="16" a="1"/>
  <c r="S29" i="16" s="1"/>
  <c r="U29" i="16" a="1"/>
  <c r="U29" i="16" s="1"/>
  <c r="O29" i="16" a="1"/>
  <c r="O29" i="16" s="1"/>
  <c r="CF32" i="7" l="1"/>
  <c r="CF34" i="7" s="1"/>
  <c r="CF35" i="7"/>
  <c r="CF40" i="7" s="1"/>
  <c r="CE37" i="7"/>
  <c r="CD28" i="7"/>
  <c r="CD30" i="7" s="1"/>
  <c r="CD39" i="7"/>
  <c r="X21" i="11"/>
  <c r="X26" i="13"/>
  <c r="X31" i="13" s="1"/>
  <c r="CE28" i="7" l="1"/>
  <c r="CE30" i="7" s="1"/>
  <c r="CE39" i="7"/>
  <c r="CG35" i="7"/>
  <c r="CG40" i="7" s="1"/>
  <c r="CG32" i="7"/>
  <c r="CG34" i="7" s="1"/>
  <c r="CF37" i="7"/>
  <c r="X44" i="13"/>
  <c r="CG37" i="7" l="1"/>
  <c r="CG28" i="7" s="1"/>
  <c r="CG30" i="7" s="1"/>
  <c r="CF28" i="7"/>
  <c r="CF30" i="7" s="1"/>
  <c r="CF39" i="7"/>
  <c r="CH35" i="7"/>
  <c r="CH40" i="7" s="1"/>
  <c r="CH32" i="7"/>
  <c r="CH34" i="7" s="1"/>
  <c r="CG39" i="7" l="1"/>
  <c r="CH37" i="7"/>
  <c r="CH28" i="7" s="1"/>
  <c r="CH30" i="7" s="1"/>
  <c r="CI32" i="7"/>
  <c r="CI34" i="7" s="1"/>
  <c r="CI35" i="7"/>
  <c r="CI40" i="7" s="1"/>
  <c r="Y21" i="11"/>
  <c r="J23" i="15" s="1"/>
  <c r="J21" i="15"/>
  <c r="CH39" i="7" l="1"/>
  <c r="CJ32" i="7"/>
  <c r="CJ34" i="7" s="1"/>
  <c r="CJ35" i="7"/>
  <c r="CJ40" i="7" s="1"/>
  <c r="CI37" i="7"/>
  <c r="Y26" i="13"/>
  <c r="I25" i="16" a="1"/>
  <c r="I25" i="16" s="1"/>
  <c r="CI28" i="7" l="1"/>
  <c r="CI30" i="7" s="1"/>
  <c r="CI39" i="7"/>
  <c r="CK32" i="7"/>
  <c r="CK34" i="7" s="1"/>
  <c r="CK35" i="7"/>
  <c r="CK40" i="7" s="1"/>
  <c r="CJ37" i="7"/>
  <c r="I18" i="16" a="1"/>
  <c r="I18" i="16" s="1"/>
  <c r="Y44" i="13"/>
  <c r="I34" i="16" a="1"/>
  <c r="I34" i="16" s="1"/>
  <c r="I26" i="16" a="1"/>
  <c r="I26" i="16" s="1"/>
  <c r="Y31" i="13"/>
  <c r="CJ28" i="7" l="1"/>
  <c r="CJ30" i="7" s="1"/>
  <c r="CJ39" i="7"/>
  <c r="CL35" i="7"/>
  <c r="CL40" i="7" s="1"/>
  <c r="CL32" i="7"/>
  <c r="CL34" i="7" s="1"/>
  <c r="CK37" i="7"/>
  <c r="I31" i="16" a="1"/>
  <c r="I31" i="16" s="1"/>
  <c r="Z21" i="11"/>
  <c r="CK28" i="7" l="1"/>
  <c r="CK30" i="7" s="1"/>
  <c r="CK39" i="7"/>
  <c r="CM35" i="7"/>
  <c r="CM40" i="7" s="1"/>
  <c r="CM32" i="7"/>
  <c r="CM34" i="7" s="1"/>
  <c r="CL37" i="7"/>
  <c r="Z44" i="13"/>
  <c r="Z26" i="13"/>
  <c r="Z31" i="13" s="1"/>
  <c r="CM37" i="7" l="1"/>
  <c r="CM39" i="7" s="1"/>
  <c r="CL28" i="7"/>
  <c r="CL30" i="7" s="1"/>
  <c r="CL39" i="7"/>
  <c r="CN35" i="7"/>
  <c r="CN40" i="7" s="1"/>
  <c r="CN32" i="7"/>
  <c r="CN34" i="7" s="1"/>
  <c r="CM28" i="7" l="1"/>
  <c r="CM30" i="7" s="1"/>
  <c r="CN37" i="7"/>
  <c r="CN39" i="7" s="1"/>
  <c r="CO32" i="7"/>
  <c r="CO34" i="7" s="1"/>
  <c r="CO35" i="7"/>
  <c r="CO40" i="7" s="1"/>
  <c r="AA21" i="11"/>
  <c r="CN28" i="7" l="1"/>
  <c r="CN30" i="7" s="1"/>
  <c r="CO37" i="7"/>
  <c r="CP32" i="7"/>
  <c r="CP34" i="7" s="1"/>
  <c r="CP35" i="7"/>
  <c r="CP40" i="7" s="1"/>
  <c r="AA44" i="13"/>
  <c r="AA26" i="13"/>
  <c r="AA31" i="13" s="1"/>
  <c r="CQ32" i="7" l="1"/>
  <c r="CQ34" i="7" s="1"/>
  <c r="CQ35" i="7"/>
  <c r="CQ40" i="7" s="1"/>
  <c r="CP37" i="7"/>
  <c r="CO28" i="7"/>
  <c r="CO30" i="7" s="1"/>
  <c r="CO39" i="7"/>
  <c r="CP28" i="7" l="1"/>
  <c r="CP30" i="7" s="1"/>
  <c r="CP39" i="7"/>
  <c r="CR35" i="7"/>
  <c r="CR40" i="7" s="1"/>
  <c r="CR32" i="7"/>
  <c r="CR34" i="7" s="1"/>
  <c r="CQ37" i="7"/>
  <c r="AB21" i="11"/>
  <c r="K23" i="15" s="1"/>
  <c r="K21" i="15"/>
  <c r="CQ39" i="7" l="1"/>
  <c r="CQ28" i="7"/>
  <c r="CQ30" i="7" s="1"/>
  <c r="CS32" i="7"/>
  <c r="CS34" i="7" s="1"/>
  <c r="CS35" i="7"/>
  <c r="CS40" i="7" s="1"/>
  <c r="CR37" i="7"/>
  <c r="J25" i="16" a="1"/>
  <c r="J25" i="16" s="1"/>
  <c r="AB26" i="13"/>
  <c r="CT35" i="7" l="1"/>
  <c r="CT40" i="7" s="1"/>
  <c r="CT32" i="7"/>
  <c r="CT34" i="7" s="1"/>
  <c r="CR39" i="7"/>
  <c r="CR28" i="7"/>
  <c r="CR30" i="7" s="1"/>
  <c r="CS37" i="7"/>
  <c r="J34" i="16" a="1"/>
  <c r="J34" i="16" s="1"/>
  <c r="AB44" i="13"/>
  <c r="J18" i="16" a="1"/>
  <c r="J18" i="16" s="1"/>
  <c r="AB31" i="13"/>
  <c r="J26" i="16" a="1"/>
  <c r="J26" i="16" s="1"/>
  <c r="CT37" i="7" l="1"/>
  <c r="CT39" i="7" s="1"/>
  <c r="CS39" i="7"/>
  <c r="CS28" i="7"/>
  <c r="CS30" i="7" s="1"/>
  <c r="CU35" i="7"/>
  <c r="CU40" i="7" s="1"/>
  <c r="CU32" i="7"/>
  <c r="CU34" i="7" s="1"/>
  <c r="AC21" i="11"/>
  <c r="J31" i="16" a="1"/>
  <c r="J31" i="16" s="1"/>
  <c r="CU37" i="7" l="1"/>
  <c r="CU28" i="7" s="1"/>
  <c r="CU30" i="7" s="1"/>
  <c r="CT28" i="7"/>
  <c r="CT30" i="7" s="1"/>
  <c r="CV32" i="7"/>
  <c r="CV34" i="7" s="1"/>
  <c r="CV35" i="7"/>
  <c r="CV40" i="7" s="1"/>
  <c r="AC44" i="13"/>
  <c r="AC26" i="13"/>
  <c r="AC31" i="13" s="1"/>
  <c r="CU39" i="7" l="1"/>
  <c r="CW32" i="7"/>
  <c r="CW34" i="7" s="1"/>
  <c r="CW35" i="7"/>
  <c r="CW40" i="7" s="1"/>
  <c r="CV37" i="7"/>
  <c r="CV28" i="7" l="1"/>
  <c r="CV30" i="7" s="1"/>
  <c r="CV39" i="7"/>
  <c r="CX32" i="7"/>
  <c r="CX34" i="7" s="1"/>
  <c r="CX35" i="7"/>
  <c r="CX40" i="7" s="1"/>
  <c r="CW37" i="7"/>
  <c r="AD21" i="11"/>
  <c r="CY32" i="7" l="1"/>
  <c r="CY34" i="7" s="1"/>
  <c r="CY35" i="7"/>
  <c r="CY40" i="7" s="1"/>
  <c r="CW28" i="7"/>
  <c r="CW30" i="7" s="1"/>
  <c r="CW39" i="7"/>
  <c r="CX37" i="7"/>
  <c r="AD44" i="13"/>
  <c r="AD26" i="13"/>
  <c r="AD31" i="13" s="1"/>
  <c r="CX28" i="7" l="1"/>
  <c r="CX30" i="7" s="1"/>
  <c r="CX39" i="7"/>
  <c r="CZ32" i="7"/>
  <c r="CZ34" i="7" s="1"/>
  <c r="CZ35" i="7"/>
  <c r="CZ40" i="7" s="1"/>
  <c r="CY37" i="7"/>
  <c r="DA32" i="7" l="1"/>
  <c r="DA34" i="7" s="1"/>
  <c r="DA35" i="7"/>
  <c r="DA40" i="7" s="1"/>
  <c r="CY39" i="7"/>
  <c r="CY28" i="7"/>
  <c r="CY30" i="7" s="1"/>
  <c r="CZ37" i="7"/>
  <c r="CZ39" i="7" l="1"/>
  <c r="CZ28" i="7"/>
  <c r="CZ30" i="7" s="1"/>
  <c r="DB35" i="7"/>
  <c r="DB40" i="7" s="1"/>
  <c r="DB32" i="7"/>
  <c r="DB34" i="7" s="1"/>
  <c r="DA37" i="7"/>
  <c r="AE21" i="11"/>
  <c r="L23" i="15" s="1"/>
  <c r="L21" i="15"/>
  <c r="AE26" i="13"/>
  <c r="K25" i="16" a="1"/>
  <c r="K25" i="16" s="1"/>
  <c r="DB37" i="7" l="1"/>
  <c r="DB28" i="7" s="1"/>
  <c r="DB30" i="7" s="1"/>
  <c r="DA39" i="7"/>
  <c r="DA28" i="7"/>
  <c r="DA30" i="7" s="1"/>
  <c r="DC32" i="7"/>
  <c r="DC34" i="7" s="1"/>
  <c r="DC35" i="7"/>
  <c r="DC40" i="7" s="1"/>
  <c r="K26" i="16" a="1"/>
  <c r="K26" i="16" s="1"/>
  <c r="AE31" i="13"/>
  <c r="DB39" i="7" l="1"/>
  <c r="DD32" i="7"/>
  <c r="DD34" i="7" s="1"/>
  <c r="DD35" i="7"/>
  <c r="DD40" i="7" s="1"/>
  <c r="DC37" i="7"/>
  <c r="K18" i="16" a="1"/>
  <c r="K18" i="16" s="1"/>
  <c r="AE44" i="13"/>
  <c r="K34" i="16" a="1"/>
  <c r="K34" i="16" s="1"/>
  <c r="K31" i="16" a="1"/>
  <c r="K31" i="16" s="1"/>
  <c r="AF21" i="11"/>
  <c r="DC39" i="7" l="1"/>
  <c r="DC28" i="7"/>
  <c r="DC30" i="7" s="1"/>
  <c r="DE35" i="7"/>
  <c r="DE40" i="7" s="1"/>
  <c r="DE32" i="7"/>
  <c r="DE34" i="7" s="1"/>
  <c r="DD37" i="7"/>
  <c r="AF44" i="13"/>
  <c r="AF26" i="13"/>
  <c r="AF31" i="13" s="1"/>
  <c r="DE37" i="7" l="1"/>
  <c r="DE28" i="7" s="1"/>
  <c r="DE30" i="7" s="1"/>
  <c r="DD28" i="7"/>
  <c r="DD30" i="7" s="1"/>
  <c r="DD39" i="7"/>
  <c r="DF32" i="7"/>
  <c r="DF34" i="7" s="1"/>
  <c r="DF35" i="7"/>
  <c r="DF40" i="7" s="1"/>
  <c r="DE39" i="7" l="1"/>
  <c r="DF37" i="7"/>
  <c r="DG32" i="7"/>
  <c r="DG34" i="7" s="1"/>
  <c r="DG35" i="7"/>
  <c r="DG40" i="7" s="1"/>
  <c r="DH35" i="7" l="1"/>
  <c r="DH40" i="7" s="1"/>
  <c r="DH32" i="7"/>
  <c r="DH34" i="7" s="1"/>
  <c r="DG37" i="7"/>
  <c r="DF39" i="7"/>
  <c r="DF28" i="7"/>
  <c r="DF30" i="7" s="1"/>
  <c r="AG21" i="11"/>
  <c r="AG26" i="13"/>
  <c r="AG31" i="13" s="1"/>
  <c r="DH37" i="7" l="1"/>
  <c r="DH39" i="7" s="1"/>
  <c r="DG39" i="7"/>
  <c r="DG28" i="7"/>
  <c r="DG30" i="7" s="1"/>
  <c r="DI32" i="7"/>
  <c r="DI34" i="7" s="1"/>
  <c r="DI35" i="7"/>
  <c r="DI40" i="7" s="1"/>
  <c r="AG44" i="13"/>
  <c r="DH28" i="7" l="1"/>
  <c r="DH30" i="7" s="1"/>
  <c r="DI37" i="7"/>
  <c r="DI28" i="7" s="1"/>
  <c r="DI30" i="7" s="1"/>
  <c r="DJ32" i="7"/>
  <c r="DJ34" i="7" s="1"/>
  <c r="DJ35" i="7"/>
  <c r="DJ40" i="7" s="1"/>
  <c r="AH21" i="11"/>
  <c r="M23" i="15" s="1"/>
  <c r="M21" i="15"/>
  <c r="DI39" i="7" l="1"/>
  <c r="DK35" i="7"/>
  <c r="DK40" i="7" s="1"/>
  <c r="DK32" i="7"/>
  <c r="DK34" i="7" s="1"/>
  <c r="DJ37" i="7"/>
  <c r="L34" i="16" a="1"/>
  <c r="L34" i="16" s="1"/>
  <c r="AH26" i="13"/>
  <c r="L25" i="16" a="1"/>
  <c r="L25" i="16" s="1"/>
  <c r="DK37" i="7" l="1"/>
  <c r="DK39" i="7" s="1"/>
  <c r="DJ39" i="7"/>
  <c r="DJ28" i="7"/>
  <c r="DJ30" i="7" s="1"/>
  <c r="DL35" i="7"/>
  <c r="DL40" i="7" s="1"/>
  <c r="DL32" i="7"/>
  <c r="DL34" i="7" s="1"/>
  <c r="L18" i="16" a="1"/>
  <c r="L18" i="16" s="1"/>
  <c r="AH44" i="13"/>
  <c r="L26" i="16" a="1"/>
  <c r="L26" i="16" s="1"/>
  <c r="AH31" i="13"/>
  <c r="DK28" i="7" l="1"/>
  <c r="DK30" i="7" s="1"/>
  <c r="DM35" i="7"/>
  <c r="DM40" i="7" s="1"/>
  <c r="DM32" i="7"/>
  <c r="DM34" i="7" s="1"/>
  <c r="DL37" i="7"/>
  <c r="AI21" i="11"/>
  <c r="L31" i="16" a="1"/>
  <c r="L31" i="16" s="1"/>
  <c r="DM37" i="7" l="1"/>
  <c r="DM39" i="7" s="1"/>
  <c r="DL28" i="7"/>
  <c r="DL30" i="7" s="1"/>
  <c r="DL39" i="7"/>
  <c r="DM28" i="7"/>
  <c r="DM30" i="7" s="1"/>
  <c r="DN35" i="7"/>
  <c r="DN40" i="7" s="1"/>
  <c r="DN32" i="7"/>
  <c r="DN34" i="7" s="1"/>
  <c r="AI26" i="13"/>
  <c r="AI31" i="13" s="1"/>
  <c r="DN37" i="7" l="1"/>
  <c r="DN28" i="7" s="1"/>
  <c r="DN30" i="7" s="1"/>
  <c r="DO32" i="7"/>
  <c r="DO34" i="7" s="1"/>
  <c r="DO35" i="7"/>
  <c r="DO40" i="7" s="1"/>
  <c r="AI44" i="13"/>
  <c r="BF14" i="11"/>
  <c r="BF16" i="11" s="1"/>
  <c r="L14" i="11"/>
  <c r="L16" i="11" s="1"/>
  <c r="D14" i="11"/>
  <c r="D16" i="11" s="1"/>
  <c r="F14" i="11"/>
  <c r="F16" i="11" s="1"/>
  <c r="I14" i="11"/>
  <c r="I16" i="11" s="1"/>
  <c r="T14" i="11"/>
  <c r="AA14" i="11"/>
  <c r="AA16" i="11" s="1"/>
  <c r="AP14" i="11"/>
  <c r="AP16" i="11" s="1"/>
  <c r="AS14" i="11"/>
  <c r="AS16" i="11" s="1"/>
  <c r="AS29" i="11" s="1"/>
  <c r="O14" i="11"/>
  <c r="O16" i="11" s="1"/>
  <c r="S14" i="11"/>
  <c r="S16" i="11" s="1"/>
  <c r="AB14" i="11"/>
  <c r="AB16" i="11" s="1"/>
  <c r="X14" i="11"/>
  <c r="X16" i="11" s="1"/>
  <c r="U14" i="11"/>
  <c r="U16" i="11" s="1"/>
  <c r="AK14" i="11"/>
  <c r="AK16" i="11" s="1"/>
  <c r="AJ14" i="11"/>
  <c r="AJ16" i="11" s="1"/>
  <c r="AG14" i="11"/>
  <c r="AG16" i="11" s="1"/>
  <c r="BB14" i="11"/>
  <c r="BB16" i="11" s="1"/>
  <c r="BB29" i="11" s="1"/>
  <c r="AY14" i="11"/>
  <c r="AY16" i="11" s="1"/>
  <c r="R14" i="11"/>
  <c r="R16" i="11" s="1"/>
  <c r="AM14" i="11"/>
  <c r="AM16" i="11" s="1"/>
  <c r="BC14" i="11"/>
  <c r="BC16" i="11" s="1"/>
  <c r="BC29" i="11" s="1"/>
  <c r="J14" i="11"/>
  <c r="J16" i="11" s="1"/>
  <c r="AT14" i="11"/>
  <c r="AT16" i="11" s="1"/>
  <c r="V14" i="11"/>
  <c r="V16" i="11" s="1"/>
  <c r="AQ14" i="11"/>
  <c r="AQ16" i="11" s="1"/>
  <c r="BI14" i="11"/>
  <c r="BI16" i="11" s="1"/>
  <c r="AH14" i="11"/>
  <c r="AH16" i="11" s="1"/>
  <c r="AW14" i="11"/>
  <c r="AW16" i="11" s="1"/>
  <c r="AW29" i="11" s="1"/>
  <c r="G14" i="11"/>
  <c r="G16" i="11" s="1"/>
  <c r="AV14" i="11"/>
  <c r="AV16" i="11" s="1"/>
  <c r="AV29" i="11" s="1"/>
  <c r="AE14" i="11"/>
  <c r="AE16" i="11" s="1"/>
  <c r="C14" i="11"/>
  <c r="C16" i="11" s="1"/>
  <c r="B14" i="11"/>
  <c r="BH14" i="11"/>
  <c r="BH16" i="11" s="1"/>
  <c r="BH29" i="11" s="1"/>
  <c r="AN14" i="11"/>
  <c r="AN16" i="11" s="1"/>
  <c r="Y14" i="11"/>
  <c r="Y16" i="11" s="1"/>
  <c r="M14" i="11"/>
  <c r="M16" i="11" s="1"/>
  <c r="AZ14" i="11"/>
  <c r="AZ16" i="11" s="1"/>
  <c r="AZ29" i="11" s="1"/>
  <c r="P14" i="11"/>
  <c r="P16" i="11" s="1"/>
  <c r="AD14" i="11"/>
  <c r="AD16" i="11" s="1"/>
  <c r="BE14" i="11"/>
  <c r="BE16" i="11" s="1"/>
  <c r="BE29" i="11" s="1"/>
  <c r="DN39" i="7" l="1"/>
  <c r="DP35" i="7"/>
  <c r="DP40" i="7" s="1"/>
  <c r="DP32" i="7"/>
  <c r="DP34" i="7" s="1"/>
  <c r="DO37" i="7"/>
  <c r="Q14" i="15"/>
  <c r="AR14" i="11"/>
  <c r="H14" i="15"/>
  <c r="Q14" i="11"/>
  <c r="D14" i="15"/>
  <c r="E14" i="11"/>
  <c r="J14" i="15"/>
  <c r="W14" i="11"/>
  <c r="M14" i="15"/>
  <c r="AF14" i="11"/>
  <c r="R14" i="15"/>
  <c r="AU14" i="11"/>
  <c r="T14" i="15"/>
  <c r="BA14" i="11"/>
  <c r="P14" i="15"/>
  <c r="AO14" i="11"/>
  <c r="O14" i="15"/>
  <c r="AL14" i="11"/>
  <c r="T16" i="11"/>
  <c r="I16" i="15"/>
  <c r="F14" i="15"/>
  <c r="K14" i="11"/>
  <c r="N14" i="15"/>
  <c r="AI14" i="11"/>
  <c r="S14" i="15"/>
  <c r="AX14" i="11"/>
  <c r="B16" i="11"/>
  <c r="C16" i="15"/>
  <c r="U14" i="15"/>
  <c r="BD14" i="11"/>
  <c r="K14" i="15"/>
  <c r="Z14" i="11"/>
  <c r="AJ21" i="11"/>
  <c r="AJ23" i="11" s="1"/>
  <c r="AJ25" i="11" s="1"/>
  <c r="AJ30" i="11" s="1"/>
  <c r="U16" i="16" a="1"/>
  <c r="U16" i="16" s="1"/>
  <c r="V14" i="15"/>
  <c r="BG14" i="11"/>
  <c r="E14" i="15"/>
  <c r="H14" i="11"/>
  <c r="G14" i="15"/>
  <c r="N14" i="11"/>
  <c r="L14" i="15"/>
  <c r="AC14" i="11"/>
  <c r="E19" i="13"/>
  <c r="E21" i="13" s="1"/>
  <c r="H19" i="13"/>
  <c r="H21" i="13" s="1"/>
  <c r="F19" i="13"/>
  <c r="F21" i="13" s="1"/>
  <c r="C14" i="15"/>
  <c r="C19" i="13"/>
  <c r="C21" i="13" s="1"/>
  <c r="N19" i="13"/>
  <c r="N21" i="13" s="1"/>
  <c r="K19" i="13"/>
  <c r="K21" i="13" s="1"/>
  <c r="B19" i="13"/>
  <c r="B21" i="13" s="1"/>
  <c r="O19" i="13"/>
  <c r="O21" i="13" s="1"/>
  <c r="I19" i="13"/>
  <c r="I21" i="13" s="1"/>
  <c r="L19" i="13"/>
  <c r="L21" i="13" s="1"/>
  <c r="Q19" i="13"/>
  <c r="Q21" i="13" s="1"/>
  <c r="R19" i="13"/>
  <c r="R21" i="13" s="1"/>
  <c r="U19" i="13"/>
  <c r="U21" i="13" s="1"/>
  <c r="W19" i="13"/>
  <c r="W21" i="13" s="1"/>
  <c r="X19" i="13"/>
  <c r="X21" i="13" s="1"/>
  <c r="Z19" i="13"/>
  <c r="Z21" i="13" s="1"/>
  <c r="Z43" i="13" s="1"/>
  <c r="AA19" i="13"/>
  <c r="AA21" i="13" s="1"/>
  <c r="AA43" i="13" s="1"/>
  <c r="AC19" i="13"/>
  <c r="AC21" i="13" s="1"/>
  <c r="AC43" i="13" s="1"/>
  <c r="AD19" i="13"/>
  <c r="AD21" i="13" s="1"/>
  <c r="AD43" i="13" s="1"/>
  <c r="AF19" i="13"/>
  <c r="AF21" i="13" s="1"/>
  <c r="AF43" i="13" s="1"/>
  <c r="AG19" i="13"/>
  <c r="AG21" i="13" s="1"/>
  <c r="AG43" i="13" s="1"/>
  <c r="AI19" i="13"/>
  <c r="AI21" i="13" s="1"/>
  <c r="AI43" i="13" s="1"/>
  <c r="G29" i="11"/>
  <c r="G23" i="11"/>
  <c r="G25" i="11" s="1"/>
  <c r="G30" i="11" s="1"/>
  <c r="AQ29" i="11"/>
  <c r="AG23" i="11"/>
  <c r="AG25" i="11" s="1"/>
  <c r="AG30" i="11" s="1"/>
  <c r="AG29" i="11"/>
  <c r="S29" i="11"/>
  <c r="S23" i="11"/>
  <c r="S25" i="11" s="1"/>
  <c r="S30" i="11" s="1"/>
  <c r="Y23" i="11"/>
  <c r="Y25" i="11" s="1"/>
  <c r="Y29" i="11"/>
  <c r="T16" i="16" a="1"/>
  <c r="T16" i="16" s="1"/>
  <c r="V23" i="11"/>
  <c r="V25" i="11" s="1"/>
  <c r="V30" i="11" s="1"/>
  <c r="V29" i="11"/>
  <c r="AJ29" i="11"/>
  <c r="O23" i="11"/>
  <c r="O25" i="11" s="1"/>
  <c r="O30" i="11" s="1"/>
  <c r="O29" i="11"/>
  <c r="C29" i="11"/>
  <c r="C23" i="11"/>
  <c r="C25" i="11" s="1"/>
  <c r="C30" i="11" s="1"/>
  <c r="AM29" i="11"/>
  <c r="AK29" i="11"/>
  <c r="I14" i="15"/>
  <c r="T19" i="13"/>
  <c r="T21" i="13" s="1"/>
  <c r="L23" i="11"/>
  <c r="L25" i="11" s="1"/>
  <c r="L30" i="11" s="1"/>
  <c r="L29" i="11"/>
  <c r="R23" i="11"/>
  <c r="R25" i="11" s="1"/>
  <c r="R30" i="11" s="1"/>
  <c r="R29" i="11"/>
  <c r="S16" i="16" a="1"/>
  <c r="S16" i="16" s="1"/>
  <c r="O16" i="16" a="1"/>
  <c r="O16" i="16" s="1"/>
  <c r="AN29" i="11"/>
  <c r="P29" i="11"/>
  <c r="P23" i="11"/>
  <c r="P25" i="11" s="1"/>
  <c r="P30" i="11" s="1"/>
  <c r="AE29" i="11"/>
  <c r="AE23" i="11"/>
  <c r="AE25" i="11" s="1"/>
  <c r="AE30" i="11" s="1"/>
  <c r="R16" i="16" a="1"/>
  <c r="R16" i="16" s="1"/>
  <c r="AY29" i="11"/>
  <c r="N16" i="16" a="1"/>
  <c r="N16" i="16" s="1"/>
  <c r="BF29" i="11"/>
  <c r="AT29" i="11"/>
  <c r="U23" i="11"/>
  <c r="U25" i="11" s="1"/>
  <c r="U30" i="11" s="1"/>
  <c r="U29" i="11"/>
  <c r="AP29" i="11"/>
  <c r="I23" i="11"/>
  <c r="I25" i="11" s="1"/>
  <c r="I30" i="11" s="1"/>
  <c r="I29" i="11"/>
  <c r="AD23" i="11"/>
  <c r="AD25" i="11" s="1"/>
  <c r="AD30" i="11" s="1"/>
  <c r="AD29" i="11"/>
  <c r="M23" i="11"/>
  <c r="M25" i="11" s="1"/>
  <c r="M30" i="11" s="1"/>
  <c r="M29" i="11"/>
  <c r="AH23" i="11"/>
  <c r="AH25" i="11" s="1"/>
  <c r="AH30" i="11" s="1"/>
  <c r="AH29" i="11"/>
  <c r="J23" i="11"/>
  <c r="J25" i="11" s="1"/>
  <c r="J30" i="11" s="1"/>
  <c r="J29" i="11"/>
  <c r="X29" i="11"/>
  <c r="X23" i="11"/>
  <c r="X25" i="11" s="1"/>
  <c r="X30" i="11" s="1"/>
  <c r="Q16" i="16" a="1"/>
  <c r="Q16" i="16" s="1"/>
  <c r="F29" i="11"/>
  <c r="F23" i="11"/>
  <c r="F25" i="11" s="1"/>
  <c r="F30" i="11" s="1"/>
  <c r="P16" i="16" a="1"/>
  <c r="P16" i="16" s="1"/>
  <c r="BI29" i="11"/>
  <c r="M16" i="16" a="1"/>
  <c r="M16" i="16" s="1"/>
  <c r="AB23" i="11"/>
  <c r="AB25" i="11" s="1"/>
  <c r="AB30" i="11" s="1"/>
  <c r="AB29" i="11"/>
  <c r="AA29" i="11"/>
  <c r="AA23" i="11"/>
  <c r="AA25" i="11" s="1"/>
  <c r="AA30" i="11" s="1"/>
  <c r="D29" i="11"/>
  <c r="D23" i="11"/>
  <c r="D25" i="11" s="1"/>
  <c r="D30" i="11" s="1"/>
  <c r="DP37" i="7" l="1"/>
  <c r="DP39" i="7" s="1"/>
  <c r="DO39" i="7"/>
  <c r="DO28" i="7"/>
  <c r="DO30" i="7" s="1"/>
  <c r="DQ32" i="7"/>
  <c r="DQ34" i="7" s="1"/>
  <c r="DQ35" i="7"/>
  <c r="DQ40" i="7" s="1"/>
  <c r="H16" i="11"/>
  <c r="E16" i="15"/>
  <c r="Z16" i="11"/>
  <c r="K16" i="15"/>
  <c r="N16" i="15"/>
  <c r="AI16" i="11"/>
  <c r="AO16" i="11"/>
  <c r="P16" i="15"/>
  <c r="J16" i="15"/>
  <c r="W16" i="11"/>
  <c r="G16" i="16" a="1"/>
  <c r="G16" i="16" s="1"/>
  <c r="S19" i="13"/>
  <c r="D16" i="16" a="1"/>
  <c r="D16" i="16" s="1"/>
  <c r="J19" i="13"/>
  <c r="E16" i="16" a="1"/>
  <c r="E16" i="16" s="1"/>
  <c r="M19" i="13"/>
  <c r="J16" i="16" a="1"/>
  <c r="J16" i="16" s="1"/>
  <c r="AB19" i="13"/>
  <c r="B16" i="16" a="1"/>
  <c r="B16" i="16" s="1"/>
  <c r="D19" i="13"/>
  <c r="BG16" i="11"/>
  <c r="V16" i="15"/>
  <c r="BD16" i="11"/>
  <c r="U16" i="15"/>
  <c r="F16" i="15"/>
  <c r="K16" i="11"/>
  <c r="T16" i="15"/>
  <c r="BA16" i="11"/>
  <c r="E16" i="11"/>
  <c r="D16" i="15"/>
  <c r="L16" i="16" a="1"/>
  <c r="L16" i="16" s="1"/>
  <c r="AH19" i="13"/>
  <c r="AJ44" i="13"/>
  <c r="I16" i="16" a="1"/>
  <c r="I16" i="16" s="1"/>
  <c r="Y19" i="13"/>
  <c r="F16" i="16" a="1"/>
  <c r="F16" i="16" s="1"/>
  <c r="P19" i="13"/>
  <c r="AC16" i="11"/>
  <c r="L16" i="15"/>
  <c r="R16" i="15"/>
  <c r="AU16" i="11"/>
  <c r="Q16" i="11"/>
  <c r="H16" i="15"/>
  <c r="B23" i="11"/>
  <c r="C18" i="15"/>
  <c r="C31" i="15" s="1"/>
  <c r="B29" i="11"/>
  <c r="T29" i="11"/>
  <c r="I18" i="15"/>
  <c r="I31" i="15" s="1"/>
  <c r="T23" i="11"/>
  <c r="K16" i="16" a="1"/>
  <c r="K16" i="16" s="1"/>
  <c r="AE19" i="13"/>
  <c r="C16" i="16" a="1"/>
  <c r="C16" i="16" s="1"/>
  <c r="G19" i="13"/>
  <c r="G16" i="15"/>
  <c r="N16" i="11"/>
  <c r="AX16" i="11"/>
  <c r="S16" i="15"/>
  <c r="O16" i="15"/>
  <c r="AL16" i="11"/>
  <c r="AF16" i="11"/>
  <c r="M16" i="15"/>
  <c r="AR16" i="11"/>
  <c r="Q16" i="15"/>
  <c r="H16" i="16" a="1"/>
  <c r="H16" i="16" s="1"/>
  <c r="V19" i="13"/>
  <c r="N43" i="13"/>
  <c r="R43" i="13"/>
  <c r="X43" i="13"/>
  <c r="L43" i="13"/>
  <c r="C43" i="13"/>
  <c r="W43" i="13"/>
  <c r="I43" i="13"/>
  <c r="T43" i="13"/>
  <c r="AJ26" i="13"/>
  <c r="AJ31" i="13" s="1"/>
  <c r="O43" i="13"/>
  <c r="Y30" i="11"/>
  <c r="U43" i="13"/>
  <c r="B43" i="13"/>
  <c r="F43" i="13"/>
  <c r="H43" i="13"/>
  <c r="Q43" i="13"/>
  <c r="K43" i="13"/>
  <c r="E43" i="13"/>
  <c r="DP28" i="7" l="1"/>
  <c r="DP30" i="7" s="1"/>
  <c r="DR35" i="7"/>
  <c r="DR40" i="7" s="1"/>
  <c r="DR32" i="7"/>
  <c r="DR34" i="7" s="1"/>
  <c r="DQ37" i="7"/>
  <c r="AF29" i="11"/>
  <c r="M18" i="15"/>
  <c r="M31" i="15" s="1"/>
  <c r="AF23" i="11"/>
  <c r="L18" i="15"/>
  <c r="L31" i="15" s="1"/>
  <c r="AC29" i="11"/>
  <c r="AC23" i="11"/>
  <c r="L19" i="16" a="1"/>
  <c r="L19" i="16" s="1"/>
  <c r="AH21" i="13"/>
  <c r="M21" i="13"/>
  <c r="E19" i="16" a="1"/>
  <c r="E19" i="16" s="1"/>
  <c r="AK21" i="11"/>
  <c r="N21" i="15"/>
  <c r="AL29" i="11"/>
  <c r="O18" i="15"/>
  <c r="O31" i="15" s="1"/>
  <c r="AE21" i="13"/>
  <c r="K19" i="16" a="1"/>
  <c r="K19" i="16" s="1"/>
  <c r="F19" i="16" a="1"/>
  <c r="F19" i="16" s="1"/>
  <c r="P21" i="13"/>
  <c r="BD29" i="11"/>
  <c r="U18" i="15"/>
  <c r="U31" i="15" s="1"/>
  <c r="AO29" i="11"/>
  <c r="P18" i="15"/>
  <c r="P31" i="15" s="1"/>
  <c r="C25" i="15"/>
  <c r="B25" i="11"/>
  <c r="D19" i="16" a="1"/>
  <c r="D19" i="16" s="1"/>
  <c r="J21" i="13"/>
  <c r="N18" i="15"/>
  <c r="N31" i="15" s="1"/>
  <c r="AI29" i="11"/>
  <c r="AI23" i="11"/>
  <c r="V21" i="13"/>
  <c r="H19" i="16" a="1"/>
  <c r="H19" i="16" s="1"/>
  <c r="Y21" i="13"/>
  <c r="I19" i="16" a="1"/>
  <c r="I19" i="16" s="1"/>
  <c r="D18" i="15"/>
  <c r="D31" i="15" s="1"/>
  <c r="E23" i="11"/>
  <c r="E29" i="11"/>
  <c r="BG29" i="11"/>
  <c r="V18" i="15"/>
  <c r="V31" i="15" s="1"/>
  <c r="S18" i="15"/>
  <c r="S31" i="15" s="1"/>
  <c r="AX29" i="11"/>
  <c r="H18" i="15"/>
  <c r="H31" i="15" s="1"/>
  <c r="Q29" i="11"/>
  <c r="Q23" i="11"/>
  <c r="BA29" i="11"/>
  <c r="T18" i="15"/>
  <c r="T31" i="15" s="1"/>
  <c r="D21" i="13"/>
  <c r="B19" i="16" a="1"/>
  <c r="B19" i="16" s="1"/>
  <c r="G19" i="16" a="1"/>
  <c r="G19" i="16" s="1"/>
  <c r="S21" i="13"/>
  <c r="G18" i="15"/>
  <c r="G31" i="15" s="1"/>
  <c r="N29" i="11"/>
  <c r="N23" i="11"/>
  <c r="T25" i="11"/>
  <c r="I25" i="15"/>
  <c r="R18" i="15"/>
  <c r="R31" i="15" s="1"/>
  <c r="AU29" i="11"/>
  <c r="K18" i="15"/>
  <c r="K31" i="15" s="1"/>
  <c r="Z29" i="11"/>
  <c r="Z23" i="11"/>
  <c r="Q18" i="15"/>
  <c r="Q31" i="15" s="1"/>
  <c r="AR29" i="11"/>
  <c r="K29" i="11"/>
  <c r="F18" i="15"/>
  <c r="F31" i="15" s="1"/>
  <c r="K23" i="11"/>
  <c r="AB21" i="13"/>
  <c r="AB43" i="13" s="1"/>
  <c r="J19" i="16" a="1"/>
  <c r="J19" i="16" s="1"/>
  <c r="J18" i="15"/>
  <c r="J31" i="15" s="1"/>
  <c r="W29" i="11"/>
  <c r="W23" i="11"/>
  <c r="G21" i="13"/>
  <c r="C19" i="16" a="1"/>
  <c r="C19" i="16" s="1"/>
  <c r="AJ19" i="13"/>
  <c r="AJ21" i="13" s="1"/>
  <c r="AJ43" i="13" s="1"/>
  <c r="H23" i="11"/>
  <c r="H29" i="11"/>
  <c r="E18" i="15"/>
  <c r="E31" i="15" s="1"/>
  <c r="AL26" i="13"/>
  <c r="AL31" i="13" s="1"/>
  <c r="AK26" i="13"/>
  <c r="M25" i="16" a="1"/>
  <c r="M25" i="16" s="1"/>
  <c r="DR37" i="7" l="1"/>
  <c r="DR39" i="7" s="1"/>
  <c r="DQ28" i="7"/>
  <c r="DQ30" i="7" s="1"/>
  <c r="DQ39" i="7"/>
  <c r="DS35" i="7"/>
  <c r="DS40" i="7" s="1"/>
  <c r="DS32" i="7"/>
  <c r="DS34" i="7" s="1"/>
  <c r="K21" i="16" a="1"/>
  <c r="K21" i="16" s="1"/>
  <c r="AE43" i="13"/>
  <c r="L21" i="16" a="1"/>
  <c r="L21" i="16" s="1"/>
  <c r="AH43" i="13"/>
  <c r="H21" i="16" a="1"/>
  <c r="H21" i="16" s="1"/>
  <c r="V43" i="13"/>
  <c r="G43" i="13"/>
  <c r="C21" i="16" a="1"/>
  <c r="C21" i="16" s="1"/>
  <c r="W25" i="11"/>
  <c r="J25" i="15"/>
  <c r="T30" i="11"/>
  <c r="I27" i="15"/>
  <c r="I32" i="15" s="1"/>
  <c r="AI25" i="11"/>
  <c r="AI30" i="11" s="1"/>
  <c r="AC25" i="11"/>
  <c r="L25" i="15"/>
  <c r="D43" i="13"/>
  <c r="B21" i="16" a="1"/>
  <c r="B21" i="16" s="1"/>
  <c r="G25" i="15"/>
  <c r="N25" i="11"/>
  <c r="J21" i="16" a="1"/>
  <c r="J21" i="16" s="1"/>
  <c r="K25" i="15"/>
  <c r="Z25" i="11"/>
  <c r="Q25" i="11"/>
  <c r="H25" i="15"/>
  <c r="E25" i="11"/>
  <c r="F26" i="11" s="1"/>
  <c r="F35" i="13" s="1"/>
  <c r="F36" i="13" s="1"/>
  <c r="F38" i="13" s="1"/>
  <c r="F40" i="13" s="1"/>
  <c r="D25" i="15"/>
  <c r="H25" i="11"/>
  <c r="E25" i="15"/>
  <c r="D21" i="16" a="1"/>
  <c r="D21" i="16" s="1"/>
  <c r="J43" i="13"/>
  <c r="F21" i="16" a="1"/>
  <c r="F21" i="16" s="1"/>
  <c r="P43" i="13"/>
  <c r="AK23" i="11"/>
  <c r="N25" i="15" s="1"/>
  <c r="N23" i="15"/>
  <c r="M25" i="15"/>
  <c r="AF25" i="11"/>
  <c r="G21" i="16" a="1"/>
  <c r="G21" i="16" s="1"/>
  <c r="S43" i="13"/>
  <c r="K25" i="11"/>
  <c r="F25" i="15"/>
  <c r="I21" i="16" a="1"/>
  <c r="I21" i="16" s="1"/>
  <c r="Y43" i="13"/>
  <c r="C26" i="11"/>
  <c r="C35" i="13" s="1"/>
  <c r="C36" i="13" s="1"/>
  <c r="C38" i="13" s="1"/>
  <c r="C40" i="13" s="1"/>
  <c r="C27" i="15"/>
  <c r="C32" i="15" s="1"/>
  <c r="D26" i="11"/>
  <c r="B26" i="11"/>
  <c r="B35" i="13" s="1"/>
  <c r="B36" i="13" s="1"/>
  <c r="B38" i="13" s="1"/>
  <c r="B40" i="13" s="1"/>
  <c r="B30" i="11"/>
  <c r="E21" i="16" a="1"/>
  <c r="E21" i="16" s="1"/>
  <c r="M43" i="13"/>
  <c r="M26" i="16" a="1"/>
  <c r="M26" i="16" s="1"/>
  <c r="AK31" i="13"/>
  <c r="M31" i="16" s="1" a="1"/>
  <c r="M31" i="16" s="1"/>
  <c r="AM26" i="13"/>
  <c r="AM31" i="13" s="1"/>
  <c r="AM21" i="11"/>
  <c r="AM23" i="11" s="1"/>
  <c r="AM25" i="11" s="1"/>
  <c r="AM30" i="11" s="1"/>
  <c r="AL21" i="11"/>
  <c r="AL23" i="11" s="1"/>
  <c r="DR28" i="7" l="1"/>
  <c r="DR30" i="7" s="1"/>
  <c r="DS37" i="7"/>
  <c r="DT32" i="7"/>
  <c r="DT34" i="7" s="1"/>
  <c r="DT35" i="7"/>
  <c r="DT40" i="7" s="1"/>
  <c r="G26" i="11"/>
  <c r="G35" i="13" s="1"/>
  <c r="E26" i="11"/>
  <c r="E35" i="13" s="1"/>
  <c r="E36" i="13" s="1"/>
  <c r="E38" i="13" s="1"/>
  <c r="E40" i="13" s="1"/>
  <c r="I26" i="11"/>
  <c r="I35" i="13" s="1"/>
  <c r="I36" i="13" s="1"/>
  <c r="I38" i="13" s="1"/>
  <c r="I40" i="13" s="1"/>
  <c r="J26" i="11"/>
  <c r="J35" i="13" s="1"/>
  <c r="H26" i="11"/>
  <c r="H35" i="13" s="1"/>
  <c r="H36" i="13" s="1"/>
  <c r="H38" i="13" s="1"/>
  <c r="H40" i="13" s="1"/>
  <c r="N26" i="11"/>
  <c r="N35" i="13" s="1"/>
  <c r="N36" i="13" s="1"/>
  <c r="N38" i="13" s="1"/>
  <c r="N40" i="13" s="1"/>
  <c r="P26" i="11"/>
  <c r="G28" i="15" s="1" a="1"/>
  <c r="G28" i="15" s="1"/>
  <c r="L26" i="11"/>
  <c r="L35" i="13" s="1"/>
  <c r="L36" i="13" s="1"/>
  <c r="L38" i="13" s="1"/>
  <c r="L40" i="13" s="1"/>
  <c r="AD26" i="11"/>
  <c r="AD35" i="13" s="1"/>
  <c r="AD36" i="13" s="1"/>
  <c r="AD38" i="13" s="1"/>
  <c r="AD40" i="13" s="1"/>
  <c r="O26" i="11"/>
  <c r="O35" i="13" s="1"/>
  <c r="O36" i="13" s="1"/>
  <c r="O38" i="13" s="1"/>
  <c r="O40" i="13" s="1"/>
  <c r="K26" i="11"/>
  <c r="K35" i="13" s="1"/>
  <c r="K36" i="13" s="1"/>
  <c r="K38" i="13" s="1"/>
  <c r="K40" i="13" s="1"/>
  <c r="R26" i="11"/>
  <c r="R35" i="13" s="1"/>
  <c r="R36" i="13" s="1"/>
  <c r="R38" i="13" s="1"/>
  <c r="R40" i="13" s="1"/>
  <c r="AG26" i="11"/>
  <c r="AG35" i="13" s="1"/>
  <c r="AG36" i="13" s="1"/>
  <c r="AG38" i="13" s="1"/>
  <c r="AG40" i="13" s="1"/>
  <c r="Z26" i="11"/>
  <c r="Z35" i="13" s="1"/>
  <c r="Z36" i="13" s="1"/>
  <c r="Z38" i="13" s="1"/>
  <c r="Z40" i="13" s="1"/>
  <c r="M26" i="11"/>
  <c r="M35" i="13" s="1"/>
  <c r="AF30" i="11"/>
  <c r="M27" i="15"/>
  <c r="M32" i="15" s="1"/>
  <c r="K27" i="15"/>
  <c r="K32" i="15" s="1"/>
  <c r="Z30" i="11"/>
  <c r="AJ26" i="11"/>
  <c r="AJ35" i="13" s="1"/>
  <c r="AJ36" i="13" s="1"/>
  <c r="AJ38" i="13" s="1"/>
  <c r="AJ40" i="13" s="1"/>
  <c r="V26" i="11"/>
  <c r="W30" i="11"/>
  <c r="J27" i="15"/>
  <c r="J32" i="15" s="1"/>
  <c r="Q30" i="11"/>
  <c r="H27" i="15"/>
  <c r="H32" i="15" s="1"/>
  <c r="AC26" i="11"/>
  <c r="AC35" i="13" s="1"/>
  <c r="AC36" i="13" s="1"/>
  <c r="AC38" i="13" s="1"/>
  <c r="AC40" i="13" s="1"/>
  <c r="S26" i="11"/>
  <c r="AI26" i="11"/>
  <c r="AI35" i="13" s="1"/>
  <c r="AI36" i="13" s="1"/>
  <c r="AI38" i="13" s="1"/>
  <c r="AI40" i="13" s="1"/>
  <c r="AA26" i="11"/>
  <c r="AA35" i="13" s="1"/>
  <c r="AA36" i="13" s="1"/>
  <c r="AA38" i="13" s="1"/>
  <c r="AA40" i="13" s="1"/>
  <c r="U26" i="11"/>
  <c r="U35" i="13" s="1"/>
  <c r="U36" i="13" s="1"/>
  <c r="U38" i="13" s="1"/>
  <c r="U40" i="13" s="1"/>
  <c r="Q26" i="11"/>
  <c r="Q35" i="13" s="1"/>
  <c r="Q36" i="13" s="1"/>
  <c r="Q38" i="13" s="1"/>
  <c r="Q40" i="13" s="1"/>
  <c r="H30" i="11"/>
  <c r="E27" i="15"/>
  <c r="E32" i="15" s="1"/>
  <c r="L27" i="15"/>
  <c r="L32" i="15" s="1"/>
  <c r="AC30" i="11"/>
  <c r="AE26" i="11"/>
  <c r="AH26" i="11"/>
  <c r="T26" i="11"/>
  <c r="T35" i="13" s="1"/>
  <c r="T36" i="13" s="1"/>
  <c r="T38" i="13" s="1"/>
  <c r="T40" i="13" s="1"/>
  <c r="X26" i="11"/>
  <c r="X35" i="13" s="1"/>
  <c r="X36" i="13" s="1"/>
  <c r="X38" i="13" s="1"/>
  <c r="X40" i="13" s="1"/>
  <c r="K30" i="11"/>
  <c r="F27" i="15"/>
  <c r="F32" i="15" s="1"/>
  <c r="AB26" i="11"/>
  <c r="AF26" i="11"/>
  <c r="AF35" i="13" s="1"/>
  <c r="AF36" i="13" s="1"/>
  <c r="AF38" i="13" s="1"/>
  <c r="AF40" i="13" s="1"/>
  <c r="Y26" i="11"/>
  <c r="C28" i="15" a="1"/>
  <c r="C28" i="15" s="1"/>
  <c r="D35" i="13"/>
  <c r="W26" i="11"/>
  <c r="W35" i="13" s="1"/>
  <c r="W36" i="13" s="1"/>
  <c r="W38" i="13" s="1"/>
  <c r="W40" i="13" s="1"/>
  <c r="E30" i="11"/>
  <c r="D27" i="15"/>
  <c r="D32" i="15" s="1"/>
  <c r="G27" i="15"/>
  <c r="G32" i="15" s="1"/>
  <c r="N30" i="11"/>
  <c r="AN21" i="11"/>
  <c r="AL25" i="11"/>
  <c r="D28" i="15" l="1" a="1"/>
  <c r="D28" i="15" s="1"/>
  <c r="DT37" i="7"/>
  <c r="DT28" i="7" s="1"/>
  <c r="DT30" i="7" s="1"/>
  <c r="DU32" i="7"/>
  <c r="DU34" i="7" s="1"/>
  <c r="DU35" i="7"/>
  <c r="DU40" i="7" s="1"/>
  <c r="DS28" i="7"/>
  <c r="DS30" i="7" s="1"/>
  <c r="DS39" i="7"/>
  <c r="E28" i="15" a="1"/>
  <c r="E28" i="15" s="1"/>
  <c r="P35" i="13"/>
  <c r="P36" i="13" s="1"/>
  <c r="F28" i="15" a="1"/>
  <c r="F28" i="15" s="1"/>
  <c r="O21" i="15"/>
  <c r="J28" i="15" a="1"/>
  <c r="J28" i="15" s="1"/>
  <c r="Y35" i="13"/>
  <c r="G36" i="13"/>
  <c r="C35" i="16" a="1"/>
  <c r="C35" i="16" s="1"/>
  <c r="D36" i="13"/>
  <c r="B35" i="16" a="1"/>
  <c r="B35" i="16" s="1"/>
  <c r="H28" i="15" a="1"/>
  <c r="H28" i="15" s="1"/>
  <c r="S35" i="13"/>
  <c r="AH35" i="13"/>
  <c r="M28" i="15" a="1"/>
  <c r="M28" i="15" s="1"/>
  <c r="K28" i="15" a="1"/>
  <c r="K28" i="15" s="1"/>
  <c r="AB35" i="13"/>
  <c r="AE35" i="13"/>
  <c r="L28" i="15" a="1"/>
  <c r="L28" i="15" s="1"/>
  <c r="V35" i="13"/>
  <c r="I28" i="15" a="1"/>
  <c r="I28" i="15" s="1"/>
  <c r="M36" i="13"/>
  <c r="E35" i="16" a="1"/>
  <c r="E35" i="16" s="1"/>
  <c r="J36" i="13"/>
  <c r="D35" i="16" a="1"/>
  <c r="D35" i="16" s="1"/>
  <c r="O23" i="15"/>
  <c r="AN23" i="11"/>
  <c r="AN26" i="13"/>
  <c r="N25" i="16" a="1"/>
  <c r="N25" i="16" s="1"/>
  <c r="AL30" i="11"/>
  <c r="AO26" i="13"/>
  <c r="AO31" i="13" s="1"/>
  <c r="DT39" i="7" l="1"/>
  <c r="DV32" i="7"/>
  <c r="DV34" i="7" s="1"/>
  <c r="DV35" i="7"/>
  <c r="DV40" i="7" s="1"/>
  <c r="DU37" i="7"/>
  <c r="F35" i="16" a="1"/>
  <c r="F35" i="16" s="1"/>
  <c r="K35" i="16" a="1"/>
  <c r="K35" i="16" s="1"/>
  <c r="AE36" i="13"/>
  <c r="J35" i="16" a="1"/>
  <c r="J35" i="16" s="1"/>
  <c r="AB36" i="13"/>
  <c r="J38" i="13"/>
  <c r="D36" i="16" a="1"/>
  <c r="D36" i="16" s="1"/>
  <c r="D38" i="13"/>
  <c r="B36" i="16" a="1"/>
  <c r="B36" i="16" s="1"/>
  <c r="M38" i="13"/>
  <c r="E36" i="16" a="1"/>
  <c r="E36" i="16" s="1"/>
  <c r="AH36" i="13"/>
  <c r="L35" i="16" a="1"/>
  <c r="L35" i="16" s="1"/>
  <c r="C36" i="16" a="1"/>
  <c r="C36" i="16" s="1"/>
  <c r="G38" i="13"/>
  <c r="S36" i="13"/>
  <c r="G35" i="16" a="1"/>
  <c r="G35" i="16" s="1"/>
  <c r="I35" i="16" a="1"/>
  <c r="I35" i="16" s="1"/>
  <c r="Y36" i="13"/>
  <c r="AN25" i="11"/>
  <c r="O25" i="15"/>
  <c r="V36" i="13"/>
  <c r="H35" i="16" a="1"/>
  <c r="H35" i="16" s="1"/>
  <c r="P38" i="13"/>
  <c r="F36" i="16" a="1"/>
  <c r="F36" i="16" s="1"/>
  <c r="AP26" i="13"/>
  <c r="AP31" i="13" s="1"/>
  <c r="N26" i="16" a="1"/>
  <c r="N26" i="16" s="1"/>
  <c r="AN31" i="13"/>
  <c r="N31" i="16" s="1" a="1"/>
  <c r="N31" i="16" s="1"/>
  <c r="AP21" i="11"/>
  <c r="AP23" i="11" s="1"/>
  <c r="AP25" i="11" s="1"/>
  <c r="AP30" i="11" s="1"/>
  <c r="AO21" i="11"/>
  <c r="AO23" i="11" s="1"/>
  <c r="DU28" i="7" l="1"/>
  <c r="DU30" i="7" s="1"/>
  <c r="DU39" i="7"/>
  <c r="DW32" i="7"/>
  <c r="DW34" i="7" s="1"/>
  <c r="DW35" i="7"/>
  <c r="DW40" i="7" s="1"/>
  <c r="DV37" i="7"/>
  <c r="F38" i="16" a="1"/>
  <c r="F38" i="16" s="1"/>
  <c r="P40" i="13"/>
  <c r="G36" i="16" a="1"/>
  <c r="G36" i="16" s="1"/>
  <c r="S38" i="13"/>
  <c r="B38" i="16" a="1"/>
  <c r="B38" i="16" s="1"/>
  <c r="D40" i="13"/>
  <c r="D38" i="16" a="1"/>
  <c r="D38" i="16" s="1"/>
  <c r="J40" i="13"/>
  <c r="J36" i="16" a="1"/>
  <c r="J36" i="16" s="1"/>
  <c r="AB38" i="13"/>
  <c r="AN30" i="11"/>
  <c r="O27" i="15"/>
  <c r="O32" i="15" s="1"/>
  <c r="L36" i="16" a="1"/>
  <c r="L36" i="16" s="1"/>
  <c r="AH38" i="13"/>
  <c r="C38" i="16" a="1"/>
  <c r="C38" i="16" s="1"/>
  <c r="G40" i="13"/>
  <c r="H36" i="16" a="1"/>
  <c r="H36" i="16" s="1"/>
  <c r="V38" i="13"/>
  <c r="I36" i="16" a="1"/>
  <c r="I36" i="16" s="1"/>
  <c r="Y38" i="13"/>
  <c r="K36" i="16" a="1"/>
  <c r="K36" i="16" s="1"/>
  <c r="AE38" i="13"/>
  <c r="E38" i="16" a="1"/>
  <c r="E38" i="16" s="1"/>
  <c r="M40" i="13"/>
  <c r="AQ21" i="11"/>
  <c r="AO25" i="11"/>
  <c r="DV28" i="7" l="1"/>
  <c r="DV30" i="7" s="1"/>
  <c r="DV39" i="7"/>
  <c r="DX32" i="7"/>
  <c r="DX34" i="7" s="1"/>
  <c r="DX35" i="7"/>
  <c r="DX40" i="7" s="1"/>
  <c r="DW37" i="7"/>
  <c r="K38" i="16" a="1"/>
  <c r="K38" i="16" s="1"/>
  <c r="AE40" i="13"/>
  <c r="E40" i="16"/>
  <c r="B40" i="16"/>
  <c r="D40" i="16"/>
  <c r="C40" i="16"/>
  <c r="L38" i="16" a="1"/>
  <c r="L38" i="16" s="1"/>
  <c r="AH40" i="13"/>
  <c r="G38" i="16" a="1"/>
  <c r="G38" i="16" s="1"/>
  <c r="S40" i="13"/>
  <c r="I38" i="16" a="1"/>
  <c r="I38" i="16" s="1"/>
  <c r="Y40" i="13"/>
  <c r="F40" i="16" s="1"/>
  <c r="P21" i="15"/>
  <c r="H38" i="16" a="1"/>
  <c r="H38" i="16" s="1"/>
  <c r="V40" i="13"/>
  <c r="J38" i="16" a="1"/>
  <c r="J38" i="16" s="1"/>
  <c r="AB40" i="13"/>
  <c r="AR26" i="13"/>
  <c r="AR31" i="13" s="1"/>
  <c r="P23" i="15"/>
  <c r="AQ23" i="11"/>
  <c r="AQ26" i="13"/>
  <c r="O25" i="16" a="1"/>
  <c r="O25" i="16" s="1"/>
  <c r="AO30" i="11"/>
  <c r="DW39" i="7" l="1"/>
  <c r="DW28" i="7"/>
  <c r="DW30" i="7" s="1"/>
  <c r="DY32" i="7"/>
  <c r="DY34" i="7" s="1"/>
  <c r="DY35" i="7"/>
  <c r="DY40" i="7" s="1"/>
  <c r="DX37" i="7"/>
  <c r="AQ25" i="11"/>
  <c r="P25" i="15"/>
  <c r="AR21" i="11"/>
  <c r="AS21" i="11"/>
  <c r="AS23" i="11" s="1"/>
  <c r="AS25" i="11" s="1"/>
  <c r="AS30" i="11" s="1"/>
  <c r="AS26" i="13"/>
  <c r="AS31" i="13" s="1"/>
  <c r="O26" i="16" a="1"/>
  <c r="O26" i="16" s="1"/>
  <c r="AQ31" i="13"/>
  <c r="O31" i="16" s="1" a="1"/>
  <c r="O31" i="16" s="1"/>
  <c r="DX39" i="7" l="1"/>
  <c r="DX28" i="7"/>
  <c r="DX30" i="7" s="1"/>
  <c r="DZ32" i="7"/>
  <c r="DZ34" i="7" s="1"/>
  <c r="DZ35" i="7"/>
  <c r="DZ40" i="7" s="1"/>
  <c r="DY37" i="7"/>
  <c r="AQ30" i="11"/>
  <c r="P27" i="15"/>
  <c r="P32" i="15" s="1"/>
  <c r="AR23" i="11"/>
  <c r="DY28" i="7" l="1"/>
  <c r="DY30" i="7" s="1"/>
  <c r="DY39" i="7"/>
  <c r="DZ37" i="7"/>
  <c r="EA35" i="7"/>
  <c r="EA40" i="7" s="1"/>
  <c r="EA32" i="7"/>
  <c r="EA34" i="7" s="1"/>
  <c r="AT21" i="11"/>
  <c r="Q21" i="15"/>
  <c r="AT26" i="13"/>
  <c r="P25" i="16" a="1"/>
  <c r="P25" i="16" s="1"/>
  <c r="AU26" i="13"/>
  <c r="AU31" i="13" s="1"/>
  <c r="AR25" i="11"/>
  <c r="EA37" i="7" l="1"/>
  <c r="EA39" i="7" s="1"/>
  <c r="DZ28" i="7"/>
  <c r="DZ30" i="7" s="1"/>
  <c r="DZ39" i="7"/>
  <c r="EB32" i="7"/>
  <c r="EB34" i="7" s="1"/>
  <c r="EB35" i="7"/>
  <c r="EB40" i="7" s="1"/>
  <c r="AT23" i="11"/>
  <c r="Q23" i="15"/>
  <c r="AV21" i="11"/>
  <c r="AV23" i="11" s="1"/>
  <c r="AV25" i="11" s="1"/>
  <c r="AV30" i="11" s="1"/>
  <c r="AV26" i="13"/>
  <c r="AV31" i="13" s="1"/>
  <c r="AR30" i="11"/>
  <c r="AU21" i="11"/>
  <c r="P26" i="16" a="1"/>
  <c r="P26" i="16" s="1"/>
  <c r="AT31" i="13"/>
  <c r="P31" i="16" s="1" a="1"/>
  <c r="P31" i="16" s="1"/>
  <c r="EA28" i="7" l="1"/>
  <c r="EA30" i="7" s="1"/>
  <c r="EC32" i="7"/>
  <c r="EC34" i="7" s="1"/>
  <c r="EC35" i="7"/>
  <c r="EC40" i="7" s="1"/>
  <c r="EB37" i="7"/>
  <c r="AT25" i="11"/>
  <c r="Q25" i="15"/>
  <c r="AU23" i="11"/>
  <c r="EB28" i="7" l="1"/>
  <c r="EB30" i="7" s="1"/>
  <c r="EB39" i="7"/>
  <c r="ED32" i="7"/>
  <c r="ED34" i="7" s="1"/>
  <c r="ED35" i="7"/>
  <c r="ED40" i="7" s="1"/>
  <c r="EC37" i="7"/>
  <c r="AW21" i="11"/>
  <c r="R21" i="15"/>
  <c r="AT30" i="11"/>
  <c r="Q27" i="15"/>
  <c r="Q32" i="15" s="1"/>
  <c r="AU25" i="11"/>
  <c r="Q25" i="16" a="1"/>
  <c r="Q25" i="16" s="1"/>
  <c r="AW26" i="13"/>
  <c r="AX26" i="13"/>
  <c r="AX31" i="13" s="1"/>
  <c r="EC28" i="7" l="1"/>
  <c r="EC30" i="7" s="1"/>
  <c r="EC39" i="7"/>
  <c r="EE32" i="7"/>
  <c r="EE34" i="7" s="1"/>
  <c r="EE35" i="7"/>
  <c r="EE40" i="7" s="1"/>
  <c r="ED37" i="7"/>
  <c r="AW23" i="11"/>
  <c r="R23" i="15"/>
  <c r="AY26" i="13"/>
  <c r="AY31" i="13" s="1"/>
  <c r="AY21" i="11"/>
  <c r="AY23" i="11" s="1"/>
  <c r="AY25" i="11" s="1"/>
  <c r="AY30" i="11" s="1"/>
  <c r="AX21" i="11"/>
  <c r="Q26" i="16" a="1"/>
  <c r="Q26" i="16" s="1"/>
  <c r="AW31" i="13"/>
  <c r="Q31" i="16" s="1" a="1"/>
  <c r="Q31" i="16" s="1"/>
  <c r="AU30" i="11"/>
  <c r="EE37" i="7" l="1"/>
  <c r="EE28" i="7" s="1"/>
  <c r="EE30" i="7" s="1"/>
  <c r="EF32" i="7"/>
  <c r="EF34" i="7" s="1"/>
  <c r="EF35" i="7"/>
  <c r="EF40" i="7" s="1"/>
  <c r="ED28" i="7"/>
  <c r="ED30" i="7" s="1"/>
  <c r="ED39" i="7"/>
  <c r="AW25" i="11"/>
  <c r="R25" i="15"/>
  <c r="AX23" i="11"/>
  <c r="AZ21" i="11"/>
  <c r="AZ23" i="11" s="1"/>
  <c r="AZ25" i="11" s="1"/>
  <c r="AZ30" i="11" s="1"/>
  <c r="EE39" i="7" l="1"/>
  <c r="EG32" i="7"/>
  <c r="EG34" i="7" s="1"/>
  <c r="EG35" i="7"/>
  <c r="EG40" i="7" s="1"/>
  <c r="EF37" i="7"/>
  <c r="S23" i="15"/>
  <c r="AW30" i="11"/>
  <c r="R27" i="15"/>
  <c r="R32" i="15" s="1"/>
  <c r="S21" i="15"/>
  <c r="BA26" i="13"/>
  <c r="BA31" i="13" s="1"/>
  <c r="AZ26" i="13"/>
  <c r="R25" i="16" a="1"/>
  <c r="R25" i="16" s="1"/>
  <c r="AX25" i="11"/>
  <c r="S25" i="15"/>
  <c r="EF39" i="7" l="1"/>
  <c r="EF28" i="7"/>
  <c r="EF30" i="7" s="1"/>
  <c r="EH32" i="7"/>
  <c r="EH34" i="7" s="1"/>
  <c r="EH35" i="7"/>
  <c r="EH40" i="7" s="1"/>
  <c r="EG37" i="7"/>
  <c r="BA21" i="11"/>
  <c r="BB21" i="11"/>
  <c r="BB23" i="11" s="1"/>
  <c r="BB25" i="11" s="1"/>
  <c r="BB30" i="11" s="1"/>
  <c r="BB26" i="13"/>
  <c r="BB31" i="13" s="1"/>
  <c r="R26" i="16" a="1"/>
  <c r="R26" i="16" s="1"/>
  <c r="AZ31" i="13"/>
  <c r="R31" i="16" s="1" a="1"/>
  <c r="R31" i="16" s="1"/>
  <c r="AX30" i="11"/>
  <c r="S27" i="15"/>
  <c r="S32" i="15" s="1"/>
  <c r="EG28" i="7" l="1"/>
  <c r="EG30" i="7" s="1"/>
  <c r="EG39" i="7"/>
  <c r="EH37" i="7"/>
  <c r="EI32" i="7"/>
  <c r="EI34" i="7" s="1"/>
  <c r="EI35" i="7"/>
  <c r="EI40" i="7" s="1"/>
  <c r="BC21" i="11"/>
  <c r="BC23" i="11" s="1"/>
  <c r="BC25" i="11" s="1"/>
  <c r="BC30" i="11" s="1"/>
  <c r="BA23" i="11"/>
  <c r="EI37" i="7" l="1"/>
  <c r="EJ32" i="7"/>
  <c r="EJ34" i="7" s="1"/>
  <c r="EJ35" i="7"/>
  <c r="EJ40" i="7" s="1"/>
  <c r="EH28" i="7"/>
  <c r="EH30" i="7" s="1"/>
  <c r="EH39" i="7"/>
  <c r="T23" i="15"/>
  <c r="T21" i="15"/>
  <c r="BD26" i="13"/>
  <c r="BD31" i="13" s="1"/>
  <c r="BC26" i="13"/>
  <c r="S25" i="16" a="1"/>
  <c r="S25" i="16" s="1"/>
  <c r="BA25" i="11"/>
  <c r="T25" i="15"/>
  <c r="EK35" i="7" l="1"/>
  <c r="EK40" i="7" s="1"/>
  <c r="EK32" i="7"/>
  <c r="EK34" i="7" s="1"/>
  <c r="EJ37" i="7"/>
  <c r="EI39" i="7"/>
  <c r="EI28" i="7"/>
  <c r="EI30" i="7" s="1"/>
  <c r="BA30" i="11"/>
  <c r="T27" i="15"/>
  <c r="T32" i="15" s="1"/>
  <c r="BE26" i="13"/>
  <c r="BE31" i="13" s="1"/>
  <c r="BE21" i="11"/>
  <c r="BE23" i="11" s="1"/>
  <c r="BE25" i="11" s="1"/>
  <c r="BE30" i="11" s="1"/>
  <c r="S26" i="16" a="1"/>
  <c r="S26" i="16" s="1"/>
  <c r="BC31" i="13"/>
  <c r="S31" i="16" s="1" a="1"/>
  <c r="S31" i="16" s="1"/>
  <c r="BD21" i="11"/>
  <c r="EK37" i="7" l="1"/>
  <c r="EK28" i="7" s="1"/>
  <c r="EK30" i="7" s="1"/>
  <c r="EJ28" i="7"/>
  <c r="EJ30" i="7" s="1"/>
  <c r="EJ39" i="7"/>
  <c r="EL32" i="7"/>
  <c r="EL34" i="7" s="1"/>
  <c r="EL35" i="7"/>
  <c r="EL40" i="7" s="1"/>
  <c r="BD23" i="11"/>
  <c r="EK39" i="7" l="1"/>
  <c r="EM32" i="7"/>
  <c r="EM34" i="7" s="1"/>
  <c r="EM35" i="7"/>
  <c r="EM40" i="7" s="1"/>
  <c r="EL37" i="7"/>
  <c r="BF21" i="11"/>
  <c r="U21" i="15"/>
  <c r="BF26" i="13"/>
  <c r="T25" i="16" a="1"/>
  <c r="T25" i="16" s="1"/>
  <c r="BG26" i="13"/>
  <c r="BG31" i="13" s="1"/>
  <c r="BD25" i="11"/>
  <c r="EL39" i="7" l="1"/>
  <c r="EL28" i="7"/>
  <c r="EL30" i="7" s="1"/>
  <c r="EN32" i="7"/>
  <c r="EN34" i="7" s="1"/>
  <c r="EN35" i="7"/>
  <c r="EN40" i="7" s="1"/>
  <c r="EM37" i="7"/>
  <c r="BF23" i="11"/>
  <c r="U23" i="15"/>
  <c r="BH26" i="13"/>
  <c r="BH31" i="13" s="1"/>
  <c r="BH21" i="11"/>
  <c r="BH23" i="11" s="1"/>
  <c r="BH25" i="11" s="1"/>
  <c r="BH30" i="11" s="1"/>
  <c r="BD30" i="11"/>
  <c r="BG21" i="11"/>
  <c r="T26" i="16" a="1"/>
  <c r="T26" i="16" s="1"/>
  <c r="BF31" i="13"/>
  <c r="T31" i="16" s="1" a="1"/>
  <c r="T31" i="16" s="1"/>
  <c r="EM39" i="7" l="1"/>
  <c r="EM28" i="7"/>
  <c r="EM30" i="7" s="1"/>
  <c r="EO32" i="7"/>
  <c r="EO34" i="7" s="1"/>
  <c r="EO35" i="7"/>
  <c r="EO40" i="7" s="1"/>
  <c r="EN37" i="7"/>
  <c r="BF25" i="11"/>
  <c r="U25" i="15"/>
  <c r="BG23" i="11"/>
  <c r="EN28" i="7" l="1"/>
  <c r="EN30" i="7" s="1"/>
  <c r="EN39" i="7"/>
  <c r="EP35" i="7"/>
  <c r="EP40" i="7" s="1"/>
  <c r="EP32" i="7"/>
  <c r="EP34" i="7" s="1"/>
  <c r="EO37" i="7"/>
  <c r="BI21" i="11"/>
  <c r="V21" i="15"/>
  <c r="BF30" i="11"/>
  <c r="U27" i="15"/>
  <c r="U32" i="15" s="1"/>
  <c r="BI26" i="13"/>
  <c r="U25" i="16" a="1"/>
  <c r="U25" i="16" s="1"/>
  <c r="BG25" i="11"/>
  <c r="EP37" i="7" l="1"/>
  <c r="EP39" i="7" s="1"/>
  <c r="EO39" i="7"/>
  <c r="EO28" i="7"/>
  <c r="EO30" i="7" s="1"/>
  <c r="EQ35" i="7"/>
  <c r="EQ40" i="7" s="1"/>
  <c r="EQ32" i="7"/>
  <c r="EQ34" i="7" s="1"/>
  <c r="BI23" i="11"/>
  <c r="V23" i="15"/>
  <c r="U26" i="16" a="1"/>
  <c r="U26" i="16" s="1"/>
  <c r="BI31" i="13"/>
  <c r="U31" i="16" s="1" a="1"/>
  <c r="U31" i="16" s="1"/>
  <c r="BG30" i="11"/>
  <c r="EP28" i="7" l="1"/>
  <c r="EP30" i="7" s="1"/>
  <c r="EQ37" i="7"/>
  <c r="EQ28" i="7" s="1"/>
  <c r="EQ30" i="7" s="1"/>
  <c r="ER32" i="7"/>
  <c r="ER34" i="7" s="1"/>
  <c r="ER35" i="7"/>
  <c r="ER40" i="7" s="1"/>
  <c r="BI25" i="11"/>
  <c r="V25" i="15"/>
  <c r="EQ39" i="7" l="1"/>
  <c r="ES35" i="7"/>
  <c r="ES40" i="7" s="1"/>
  <c r="ES32" i="7"/>
  <c r="ES34" i="7" s="1"/>
  <c r="ER37" i="7"/>
  <c r="BI30" i="11"/>
  <c r="V27" i="15"/>
  <c r="V32" i="15" s="1"/>
  <c r="ES37" i="7" l="1"/>
  <c r="ES39" i="7" s="1"/>
  <c r="ER28" i="7"/>
  <c r="ER30" i="7" s="1"/>
  <c r="ER39" i="7"/>
  <c r="ET32" i="7"/>
  <c r="ET34" i="7" s="1"/>
  <c r="ET35" i="7"/>
  <c r="ET40" i="7" s="1"/>
  <c r="ES28" i="7" l="1"/>
  <c r="ES30" i="7" s="1"/>
  <c r="EU35" i="7"/>
  <c r="EU40" i="7" s="1"/>
  <c r="EU32" i="7"/>
  <c r="EU34" i="7" s="1"/>
  <c r="ET37" i="7"/>
  <c r="EU37" i="7" l="1"/>
  <c r="EU28" i="7" s="1"/>
  <c r="EU30" i="7" s="1"/>
  <c r="ET28" i="7"/>
  <c r="ET30" i="7" s="1"/>
  <c r="ET39" i="7"/>
  <c r="EV32" i="7"/>
  <c r="EV34" i="7" s="1"/>
  <c r="EV35" i="7"/>
  <c r="EV40" i="7" s="1"/>
  <c r="EU39" i="7" l="1"/>
  <c r="EW32" i="7"/>
  <c r="EW34" i="7" s="1"/>
  <c r="EW35" i="7"/>
  <c r="EW40" i="7" s="1"/>
  <c r="EV37" i="7"/>
  <c r="EV39" i="7" l="1"/>
  <c r="EV28" i="7"/>
  <c r="EV30" i="7" s="1"/>
  <c r="EX35" i="7"/>
  <c r="EX40" i="7" s="1"/>
  <c r="EX32" i="7"/>
  <c r="EX34" i="7" s="1"/>
  <c r="EW37" i="7"/>
  <c r="EX37" i="7" l="1"/>
  <c r="EX28" i="7" s="1"/>
  <c r="EX30" i="7" s="1"/>
  <c r="EW28" i="7"/>
  <c r="EW30" i="7" s="1"/>
  <c r="EW39" i="7"/>
  <c r="EY32" i="7"/>
  <c r="EY34" i="7" s="1"/>
  <c r="EY35" i="7"/>
  <c r="EY40" i="7" s="1"/>
  <c r="EX39" i="7" l="1"/>
  <c r="EZ35" i="7"/>
  <c r="EZ40" i="7" s="1"/>
  <c r="EZ32" i="7"/>
  <c r="EZ34" i="7" s="1"/>
  <c r="EY37" i="7"/>
  <c r="EZ37" i="7" l="1"/>
  <c r="EZ39" i="7" s="1"/>
  <c r="EY39" i="7"/>
  <c r="EY28" i="7"/>
  <c r="EY30" i="7" s="1"/>
  <c r="FA32" i="7"/>
  <c r="FA34" i="7" s="1"/>
  <c r="FA35" i="7"/>
  <c r="FA40" i="7" s="1"/>
  <c r="EZ28" i="7" l="1"/>
  <c r="EZ30" i="7" s="1"/>
  <c r="FB32" i="7"/>
  <c r="FB34" i="7" s="1"/>
  <c r="FB35" i="7"/>
  <c r="FB40" i="7" s="1"/>
  <c r="FA37" i="7"/>
  <c r="FA28" i="7" l="1"/>
  <c r="FA30" i="7" s="1"/>
  <c r="FA39" i="7"/>
  <c r="FC35" i="7"/>
  <c r="FC40" i="7" s="1"/>
  <c r="FC32" i="7"/>
  <c r="FC34" i="7" s="1"/>
  <c r="FB37" i="7"/>
  <c r="FC37" i="7" l="1"/>
  <c r="FC28" i="7" s="1"/>
  <c r="FC30" i="7" s="1"/>
  <c r="FB39" i="7"/>
  <c r="FB28" i="7"/>
  <c r="FB30" i="7" s="1"/>
  <c r="FD32" i="7"/>
  <c r="FD34" i="7" s="1"/>
  <c r="FD35" i="7"/>
  <c r="FD40" i="7" s="1"/>
  <c r="FC39" i="7" l="1"/>
  <c r="FE32" i="7"/>
  <c r="FE34" i="7" s="1"/>
  <c r="FE35" i="7"/>
  <c r="FE40" i="7" s="1"/>
  <c r="FD37" i="7"/>
  <c r="FF32" i="7" l="1"/>
  <c r="FF34" i="7" s="1"/>
  <c r="FF35" i="7"/>
  <c r="FF40" i="7" s="1"/>
  <c r="FD28" i="7"/>
  <c r="FD30" i="7" s="1"/>
  <c r="FD39" i="7"/>
  <c r="FE37" i="7"/>
  <c r="FE28" i="7" l="1"/>
  <c r="FE30" i="7" s="1"/>
  <c r="FE39" i="7"/>
  <c r="FG32" i="7"/>
  <c r="FG34" i="7" s="1"/>
  <c r="FG35" i="7"/>
  <c r="FG40" i="7" s="1"/>
  <c r="FF37" i="7"/>
  <c r="FH32" i="7" l="1"/>
  <c r="FH34" i="7" s="1"/>
  <c r="FH35" i="7"/>
  <c r="FH40" i="7" s="1"/>
  <c r="FF39" i="7"/>
  <c r="FF28" i="7"/>
  <c r="FF30" i="7" s="1"/>
  <c r="FG37" i="7"/>
  <c r="FI32" i="7" l="1"/>
  <c r="FI34" i="7" s="1"/>
  <c r="FI35" i="7"/>
  <c r="FI40" i="7" s="1"/>
  <c r="FG28" i="7"/>
  <c r="FG30" i="7" s="1"/>
  <c r="FG39" i="7"/>
  <c r="FH37" i="7"/>
  <c r="FH28" i="7" l="1"/>
  <c r="FH30" i="7" s="1"/>
  <c r="FH39" i="7"/>
  <c r="FJ32" i="7"/>
  <c r="FJ34" i="7" s="1"/>
  <c r="FJ35" i="7"/>
  <c r="FJ40" i="7" s="1"/>
  <c r="FI37" i="7"/>
  <c r="FJ37" i="7" l="1"/>
  <c r="FI39" i="7"/>
  <c r="FI28" i="7"/>
  <c r="FI30" i="7" s="1"/>
  <c r="FK32" i="7"/>
  <c r="FK34" i="7" s="1"/>
  <c r="FK35" i="7"/>
  <c r="FK40" i="7" s="1"/>
  <c r="FK37" i="7" l="1"/>
  <c r="FK28" i="7" s="1"/>
  <c r="FK30" i="7" s="1"/>
  <c r="FL32" i="7"/>
  <c r="FL35" i="7"/>
  <c r="FL40" i="7" s="1"/>
  <c r="FJ28" i="7"/>
  <c r="FJ30" i="7" s="1"/>
  <c r="FJ39" i="7"/>
  <c r="FK39" i="7" l="1"/>
  <c r="FM32" i="7"/>
  <c r="FM34" i="7" s="1"/>
  <c r="FM35" i="7"/>
  <c r="FM40" i="7" s="1"/>
  <c r="FL34" i="7"/>
  <c r="FL37" i="7" s="1"/>
  <c r="FL39" i="7" l="1"/>
  <c r="FL28" i="7"/>
  <c r="FL30" i="7" s="1"/>
  <c r="FN32" i="7"/>
  <c r="FN35" i="7"/>
  <c r="FN40" i="7" s="1"/>
  <c r="FM37" i="7"/>
  <c r="FM28" i="7" l="1"/>
  <c r="FM30" i="7" s="1"/>
  <c r="FM39" i="7"/>
  <c r="FO32" i="7"/>
  <c r="FO34" i="7" s="1"/>
  <c r="FO35" i="7"/>
  <c r="FO40" i="7" s="1"/>
  <c r="FN34" i="7"/>
  <c r="FN37" i="7" s="1"/>
  <c r="FN28" i="7" l="1"/>
  <c r="FN30" i="7" s="1"/>
  <c r="FN39" i="7"/>
  <c r="FP32" i="7"/>
  <c r="FP35" i="7"/>
  <c r="FP40" i="7" s="1"/>
  <c r="FO37" i="7"/>
  <c r="FO28" i="7" l="1"/>
  <c r="FO30" i="7" s="1"/>
  <c r="FO39" i="7"/>
  <c r="FQ35" i="7"/>
  <c r="FQ40" i="7" s="1"/>
  <c r="FQ32" i="7"/>
  <c r="FQ34" i="7" s="1"/>
  <c r="FP34" i="7"/>
  <c r="FP37" i="7" s="1"/>
  <c r="FP28" i="7" l="1"/>
  <c r="FP30" i="7" s="1"/>
  <c r="FP39" i="7"/>
  <c r="FQ37" i="7"/>
  <c r="FR32" i="7"/>
  <c r="FR35" i="7"/>
  <c r="FR40" i="7" s="1"/>
  <c r="FS32" i="7" l="1"/>
  <c r="FS34" i="7" s="1"/>
  <c r="FS35" i="7"/>
  <c r="FS40" i="7" s="1"/>
  <c r="FR34" i="7"/>
  <c r="FR37" i="7" s="1"/>
  <c r="FQ39" i="7"/>
  <c r="FQ28" i="7"/>
  <c r="FQ30" i="7" s="1"/>
  <c r="FT32" i="7" l="1"/>
  <c r="FT35" i="7"/>
  <c r="FT40" i="7" s="1"/>
  <c r="FR28" i="7"/>
  <c r="FR30" i="7" s="1"/>
  <c r="FR39" i="7"/>
  <c r="FS37" i="7"/>
  <c r="FS28" i="7" l="1"/>
  <c r="FS30" i="7" s="1"/>
  <c r="FS39" i="7"/>
  <c r="FU32" i="7"/>
  <c r="FU34" i="7" s="1"/>
  <c r="FU35" i="7"/>
  <c r="FU40" i="7" s="1"/>
  <c r="FT34" i="7"/>
  <c r="FT37" i="7" s="1"/>
  <c r="FV32" i="7" l="1"/>
  <c r="FV34" i="7" s="1"/>
  <c r="FV35" i="7"/>
  <c r="FV40" i="7" s="1"/>
  <c r="FT39" i="7"/>
  <c r="FT28" i="7"/>
  <c r="FT30" i="7" s="1"/>
  <c r="FU37" i="7"/>
  <c r="FU39" i="7" l="1"/>
  <c r="FU28" i="7"/>
  <c r="FU30" i="7" s="1"/>
  <c r="FW32" i="7"/>
  <c r="FW34" i="7" s="1"/>
  <c r="FW35" i="7"/>
  <c r="FW40" i="7" s="1"/>
  <c r="FV37" i="7"/>
  <c r="FV28" i="7" l="1"/>
  <c r="FV30" i="7" s="1"/>
  <c r="FV39" i="7"/>
  <c r="FX35" i="7"/>
  <c r="FX40" i="7" s="1"/>
  <c r="FX32" i="7"/>
  <c r="FX34" i="7" s="1"/>
  <c r="FW37" i="7"/>
  <c r="FX37" i="7" l="1"/>
  <c r="FX28" i="7" s="1"/>
  <c r="FX30" i="7" s="1"/>
  <c r="FW39" i="7"/>
  <c r="FW28" i="7"/>
  <c r="FW30" i="7" s="1"/>
  <c r="FY32" i="7"/>
  <c r="FY34" i="7" s="1"/>
  <c r="FY35" i="7"/>
  <c r="FY40" i="7" s="1"/>
  <c r="FX39" i="7" l="1"/>
  <c r="FY37" i="7"/>
  <c r="FY39" i="7" s="1"/>
  <c r="FZ32" i="7"/>
  <c r="FZ35" i="7"/>
  <c r="FZ40" i="7" s="1"/>
  <c r="FY28" i="7" l="1"/>
  <c r="FY30" i="7" s="1"/>
  <c r="FZ34" i="7"/>
  <c r="FZ37" i="7" s="1"/>
  <c r="AK38" i="7"/>
  <c r="M38" i="17" l="1"/>
  <c r="AK28" i="7"/>
  <c r="AK24" i="11"/>
  <c r="AK39" i="7"/>
  <c r="B49" i="7" s="1"/>
  <c r="FZ28" i="7"/>
  <c r="FZ30" i="7" s="1"/>
  <c r="FZ39" i="7"/>
  <c r="AK25" i="11" l="1"/>
  <c r="N26" i="15"/>
  <c r="M39" i="17"/>
  <c r="BA18" i="13"/>
  <c r="AR18" i="13"/>
  <c r="AM18" i="13"/>
  <c r="AQ18" i="13"/>
  <c r="BF18" i="13"/>
  <c r="AW18" i="13"/>
  <c r="B52" i="7"/>
  <c r="B17" i="1" s="1"/>
  <c r="BC18" i="13"/>
  <c r="AT18" i="13"/>
  <c r="AO18" i="13"/>
  <c r="BG18" i="13"/>
  <c r="BE18" i="13"/>
  <c r="AY18" i="13"/>
  <c r="AK18" i="13"/>
  <c r="AZ18" i="13"/>
  <c r="AP18" i="13"/>
  <c r="BH18" i="13"/>
  <c r="AS18" i="13"/>
  <c r="AN18" i="13"/>
  <c r="AX18" i="13"/>
  <c r="BI18" i="13"/>
  <c r="BD18" i="13"/>
  <c r="AU18" i="13"/>
  <c r="B12" i="1"/>
  <c r="AL18" i="13"/>
  <c r="B50" i="7"/>
  <c r="B13" i="1" s="1"/>
  <c r="AK41" i="7"/>
  <c r="BB18" i="13"/>
  <c r="AV18" i="13"/>
  <c r="M28" i="17"/>
  <c r="AS34" i="13"/>
  <c r="AV34" i="13"/>
  <c r="AU34" i="13"/>
  <c r="AX34" i="13"/>
  <c r="AR34" i="13"/>
  <c r="AL34" i="13"/>
  <c r="BD34" i="13"/>
  <c r="BE34" i="13"/>
  <c r="AQ34" i="13"/>
  <c r="BF34" i="13"/>
  <c r="AW34" i="13"/>
  <c r="BG34" i="13"/>
  <c r="AY34" i="13"/>
  <c r="AK30" i="7"/>
  <c r="M30" i="17" s="1"/>
  <c r="AT34" i="13"/>
  <c r="AO34" i="13"/>
  <c r="BI34" i="13"/>
  <c r="BA34" i="13"/>
  <c r="BB34" i="13"/>
  <c r="AZ34" i="13"/>
  <c r="BC34" i="13"/>
  <c r="AN34" i="13"/>
  <c r="AK34" i="13"/>
  <c r="BH34" i="13"/>
  <c r="AP34" i="13"/>
  <c r="AM34" i="13"/>
  <c r="S18" i="16" l="1" a="1"/>
  <c r="S18" i="16" s="1"/>
  <c r="BC44" i="13"/>
  <c r="BC19" i="13"/>
  <c r="R18" i="16" a="1"/>
  <c r="R18" i="16" s="1"/>
  <c r="AZ19" i="13"/>
  <c r="AZ44" i="13"/>
  <c r="P34" i="16" a="1"/>
  <c r="P34" i="16" s="1"/>
  <c r="AV19" i="13"/>
  <c r="AV21" i="13" s="1"/>
  <c r="AV44" i="13"/>
  <c r="BI44" i="13"/>
  <c r="BI19" i="13"/>
  <c r="U18" i="16" a="1"/>
  <c r="U18" i="16" s="1"/>
  <c r="AY44" i="13"/>
  <c r="AY19" i="13"/>
  <c r="AY21" i="13" s="1"/>
  <c r="BF19" i="13"/>
  <c r="BF44" i="13"/>
  <c r="T18" i="16" a="1"/>
  <c r="T18" i="16" s="1"/>
  <c r="BB19" i="13"/>
  <c r="BB21" i="13" s="1"/>
  <c r="BB44" i="13"/>
  <c r="AX19" i="13"/>
  <c r="AX21" i="13" s="1"/>
  <c r="AX44" i="13"/>
  <c r="BE44" i="13"/>
  <c r="BE19" i="13"/>
  <c r="BE21" i="13" s="1"/>
  <c r="AQ19" i="13"/>
  <c r="AQ44" i="13"/>
  <c r="O18" i="16" a="1"/>
  <c r="O18" i="16" s="1"/>
  <c r="U34" i="16" a="1"/>
  <c r="U34" i="16" s="1"/>
  <c r="O34" i="16" a="1"/>
  <c r="O34" i="16" s="1"/>
  <c r="S34" i="16" a="1"/>
  <c r="S34" i="16" s="1"/>
  <c r="M41" i="17" a="1"/>
  <c r="M41" i="17" s="1"/>
  <c r="AL41" i="7"/>
  <c r="AM41" i="7" s="1"/>
  <c r="AN41" i="7" s="1"/>
  <c r="AN44" i="13"/>
  <c r="AN19" i="13"/>
  <c r="N18" i="16" a="1"/>
  <c r="N18" i="16" s="1"/>
  <c r="BG19" i="13"/>
  <c r="BG21" i="13" s="1"/>
  <c r="BG44" i="13"/>
  <c r="AM44" i="13"/>
  <c r="AM19" i="13"/>
  <c r="AM21" i="13" s="1"/>
  <c r="T34" i="16" a="1"/>
  <c r="T34" i="16" s="1"/>
  <c r="AU19" i="13"/>
  <c r="AU21" i="13" s="1"/>
  <c r="AU44" i="13"/>
  <c r="N34" i="16" a="1"/>
  <c r="N34" i="16" s="1"/>
  <c r="AS44" i="13"/>
  <c r="AS19" i="13"/>
  <c r="AS21" i="13" s="1"/>
  <c r="AO19" i="13"/>
  <c r="AO21" i="13" s="1"/>
  <c r="AO44" i="13"/>
  <c r="AR19" i="13"/>
  <c r="AR21" i="13" s="1"/>
  <c r="AR44" i="13"/>
  <c r="AP19" i="13"/>
  <c r="AP21" i="13" s="1"/>
  <c r="AP44" i="13"/>
  <c r="M34" i="16" a="1"/>
  <c r="M34" i="16" s="1"/>
  <c r="R34" i="16" a="1"/>
  <c r="R34" i="16" s="1"/>
  <c r="Q34" i="16" a="1"/>
  <c r="Q34" i="16" s="1"/>
  <c r="AL19" i="13"/>
  <c r="AL21" i="13" s="1"/>
  <c r="AL44" i="13"/>
  <c r="BH44" i="13"/>
  <c r="BH19" i="13"/>
  <c r="BH21" i="13" s="1"/>
  <c r="P18" i="16" a="1"/>
  <c r="P18" i="16" s="1"/>
  <c r="AT44" i="13"/>
  <c r="AT19" i="13"/>
  <c r="BA44" i="13"/>
  <c r="BA19" i="13"/>
  <c r="BA21" i="13" s="1"/>
  <c r="BD19" i="13"/>
  <c r="BD21" i="13" s="1"/>
  <c r="BD44" i="13"/>
  <c r="M18" i="16" a="1"/>
  <c r="M18" i="16" s="1"/>
  <c r="AK44" i="13"/>
  <c r="AK19" i="13"/>
  <c r="AW44" i="13"/>
  <c r="AW19" i="13"/>
  <c r="Q18" i="16" a="1"/>
  <c r="Q18" i="16" s="1"/>
  <c r="BB26" i="11"/>
  <c r="BB35" i="13" s="1"/>
  <c r="BB36" i="13" s="1"/>
  <c r="BB38" i="13" s="1"/>
  <c r="BD26" i="11"/>
  <c r="BD35" i="13" s="1"/>
  <c r="BD36" i="13" s="1"/>
  <c r="BD38" i="13" s="1"/>
  <c r="BH26" i="11"/>
  <c r="BH35" i="13" s="1"/>
  <c r="BH36" i="13" s="1"/>
  <c r="BH38" i="13" s="1"/>
  <c r="AV26" i="11"/>
  <c r="AV35" i="13" s="1"/>
  <c r="AV36" i="13" s="1"/>
  <c r="AV38" i="13" s="1"/>
  <c r="AK30" i="11"/>
  <c r="AM26" i="11"/>
  <c r="AM35" i="13" s="1"/>
  <c r="AM36" i="13" s="1"/>
  <c r="AM38" i="13" s="1"/>
  <c r="AW26" i="11"/>
  <c r="AY26" i="11"/>
  <c r="AY35" i="13" s="1"/>
  <c r="AY36" i="13" s="1"/>
  <c r="AY38" i="13" s="1"/>
  <c r="BF26" i="11"/>
  <c r="BI26" i="11"/>
  <c r="BE26" i="11"/>
  <c r="BE35" i="13" s="1"/>
  <c r="BE36" i="13" s="1"/>
  <c r="BE38" i="13" s="1"/>
  <c r="BG26" i="11"/>
  <c r="BG35" i="13" s="1"/>
  <c r="BG36" i="13" s="1"/>
  <c r="BG38" i="13" s="1"/>
  <c r="AU26" i="11"/>
  <c r="AU35" i="13" s="1"/>
  <c r="AU36" i="13" s="1"/>
  <c r="AU38" i="13" s="1"/>
  <c r="AQ26" i="11"/>
  <c r="BA26" i="11"/>
  <c r="BA35" i="13" s="1"/>
  <c r="BA36" i="13" s="1"/>
  <c r="BA38" i="13" s="1"/>
  <c r="AO26" i="11"/>
  <c r="AO35" i="13" s="1"/>
  <c r="AO36" i="13" s="1"/>
  <c r="AO38" i="13" s="1"/>
  <c r="AL26" i="11"/>
  <c r="AL35" i="13" s="1"/>
  <c r="AL36" i="13" s="1"/>
  <c r="AL38" i="13" s="1"/>
  <c r="AX26" i="11"/>
  <c r="AX35" i="13" s="1"/>
  <c r="AX36" i="13" s="1"/>
  <c r="AX38" i="13" s="1"/>
  <c r="AP26" i="11"/>
  <c r="AP35" i="13" s="1"/>
  <c r="AP36" i="13" s="1"/>
  <c r="AP38" i="13" s="1"/>
  <c r="N27" i="15"/>
  <c r="N32" i="15" s="1"/>
  <c r="AR26" i="11"/>
  <c r="AR35" i="13" s="1"/>
  <c r="AR36" i="13" s="1"/>
  <c r="AR38" i="13" s="1"/>
  <c r="AN26" i="11"/>
  <c r="BC26" i="11"/>
  <c r="AS26" i="11"/>
  <c r="AS35" i="13" s="1"/>
  <c r="AS36" i="13" s="1"/>
  <c r="AS38" i="13" s="1"/>
  <c r="AK26" i="11"/>
  <c r="AZ26" i="11"/>
  <c r="AT26" i="11"/>
  <c r="BG40" i="13" l="1"/>
  <c r="BG43" i="13"/>
  <c r="BE43" i="13"/>
  <c r="BE40" i="13"/>
  <c r="T19" i="16" a="1"/>
  <c r="T19" i="16" s="1"/>
  <c r="BF21" i="13"/>
  <c r="R28" i="15" a="1"/>
  <c r="R28" i="15" s="1"/>
  <c r="AW35" i="13"/>
  <c r="AY43" i="13"/>
  <c r="AY40" i="13"/>
  <c r="AR40" i="13"/>
  <c r="AR43" i="13"/>
  <c r="AU43" i="13"/>
  <c r="AU40" i="13"/>
  <c r="AN21" i="13"/>
  <c r="N19" i="16" a="1"/>
  <c r="N19" i="16" s="1"/>
  <c r="BA40" i="13"/>
  <c r="BA43" i="13"/>
  <c r="AL43" i="13"/>
  <c r="AL40" i="13"/>
  <c r="AP40" i="13"/>
  <c r="AP43" i="13"/>
  <c r="BC35" i="13"/>
  <c r="T28" i="15" a="1"/>
  <c r="T28" i="15" s="1"/>
  <c r="AW21" i="13"/>
  <c r="Q19" i="16" a="1"/>
  <c r="Q19" i="16" s="1"/>
  <c r="O28" i="15" a="1"/>
  <c r="O28" i="15" s="1"/>
  <c r="AN35" i="13"/>
  <c r="P28" i="15" a="1"/>
  <c r="P28" i="15" s="1"/>
  <c r="AQ35" i="13"/>
  <c r="P19" i="16" a="1"/>
  <c r="P19" i="16" s="1"/>
  <c r="AT21" i="13"/>
  <c r="AK21" i="13"/>
  <c r="M19" i="16" a="1"/>
  <c r="M19" i="16" s="1"/>
  <c r="AX40" i="13"/>
  <c r="AX43" i="13"/>
  <c r="AZ21" i="13"/>
  <c r="R19" i="16" a="1"/>
  <c r="R19" i="16" s="1"/>
  <c r="BI21" i="13"/>
  <c r="U19" i="16" a="1"/>
  <c r="U19" i="16" s="1"/>
  <c r="AT35" i="13"/>
  <c r="Q28" i="15" a="1"/>
  <c r="Q28" i="15" s="1"/>
  <c r="BH43" i="13"/>
  <c r="BH40" i="13"/>
  <c r="AS40" i="13"/>
  <c r="AS43" i="13"/>
  <c r="AM40" i="13"/>
  <c r="AM43" i="13"/>
  <c r="N41" i="17" a="1"/>
  <c r="N41" i="17" s="1"/>
  <c r="AO41" i="7"/>
  <c r="BB43" i="13"/>
  <c r="BB40" i="13"/>
  <c r="S19" i="16" a="1"/>
  <c r="S19" i="16" s="1"/>
  <c r="BC21" i="13"/>
  <c r="AO43" i="13"/>
  <c r="AO40" i="13"/>
  <c r="BI35" i="13"/>
  <c r="V28" i="15" a="1"/>
  <c r="V28" i="15" s="1"/>
  <c r="S28" i="15" a="1"/>
  <c r="S28" i="15" s="1"/>
  <c r="AZ35" i="13"/>
  <c r="AK35" i="13"/>
  <c r="N28" i="15" a="1"/>
  <c r="N28" i="15" s="1"/>
  <c r="BF35" i="13"/>
  <c r="U28" i="15" a="1"/>
  <c r="U28" i="15" s="1"/>
  <c r="BD40" i="13"/>
  <c r="BD43" i="13"/>
  <c r="O19" i="16" a="1"/>
  <c r="O19" i="16" s="1"/>
  <c r="AQ21" i="13"/>
  <c r="AV43" i="13"/>
  <c r="AV40" i="13"/>
  <c r="Q35" i="16" l="1" a="1"/>
  <c r="Q35" i="16" s="1"/>
  <c r="AW36" i="13"/>
  <c r="AN43" i="13"/>
  <c r="N21" i="16" a="1"/>
  <c r="N21" i="16" s="1"/>
  <c r="BC43" i="13"/>
  <c r="S21" i="16" a="1"/>
  <c r="S21" i="16" s="1"/>
  <c r="O35" i="16" a="1"/>
  <c r="O35" i="16" s="1"/>
  <c r="AQ36" i="13"/>
  <c r="T21" i="16" a="1"/>
  <c r="T21" i="16" s="1"/>
  <c r="BF43" i="13"/>
  <c r="M35" i="16" a="1"/>
  <c r="M35" i="16" s="1"/>
  <c r="AK36" i="13"/>
  <c r="R21" i="16" a="1"/>
  <c r="R21" i="16" s="1"/>
  <c r="AZ43" i="13"/>
  <c r="AQ43" i="13"/>
  <c r="O21" i="16" a="1"/>
  <c r="O21" i="16" s="1"/>
  <c r="R35" i="16" a="1"/>
  <c r="R35" i="16" s="1"/>
  <c r="AZ36" i="13"/>
  <c r="N35" i="16" a="1"/>
  <c r="N35" i="16" s="1"/>
  <c r="AN36" i="13"/>
  <c r="AP41" i="7"/>
  <c r="AQ41" i="7" s="1"/>
  <c r="P21" i="16" a="1"/>
  <c r="P21" i="16" s="1"/>
  <c r="AT43" i="13"/>
  <c r="T35" i="16" a="1"/>
  <c r="T35" i="16" s="1"/>
  <c r="BF36" i="13"/>
  <c r="U21" i="16" a="1"/>
  <c r="U21" i="16" s="1"/>
  <c r="BI43" i="13"/>
  <c r="S35" i="16" a="1"/>
  <c r="S35" i="16" s="1"/>
  <c r="BC36" i="13"/>
  <c r="U35" i="16" a="1"/>
  <c r="U35" i="16" s="1"/>
  <c r="BI36" i="13"/>
  <c r="P35" i="16" a="1"/>
  <c r="P35" i="16" s="1"/>
  <c r="AT36" i="13"/>
  <c r="AK43" i="13"/>
  <c r="M21" i="16" a="1"/>
  <c r="M21" i="16" s="1"/>
  <c r="AW43" i="13"/>
  <c r="Q21" i="16" a="1"/>
  <c r="Q21" i="16" s="1"/>
  <c r="AZ38" i="13" l="1"/>
  <c r="R36" i="16" a="1"/>
  <c r="R36" i="16" s="1"/>
  <c r="AK38" i="13"/>
  <c r="M36" i="16" a="1"/>
  <c r="M36" i="16" s="1"/>
  <c r="T36" i="16" a="1"/>
  <c r="T36" i="16" s="1"/>
  <c r="BF38" i="13"/>
  <c r="BC38" i="13"/>
  <c r="S36" i="16" a="1"/>
  <c r="S36" i="16" s="1"/>
  <c r="O41" i="17" a="1"/>
  <c r="O41" i="17" s="1"/>
  <c r="AR41" i="7"/>
  <c r="O36" i="16" a="1"/>
  <c r="O36" i="16" s="1"/>
  <c r="AQ38" i="13"/>
  <c r="AW38" i="13"/>
  <c r="Q36" i="16" a="1"/>
  <c r="Q36" i="16" s="1"/>
  <c r="BI38" i="13"/>
  <c r="U36" i="16" a="1"/>
  <c r="U36" i="16" s="1"/>
  <c r="AT38" i="13"/>
  <c r="P36" i="16" a="1"/>
  <c r="P36" i="16" s="1"/>
  <c r="AN38" i="13"/>
  <c r="N36" i="16" a="1"/>
  <c r="N36" i="16" s="1"/>
  <c r="U38" i="16" l="1" a="1"/>
  <c r="U38" i="16" s="1"/>
  <c r="BI40" i="13"/>
  <c r="S38" i="16" a="1"/>
  <c r="S38" i="16" s="1"/>
  <c r="BC40" i="13"/>
  <c r="T38" i="16" a="1"/>
  <c r="T38" i="16" s="1"/>
  <c r="BF40" i="13"/>
  <c r="Q38" i="16" a="1"/>
  <c r="Q38" i="16" s="1"/>
  <c r="AW40" i="13"/>
  <c r="M38" i="16" a="1"/>
  <c r="M38" i="16" s="1"/>
  <c r="AK40" i="13"/>
  <c r="O38" i="16" a="1"/>
  <c r="O38" i="16" s="1"/>
  <c r="AQ40" i="13"/>
  <c r="N38" i="16" a="1"/>
  <c r="N38" i="16" s="1"/>
  <c r="AN40" i="13"/>
  <c r="AS41" i="7"/>
  <c r="AT41" i="7" s="1"/>
  <c r="P38" i="16" a="1"/>
  <c r="P38" i="16" s="1"/>
  <c r="AT40" i="13"/>
  <c r="R38" i="16" a="1"/>
  <c r="R38" i="16" s="1"/>
  <c r="AZ40" i="13"/>
  <c r="P41" i="17" l="1" a="1"/>
  <c r="P41" i="17" s="1"/>
  <c r="AU41" i="7"/>
  <c r="AV41" i="7" l="1"/>
  <c r="AW41" i="7" s="1"/>
  <c r="Q41" i="17" l="1" a="1"/>
  <c r="Q41" i="17" s="1"/>
  <c r="AX41" i="7"/>
  <c r="AY41" i="7" l="1"/>
  <c r="AZ41" i="7" s="1"/>
  <c r="R41" i="17" l="1" a="1"/>
  <c r="R41" i="17" s="1"/>
  <c r="BA41" i="7"/>
  <c r="BB41" i="7" s="1"/>
  <c r="BC41" i="7" s="1"/>
  <c r="S41" i="17" l="1" a="1"/>
  <c r="S41" i="17" s="1"/>
  <c r="BD41" i="7"/>
  <c r="BE41" i="7" s="1"/>
  <c r="BF41" i="7" s="1"/>
  <c r="T41" i="17" l="1" a="1"/>
  <c r="T41" i="17" s="1"/>
  <c r="BG41" i="7"/>
  <c r="BH41" i="7" s="1"/>
  <c r="BI41" i="7" s="1"/>
  <c r="U41" i="17" l="1" a="1"/>
  <c r="U41" i="17" s="1"/>
  <c r="BJ41" i="7"/>
  <c r="BK41" i="7" s="1"/>
  <c r="BL41" i="7" s="1"/>
  <c r="BM41" i="7" s="1"/>
  <c r="BN41" i="7" s="1"/>
  <c r="BO41" i="7" s="1"/>
  <c r="BP41" i="7" s="1"/>
  <c r="BQ41" i="7" s="1"/>
  <c r="BR41" i="7" s="1"/>
  <c r="BS41" i="7" s="1"/>
  <c r="BT41" i="7" s="1"/>
  <c r="BU41" i="7" s="1"/>
  <c r="BV41" i="7" s="1"/>
  <c r="BW41" i="7" s="1"/>
  <c r="BX41" i="7" s="1"/>
  <c r="BY41" i="7" s="1"/>
  <c r="BZ41" i="7" s="1"/>
  <c r="CA41" i="7" s="1"/>
  <c r="CB41" i="7" s="1"/>
  <c r="CC41" i="7" s="1"/>
  <c r="CD41" i="7" s="1"/>
  <c r="CE41" i="7" s="1"/>
  <c r="CF41" i="7" s="1"/>
  <c r="CG41" i="7" s="1"/>
  <c r="CH41" i="7" s="1"/>
  <c r="CI41" i="7" s="1"/>
  <c r="CJ41" i="7" s="1"/>
  <c r="CK41" i="7" s="1"/>
  <c r="CL41" i="7" s="1"/>
  <c r="CM41" i="7" s="1"/>
  <c r="CN41" i="7" s="1"/>
  <c r="CO41" i="7" s="1"/>
  <c r="CP41" i="7" s="1"/>
  <c r="CQ41" i="7" s="1"/>
  <c r="CR41" i="7" s="1"/>
  <c r="CS41" i="7" s="1"/>
  <c r="CT41" i="7" s="1"/>
  <c r="CU41" i="7" s="1"/>
  <c r="CV41" i="7" s="1"/>
  <c r="CW41" i="7" s="1"/>
  <c r="CX41" i="7" s="1"/>
  <c r="CY41" i="7" s="1"/>
  <c r="CZ41" i="7" s="1"/>
  <c r="DA41" i="7" s="1"/>
  <c r="DB41" i="7" s="1"/>
  <c r="DC41" i="7" s="1"/>
  <c r="DD41" i="7" s="1"/>
  <c r="DE41" i="7" s="1"/>
  <c r="DF41" i="7" s="1"/>
  <c r="DG41" i="7" s="1"/>
  <c r="DH41" i="7" s="1"/>
  <c r="DI41" i="7" s="1"/>
  <c r="DJ41" i="7" s="1"/>
  <c r="DK41" i="7" s="1"/>
  <c r="DL41" i="7" s="1"/>
  <c r="DM41" i="7" s="1"/>
  <c r="DN41" i="7" s="1"/>
  <c r="DO41" i="7" s="1"/>
  <c r="DP41" i="7" s="1"/>
  <c r="DQ41" i="7" s="1"/>
  <c r="DR41" i="7" s="1"/>
  <c r="DS41" i="7" s="1"/>
  <c r="DT41" i="7" s="1"/>
  <c r="DU41" i="7" s="1"/>
  <c r="DV41" i="7" s="1"/>
  <c r="DW41" i="7" s="1"/>
  <c r="DX41" i="7" s="1"/>
  <c r="DY41" i="7" s="1"/>
  <c r="DZ41" i="7" s="1"/>
  <c r="EA41" i="7" s="1"/>
  <c r="EB41" i="7" s="1"/>
  <c r="EC41" i="7" s="1"/>
  <c r="ED41" i="7" s="1"/>
  <c r="EE41" i="7" s="1"/>
  <c r="EF41" i="7" s="1"/>
  <c r="EG41" i="7" s="1"/>
  <c r="EH41" i="7" s="1"/>
  <c r="EI41" i="7" s="1"/>
  <c r="EJ41" i="7" s="1"/>
  <c r="EK41" i="7" s="1"/>
  <c r="EL41" i="7" s="1"/>
  <c r="EM41" i="7" s="1"/>
  <c r="EN41" i="7" s="1"/>
  <c r="EO41" i="7" s="1"/>
  <c r="EP41" i="7" s="1"/>
  <c r="EQ41" i="7" s="1"/>
  <c r="ER41" i="7" s="1"/>
  <c r="ES41" i="7" s="1"/>
  <c r="ET41" i="7" s="1"/>
  <c r="EU41" i="7" s="1"/>
  <c r="EV41" i="7" s="1"/>
  <c r="EW41" i="7" s="1"/>
  <c r="EX41" i="7" s="1"/>
  <c r="EY41" i="7" s="1"/>
  <c r="EZ41" i="7" s="1"/>
  <c r="FA41" i="7" s="1"/>
  <c r="FB41" i="7" s="1"/>
  <c r="FC41" i="7" s="1"/>
  <c r="FD41" i="7" s="1"/>
  <c r="FE41" i="7" s="1"/>
  <c r="FF41" i="7" s="1"/>
  <c r="FG41" i="7" s="1"/>
  <c r="FH41" i="7" s="1"/>
  <c r="FI41" i="7" s="1"/>
  <c r="FJ41" i="7" s="1"/>
  <c r="FK41" i="7" s="1"/>
  <c r="FL41" i="7" s="1"/>
  <c r="FM41" i="7" s="1"/>
  <c r="FN41" i="7" s="1"/>
  <c r="FO41" i="7" s="1"/>
  <c r="FP41" i="7" s="1"/>
  <c r="FQ41" i="7" s="1"/>
  <c r="FR41" i="7" s="1"/>
  <c r="FS41" i="7" s="1"/>
  <c r="FT41" i="7" s="1"/>
  <c r="FU41" i="7" s="1"/>
  <c r="FV41" i="7" s="1"/>
  <c r="FW41" i="7" s="1"/>
  <c r="FX41" i="7" s="1"/>
  <c r="FY41" i="7" s="1"/>
  <c r="FZ41" i="7" s="1"/>
  <c r="B51" i="7"/>
  <c r="B14" i="1" s="1"/>
  <c r="B16" i="1" s="1"/>
  <c r="E11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<sst xmlns="http://schemas.openxmlformats.org/spreadsheetml/2006/main" count="1053" uniqueCount="414">
  <si>
    <t>SELECCIONES ESTRATÉGICAS</t>
  </si>
  <si>
    <t>INDICADORES DE RENTABILIDAD</t>
  </si>
  <si>
    <t>Variable</t>
  </si>
  <si>
    <t>Selección</t>
  </si>
  <si>
    <t>Métrica</t>
  </si>
  <si>
    <t>Venta</t>
  </si>
  <si>
    <t>Alquiler</t>
  </si>
  <si>
    <t>Tipología</t>
  </si>
  <si>
    <t>Escenario</t>
  </si>
  <si>
    <t>Unifamiliar seg.</t>
  </si>
  <si>
    <t>TIR</t>
  </si>
  <si>
    <t>Conservador</t>
  </si>
  <si>
    <t>Base</t>
  </si>
  <si>
    <t>VAN</t>
  </si>
  <si>
    <t>Unifamiliar conj.</t>
  </si>
  <si>
    <t>Horizonte (alquiler)</t>
  </si>
  <si>
    <t>Tasa descuento (VAN)</t>
  </si>
  <si>
    <t>Plurifamiliar U2C</t>
  </si>
  <si>
    <t>Año inicial</t>
  </si>
  <si>
    <t>Plurifamiliar U4C</t>
  </si>
  <si>
    <t>Sensibilidad financiera</t>
  </si>
  <si>
    <t>INDICADORES CON FINANCIACIÓN (Capa Financiera)</t>
  </si>
  <si>
    <t>Optimista</t>
  </si>
  <si>
    <t>TIR (anualizada)</t>
  </si>
  <si>
    <t>VAN @ Ke</t>
  </si>
  <si>
    <t>Capital propio máximo</t>
  </si>
  <si>
    <t>Equity multiple (MOIC)</t>
  </si>
  <si>
    <t>Adverso</t>
  </si>
  <si>
    <t>Favorable</t>
  </si>
  <si>
    <t>Parámetro</t>
  </si>
  <si>
    <t>Unidades</t>
  </si>
  <si>
    <t>Parcela</t>
  </si>
  <si>
    <t>Superficie parcela bruta</t>
  </si>
  <si>
    <t>m²</t>
  </si>
  <si>
    <t>% cesiones / afecciones</t>
  </si>
  <si>
    <t>%</t>
  </si>
  <si>
    <t>Superficie parcela neta</t>
  </si>
  <si>
    <t>Parámetros urbanísticos</t>
  </si>
  <si>
    <t>Ordenanza aplicable</t>
  </si>
  <si>
    <t>U2</t>
  </si>
  <si>
    <t>U2C</t>
  </si>
  <si>
    <t>U4C</t>
  </si>
  <si>
    <t>—</t>
  </si>
  <si>
    <t>Superficie ámbito</t>
  </si>
  <si>
    <t>Edificabilidad</t>
  </si>
  <si>
    <t>m²/m²</t>
  </si>
  <si>
    <t>Ocupación</t>
  </si>
  <si>
    <t>Número máximo de plantas</t>
  </si>
  <si>
    <t>plantas</t>
  </si>
  <si>
    <t>Altura máxima</t>
  </si>
  <si>
    <t>m</t>
  </si>
  <si>
    <t>Capacidad edificatoria</t>
  </si>
  <si>
    <t>Techo máximo edificable</t>
  </si>
  <si>
    <t>Huella máxima en planta</t>
  </si>
  <si>
    <t>Eficiencia edificatoria</t>
  </si>
  <si>
    <t>Definición del producto</t>
  </si>
  <si>
    <t>Parcela mínima</t>
  </si>
  <si>
    <t>No aplica</t>
  </si>
  <si>
    <t>Parcela media</t>
  </si>
  <si>
    <t>Huella por vivienda</t>
  </si>
  <si>
    <t>Parcela libre</t>
  </si>
  <si>
    <t>Tamaño mínimo vivienda</t>
  </si>
  <si>
    <t>Tamaño máximo vivienda</t>
  </si>
  <si>
    <t>Tamaño elegido vivienda</t>
  </si>
  <si>
    <t>Resultado físico del proyecto</t>
  </si>
  <si>
    <t>Superficie construida media</t>
  </si>
  <si>
    <t>Número estimado de unidades</t>
  </si>
  <si>
    <t>unidades</t>
  </si>
  <si>
    <t>Huella en planta</t>
  </si>
  <si>
    <t>Variables temporales</t>
  </si>
  <si>
    <t>Año inicio proyecto</t>
  </si>
  <si>
    <t>año</t>
  </si>
  <si>
    <t>Fase de diseño</t>
  </si>
  <si>
    <t>meses</t>
  </si>
  <si>
    <t>Fase de licitaciones y permisos</t>
  </si>
  <si>
    <t xml:space="preserve">Inicio obra </t>
  </si>
  <si>
    <t>mes</t>
  </si>
  <si>
    <t>Duración obra (meses)</t>
  </si>
  <si>
    <t>Fin obra</t>
  </si>
  <si>
    <t>Variables de coste</t>
  </si>
  <si>
    <t>Coste ejecución material</t>
  </si>
  <si>
    <t>€/m²</t>
  </si>
  <si>
    <t>Factor tipología</t>
  </si>
  <si>
    <t>Gastos generales + BI</t>
  </si>
  <si>
    <t>Contingencia</t>
  </si>
  <si>
    <t>Licencias y tasas</t>
  </si>
  <si>
    <t>Honorarios técnicos</t>
  </si>
  <si>
    <t>VENTA</t>
  </si>
  <si>
    <t>Vivienda</t>
  </si>
  <si>
    <t>Precio venta ML</t>
  </si>
  <si>
    <t>Precio corregido por perfil comprador</t>
  </si>
  <si>
    <t>Precio medio por unidad (€)</t>
  </si>
  <si>
    <t>Precio Total Unidad</t>
  </si>
  <si>
    <t>Precio equivalente €/m² construido</t>
  </si>
  <si>
    <t>Comercialización (%)</t>
  </si>
  <si>
    <t>Duración comercialización</t>
  </si>
  <si>
    <t>Inicio ventas</t>
  </si>
  <si>
    <t>ALQUILER</t>
  </si>
  <si>
    <t>Ajuste por parcela</t>
  </si>
  <si>
    <t>Ocupación estabilizada (%)</t>
  </si>
  <si>
    <t>Gastos explotación (% renta)</t>
  </si>
  <si>
    <t>Yield mercado (%)</t>
  </si>
  <si>
    <t>Variables de construcción</t>
  </si>
  <si>
    <t>GG + BI</t>
  </si>
  <si>
    <t>Honorarios</t>
  </si>
  <si>
    <t>Variables de venta</t>
  </si>
  <si>
    <t>Delta comercialización (pp)</t>
  </si>
  <si>
    <t>Ritmo de absorción (multiplicador)</t>
  </si>
  <si>
    <t>Variables de alquiler</t>
  </si>
  <si>
    <t>Ocupación estabilizada</t>
  </si>
  <si>
    <t>Gastos explotación OPEX</t>
  </si>
  <si>
    <t>Crecimiento anual rentas</t>
  </si>
  <si>
    <t>Yield / cap rate salida</t>
  </si>
  <si>
    <t>Variables de temporales</t>
  </si>
  <si>
    <t>Factor temporal (obra, licitaciones,diseño)</t>
  </si>
  <si>
    <t>SENSIBILIDAD FINANCIERA (independiente del escenario)</t>
  </si>
  <si>
    <t>Seleccion</t>
  </si>
  <si>
    <t>Delta coste de la deuda (Euribor)</t>
  </si>
  <si>
    <t>CAPEX</t>
  </si>
  <si>
    <t>Número de viviendas</t>
  </si>
  <si>
    <t>Superficie por vivienda (m²)</t>
  </si>
  <si>
    <t>Superficie total (m²)</t>
  </si>
  <si>
    <t>Cem unitario (€/m²)</t>
  </si>
  <si>
    <t>PEM Total (€)</t>
  </si>
  <si>
    <t>GG+BI (€)</t>
  </si>
  <si>
    <t>Licencias (€)</t>
  </si>
  <si>
    <t>Contingencia (€)</t>
  </si>
  <si>
    <t>Honorarios (€)</t>
  </si>
  <si>
    <t>Coste total construcción (€)</t>
  </si>
  <si>
    <t>Coste total (€/m²)</t>
  </si>
  <si>
    <t>Coste total por vivienda (€)</t>
  </si>
  <si>
    <t>Precio suelo (€/m²)</t>
  </si>
  <si>
    <t>Coste parcela total (€)</t>
  </si>
  <si>
    <t>Coste suelo por vivienda (€)</t>
  </si>
  <si>
    <t>Coste total + suelo (€)</t>
  </si>
  <si>
    <t>Coste total + suelo por vivienda (€)</t>
  </si>
  <si>
    <t>Coste total + suelo (€/m²)</t>
  </si>
  <si>
    <t>INGRESOS</t>
  </si>
  <si>
    <t>Número viviendas (N)</t>
  </si>
  <si>
    <t>Superficie media (m2)</t>
  </si>
  <si>
    <t>Ingresos brutos totales (€)</t>
  </si>
  <si>
    <t>Coste comercialización (€)</t>
  </si>
  <si>
    <t>Ingresos netos promotor (€)</t>
  </si>
  <si>
    <t>Ventas anuales</t>
  </si>
  <si>
    <t>Renta mensual por unidad (€)</t>
  </si>
  <si>
    <t>Ingreso bruto anual (€)</t>
  </si>
  <si>
    <t>Ingreso efectivo (€)</t>
  </si>
  <si>
    <t>NOI anual (€)</t>
  </si>
  <si>
    <t>Valor capitalizado (€)</t>
  </si>
  <si>
    <t>PAGOS</t>
  </si>
  <si>
    <t>Unifamiliar Seg.</t>
  </si>
  <si>
    <t>Unifamiliar Conj.</t>
  </si>
  <si>
    <t>% Reserva (mes t)</t>
  </si>
  <si>
    <t>% Contrato (mes t+2)</t>
  </si>
  <si>
    <t>% Aplazado lineal (t+2 → fin obra)</t>
  </si>
  <si>
    <t>% Escritura (fin obra)</t>
  </si>
  <si>
    <t>Total</t>
  </si>
  <si>
    <t>% Escritura post fin obra (sin lineal)</t>
  </si>
  <si>
    <t>Unidad</t>
  </si>
  <si>
    <t>Base sin sensibilidad</t>
  </si>
  <si>
    <t>PARÁMETROS COMUNES (build-up de Tipo de interés y Ke)</t>
  </si>
  <si>
    <t>Euríbor 12m de referencia</t>
  </si>
  <si>
    <t>Diferencial bancario</t>
  </si>
  <si>
    <t>Tasa libre de riesgo (Bono España 10Y)</t>
  </si>
  <si>
    <t>Equity Risk Premium España</t>
  </si>
  <si>
    <t>Prima de tamaño (small developer)</t>
  </si>
  <si>
    <t>Prima específica del proyecto</t>
  </si>
  <si>
    <t>PARÁMETROS USADOS EN 32_CASHFLOW (levered)</t>
  </si>
  <si>
    <t>Loan to Cost (LTC)</t>
  </si>
  <si>
    <t>Tipo de interés nominal</t>
  </si>
  <si>
    <t>Mes formalización préstamo</t>
  </si>
  <si>
    <t>Mes inicio amortización por ventas</t>
  </si>
  <si>
    <t>% de cada venta a cancelación</t>
  </si>
  <si>
    <t>Tipo IS aplicable</t>
  </si>
  <si>
    <t>Coste de capital propio (Ke)</t>
  </si>
  <si>
    <t>PARÁMETROS USADOS EN 33_CASHFLOW (partner)</t>
  </si>
  <si>
    <t>% partner sobre ejecución</t>
  </si>
  <si>
    <t>Hurdle rate (preferred return) anual</t>
  </si>
  <si>
    <t>Split sobre exceso — Promotor</t>
  </si>
  <si>
    <t>Split sobre exceso — Partner</t>
  </si>
  <si>
    <t>Mes de entrada del partner</t>
  </si>
  <si>
    <t>Comisión de apertura (% sobre nominal aprobado)</t>
  </si>
  <si>
    <t>Comisión de no disponibilidad (% anual sobre saldo no dispuesto)</t>
  </si>
  <si>
    <t>Concepto / Mes</t>
  </si>
  <si>
    <t>Año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</si>
  <si>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</si>
  <si>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</si>
  <si>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</si>
  <si>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</si>
  <si>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</si>
  <si>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</si>
  <si>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</si>
  <si>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</si>
  <si>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</si>
  <si>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</si>
  <si>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</si>
  <si>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</si>
  <si>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</si>
  <si>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</si>
  <si>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</si>
  <si>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</si>
  <si>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</si>
  <si>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</si>
  <si>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</si>
  <si>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</si>
  <si>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</si>
  <si>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</si>
  <si>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</si>
  <si>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</si>
  <si>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</si>
  <si>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</si>
  <si>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</si>
  <si>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</si>
  <si>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</si>
  <si>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</si>
  <si>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</si>
  <si>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</si>
  <si>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</si>
  <si>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</si>
  <si>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</si>
  <si>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</si>
  <si>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</si>
  <si>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</si>
  <si>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</si>
  <si>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</si>
  <si>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</si>
  <si>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</si>
  <si>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</si>
  <si>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</si>
  <si>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</si>
  <si>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</si>
  <si>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</si>
  <si>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</si>
  <si>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</si>
  <si>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</si>
  <si>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</si>
  <si>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</si>
  <si>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</si>
  <si>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</si>
  <si>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</si>
  <si>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</si>
  <si>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</si>
  <si>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</si>
  <si>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</si>
  <si>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</si>
  <si>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</si>
  <si>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</si>
  <si>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</si>
  <si>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</si>
  <si>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</si>
  <si>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</si>
  <si>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</si>
  <si>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</si>
  <si>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</si>
  <si>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</si>
  <si>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</si>
  <si>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</si>
  <si>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</si>
  <si>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</si>
  <si>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</si>
  <si>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</si>
  <si>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Suelo</t>
  </si>
  <si>
    <t>Construcción</t>
  </si>
  <si>
    <t>CAPEX Total</t>
  </si>
  <si>
    <t>Unidades vendidas</t>
  </si>
  <si>
    <t>% ventas</t>
  </si>
  <si>
    <t>Cobro reserva</t>
  </si>
  <si>
    <t>Cobro contrato</t>
  </si>
  <si>
    <t>Cobro aplazado lineal</t>
  </si>
  <si>
    <t>Escritura fin de obra</t>
  </si>
  <si>
    <t>Escritura post fin de obra</t>
  </si>
  <si>
    <t>Total cobro ventas (bruto)</t>
  </si>
  <si>
    <t>Coste comercialización</t>
  </si>
  <si>
    <t>Ingresos netos venta</t>
  </si>
  <si>
    <t>Flujo neto venta + CAPEX</t>
  </si>
  <si>
    <t>Ingresos alquiler</t>
  </si>
  <si>
    <t>OPEX</t>
  </si>
  <si>
    <t>NOI</t>
  </si>
  <si>
    <t>Valor terminal</t>
  </si>
  <si>
    <t>Flujo neto alquiler + CAPEX</t>
  </si>
  <si>
    <t>Tasa de descuento (anual)</t>
  </si>
  <si>
    <t>Mes</t>
  </si>
  <si>
    <t>Financiación</t>
  </si>
  <si>
    <t>Equity aportado</t>
  </si>
  <si>
    <t>Deuda dispuesta</t>
  </si>
  <si>
    <t>Total entradas financiación</t>
  </si>
  <si>
    <t>Servicio de la deuda</t>
  </si>
  <si>
    <t>Intereses devengados</t>
  </si>
  <si>
    <t>Intereses capitalizados (no cash)</t>
  </si>
  <si>
    <t>Intereses pagados (cash)</t>
  </si>
  <si>
    <t>Amortización por ventas</t>
  </si>
  <si>
    <t>Comisiones (apertura + no disponibilidad)</t>
  </si>
  <si>
    <t>Servicio total de la deuda (cash)</t>
  </si>
  <si>
    <t>IS pagado (cash)</t>
  </si>
  <si>
    <t>Saldo vivo del préstamo (memoria)</t>
  </si>
  <si>
    <t>FCF accionista acumulado (memoria)</t>
  </si>
  <si>
    <t>Indicadores con financiación</t>
  </si>
  <si>
    <t>Valor</t>
  </si>
  <si>
    <t>TIR equity (anualizada)</t>
  </si>
  <si>
    <t>VAN equity @ Ke</t>
  </si>
  <si>
    <t>Capital propio máximo desembolsado</t>
  </si>
  <si>
    <t>Tipología:</t>
  </si>
  <si>
    <t>Escenario:</t>
  </si>
  <si>
    <t>Periodo</t>
  </si>
  <si>
    <t>Ingresos reconocidos por escritura / entrega</t>
  </si>
  <si>
    <t>TOTAL INGRESOS</t>
  </si>
  <si>
    <t>COSTES OPERATIVOS</t>
  </si>
  <si>
    <t>Coste de ventas — suelo</t>
  </si>
  <si>
    <t>TOTAL COSTES OPERATIVOS</t>
  </si>
  <si>
    <t>EBITDA</t>
  </si>
  <si>
    <t>RESULTADO FINANCIERO</t>
  </si>
  <si>
    <t>Intereses no capitalizados / pagados</t>
  </si>
  <si>
    <t>Comisiones financieras</t>
  </si>
  <si>
    <t>TOTAL GASTO FINANCIERO</t>
  </si>
  <si>
    <t>RESULTADO ANTES DE IMPUESTOS</t>
  </si>
  <si>
    <t>Impuesto sobre sociedades</t>
  </si>
  <si>
    <t>RESULTADO NETO</t>
  </si>
  <si>
    <t>RESULTADO NETO ACUMULADO</t>
  </si>
  <si>
    <t>Checks</t>
  </si>
  <si>
    <t>Margen EBITDA</t>
  </si>
  <si>
    <t>Margen neto</t>
  </si>
  <si>
    <t>Control: flujo venta + CAPEX</t>
  </si>
  <si>
    <t>Control: CAPEX total mensual</t>
  </si>
  <si>
    <t>ACTIVO</t>
  </si>
  <si>
    <t>Activo No Corriente</t>
  </si>
  <si>
    <t xml:space="preserve">  Inmovilizado / Inversiones LP</t>
  </si>
  <si>
    <t>Total Activo No Corriente</t>
  </si>
  <si>
    <t>Activo Corriente</t>
  </si>
  <si>
    <t xml:space="preserve">  Existencias suelo</t>
  </si>
  <si>
    <t xml:space="preserve">  Clientes / cuentas a cobrar</t>
  </si>
  <si>
    <t xml:space="preserve">  Tesorería</t>
  </si>
  <si>
    <t>Total Activo Corriente</t>
  </si>
  <si>
    <t>TOTAL ACTIVO</t>
  </si>
  <si>
    <t>PASIVO + PATRIMONIO NETO</t>
  </si>
  <si>
    <t xml:space="preserve">  Pasivo No Corriente</t>
  </si>
  <si>
    <t xml:space="preserve">    Deuda con entidades de crédito</t>
  </si>
  <si>
    <t xml:space="preserve">  Total Pasivo No Corriente</t>
  </si>
  <si>
    <t xml:space="preserve">  Pasivo Corriente</t>
  </si>
  <si>
    <t xml:space="preserve">    Anticipos de clientes</t>
  </si>
  <si>
    <t xml:space="preserve">  Total Pasivo Corriente</t>
  </si>
  <si>
    <t>TOTAL PASIVO</t>
  </si>
  <si>
    <t>PATRIMONIO NETO</t>
  </si>
  <si>
    <t xml:space="preserve">  Capital aportado (acumulado)</t>
  </si>
  <si>
    <t xml:space="preserve">  Resultados acumulados (según P&amp;L)</t>
  </si>
  <si>
    <t>TOTAL PATRIMONIO NETO</t>
  </si>
  <si>
    <t>TOTAL PASIVO + PN</t>
  </si>
  <si>
    <t>CHECK ACTIVO - PASIVO - PN</t>
  </si>
  <si>
    <t>Checks operativos</t>
  </si>
  <si>
    <t>Deuda / Activo</t>
  </si>
  <si>
    <t>Caja mínima / negativa</t>
  </si>
  <si>
    <t>€</t>
  </si>
  <si>
    <t>-</t>
  </si>
  <si>
    <t>uds/mes</t>
  </si>
  <si>
    <t>%/renta</t>
  </si>
  <si>
    <t>Inicio ingresos</t>
  </si>
  <si>
    <t>Yield mercado</t>
  </si>
  <si>
    <t>Gastos explotación</t>
  </si>
  <si>
    <t>Ingreso bruto potencial</t>
  </si>
  <si>
    <t xml:space="preserve">Renta mensual final </t>
  </si>
  <si>
    <t>Renta mensual estimada</t>
  </si>
  <si>
    <t>Duración estimada</t>
  </si>
  <si>
    <t>Ritmo absorción</t>
  </si>
  <si>
    <t>Comercialización</t>
  </si>
  <si>
    <t>Ingreso Bruto</t>
  </si>
  <si>
    <t xml:space="preserve">Diferencia con parcela 533,33 </t>
  </si>
  <si>
    <t>Precio suelo</t>
  </si>
  <si>
    <t>Valor parcela</t>
  </si>
  <si>
    <t>Superficie parcela</t>
  </si>
  <si>
    <t>Superficie construida</t>
  </si>
  <si>
    <t>Precio medio por unidad</t>
  </si>
  <si>
    <t>CONFIGURACIÓN TÉCNICA</t>
  </si>
  <si>
    <t>ESCENARIOS DE EXPLOTACIÓN</t>
  </si>
  <si>
    <t>BALANCE MENSUAL</t>
  </si>
  <si>
    <t>CUENTA DE RESULTADOS MENSUAL</t>
  </si>
  <si>
    <t>Crecimiento anual en rentas</t>
  </si>
  <si>
    <t>PASIVO</t>
  </si>
  <si>
    <t xml:space="preserve">  Existencias intereses capitalizados</t>
  </si>
  <si>
    <t xml:space="preserve">  Existencias construcción</t>
  </si>
  <si>
    <t>Coste de ventas — construcción</t>
  </si>
  <si>
    <t>Coste de ventas — intereses capitalizados</t>
  </si>
  <si>
    <t>VARIABLES DE FINANCIACIÓN</t>
  </si>
  <si>
    <t>ESCENARIOS ECONÓMICO-FINANCIEROS</t>
  </si>
  <si>
    <t>CUENTA DE RESULTADOS TRIMESTRAL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</si>
  <si>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</si>
  <si>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</si>
  <si>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</si>
  <si>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</si>
  <si>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</si>
  <si>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</si>
  <si>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</si>
  <si>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</si>
  <si>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</si>
  <si>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</si>
  <si>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</si>
  <si>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</si>
  <si>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</si>
  <si>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</si>
  <si>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</si>
  <si>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</si>
  <si>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</si>
  <si>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</si>
  <si>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</si>
  <si>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</si>
  <si>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BALANCE TRIMESTRAL</t>
  </si>
  <si>
    <t>Precio total por unidad calculado</t>
  </si>
  <si>
    <t xml:space="preserve">  Coste suelo</t>
  </si>
  <si>
    <t xml:space="preserve">  Coste extra</t>
  </si>
  <si>
    <t>Parcela bruta (m2)</t>
  </si>
  <si>
    <t>INDICADORES</t>
  </si>
  <si>
    <t>Sin financiación</t>
  </si>
  <si>
    <t>Cashflow del accionista</t>
  </si>
  <si>
    <t>Ingresos Venta</t>
  </si>
  <si>
    <t>CASHFLOW TRIMESTRAL</t>
  </si>
  <si>
    <t>CASHFLOW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</si>
</sst>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"/>
    <numFmt numFmtId="165" formatCode="#,##0&quot; €&quot;"/>
    <numFmt numFmtId="166" formatCode="0.00%;\(0.00%\);\-"/>
    <numFmt numFmtId="167" formatCode="#,##0;\(#,##0\);\-"/>
    <numFmt numFmtId="168" formatCode="0.00\x"/>
    <numFmt numFmtId="169" formatCode="0.0"/>
    <numFmt numFmtId="170" formatCode="0;\(0\)"/>
    <numFmt numFmtId="171" formatCode="0.00\x;\(0.00&quot;x)&quot;"/>
    <numFmt numFmtId="172" formatCode="#,##0;[Red]\(#,##0\);\-"/>
  </numFmts>
  <fonts count="23" x14ac:knownFonts="1">
    <font>
      <sz val="11"/>
      <color theme="1"/>
      <name val="Aptos Narrow"/>
      <family val="2"/>
      <charset val="1"/>
    </font>
    <font>
      <b/>
      <sz val="11"/>
      <color rgb="FFFFFFFF"/>
      <name val="Aptos Narrow"/>
      <family val="2"/>
      <charset val="1"/>
    </font>
    <font>
      <b/>
      <sz val="11"/>
      <color theme="1"/>
      <name val="Aptos Narrow"/>
      <family val="2"/>
      <charset val="1"/>
    </font>
    <font>
      <u/>
      <sz val="11"/>
      <color theme="1"/>
      <name val="Aptos Narrow"/>
      <family val="2"/>
      <charset val="1"/>
    </font>
    <font>
      <b/>
      <i/>
      <sz val="11"/>
      <color theme="1"/>
      <name val="Aptos Narrow"/>
      <family val="2"/>
      <charset val="1"/>
    </font>
    <font>
      <b/>
      <sz val="20"/>
      <color theme="1"/>
      <name val="Aptos Narrow"/>
      <family val="2"/>
      <charset val="1"/>
    </font>
    <font>
      <b/>
      <sz val="18"/>
      <color theme="1"/>
      <name val="Aptos Narrow"/>
      <family val="2"/>
      <charset val="1"/>
    </font>
    <font>
      <i/>
      <sz val="11"/>
      <color theme="1"/>
      <name val="Aptos Narrow"/>
      <family val="2"/>
      <charset val="1"/>
    </font>
    <font>
      <sz val="11"/>
      <name val="Aptos Narrow"/>
      <family val="2"/>
      <charset val="1"/>
    </font>
    <font>
      <b/>
      <sz val="11"/>
      <name val="Aptos Narrow"/>
      <family val="2"/>
      <charset val="1"/>
    </font>
    <font>
      <b/>
      <sz val="9"/>
      <color rgb="FFFFFFFF"/>
      <name val="Aptos Narrow"/>
      <family val="2"/>
      <charset val="1"/>
    </font>
    <font>
      <b/>
      <i/>
      <sz val="9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b/>
      <sz val="11"/>
      <color rgb="FF008000"/>
      <name val="Aptos Narrow"/>
      <family val="2"/>
      <charset val="1"/>
    </font>
    <font>
      <sz val="11"/>
      <color rgb="FF000000"/>
      <name val="Aptos Narrow"/>
    </font>
    <font>
      <b/>
      <sz val="20"/>
      <color theme="1"/>
      <name val="Aptos Narrow"/>
      <family val="2"/>
    </font>
    <font>
      <b/>
      <sz val="16"/>
      <name val="Aptos Narrow"/>
      <family val="2"/>
      <charset val="1"/>
    </font>
    <font>
      <b/>
      <i/>
      <sz val="11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b/>
      <sz val="11"/>
      <color rgb="FF000000"/>
      <name val="Aptos Narrow"/>
      <family val="2"/>
      <charset val="1"/>
    </font>
    <font>
      <i/>
      <sz val="11"/>
      <name val="Aptos Narrow"/>
      <family val="2"/>
      <charset val="1"/>
    </font>
    <font>
      <b/>
      <sz val="11"/>
      <color theme="1"/>
      <name val="Aptos Narrow"/>
      <family val="2"/>
    </font>
    <font>
      <b/>
      <sz val="1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A0122A"/>
        <bgColor rgb="FF9C0006"/>
      </patternFill>
    </fill>
    <fill>
      <patternFill patternType="solid">
        <fgColor rgb="FFF4DDE2"/>
        <bgColor rgb="FFFFC7CE"/>
      </patternFill>
    </fill>
    <fill>
      <patternFill patternType="solid">
        <fgColor rgb="FFF4DDE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DD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tted">
        <color auto="1"/>
      </bottom>
      <diagonal/>
    </border>
    <border>
      <left/>
      <right/>
      <top style="double">
        <color auto="1"/>
      </top>
      <bottom style="dotted">
        <color auto="1"/>
      </bottom>
      <diagonal/>
    </border>
    <border>
      <left/>
      <right style="thin">
        <color auto="1"/>
      </right>
      <top style="double">
        <color auto="1"/>
      </top>
      <bottom style="dott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dashed">
        <color auto="1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medium">
        <color rgb="FF808080"/>
      </top>
      <bottom style="thin">
        <color rgb="FFD9D9D9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9" fontId="12" fillId="0" borderId="0"/>
  </cellStyleXfs>
  <cellXfs count="275">
    <xf numFmtId="0" fontId="0" fillId="0" borderId="0" xfId="0"/>
    <xf numFmtId="0" fontId="4" fillId="0" borderId="2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3" fillId="0" borderId="0" xfId="0" applyFon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right" vertical="center"/>
    </xf>
    <xf numFmtId="0" fontId="0" fillId="0" borderId="8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9" xfId="0" applyBorder="1" applyAlignment="1">
      <alignment horizontal="right" vertical="center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horizontal="right" vertical="center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9" fontId="0" fillId="0" borderId="0" xfId="0" applyNumberFormat="1" applyAlignment="1">
      <alignment vertical="center" wrapText="1"/>
    </xf>
    <xf numFmtId="9" fontId="0" fillId="0" borderId="9" xfId="0" applyNumberFormat="1" applyBorder="1" applyAlignment="1">
      <alignment horizontal="right" vertical="center"/>
    </xf>
    <xf numFmtId="9" fontId="0" fillId="0" borderId="9" xfId="0" applyNumberFormat="1" applyBorder="1" applyAlignment="1">
      <alignment vertical="center" wrapText="1"/>
    </xf>
    <xf numFmtId="0" fontId="0" fillId="0" borderId="9" xfId="0" applyBorder="1" applyAlignment="1">
      <alignment horizontal="right"/>
    </xf>
    <xf numFmtId="0" fontId="0" fillId="0" borderId="9" xfId="0" applyBorder="1" applyAlignment="1">
      <alignment wrapText="1"/>
    </xf>
    <xf numFmtId="0" fontId="4" fillId="0" borderId="13" xfId="0" applyFont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horizontal="right"/>
    </xf>
    <xf numFmtId="0" fontId="0" fillId="0" borderId="8" xfId="0" applyBorder="1" applyAlignment="1">
      <alignment wrapText="1"/>
    </xf>
    <xf numFmtId="169" fontId="0" fillId="0" borderId="0" xfId="0" applyNumberFormat="1" applyAlignment="1">
      <alignment wrapText="1"/>
    </xf>
    <xf numFmtId="169" fontId="0" fillId="0" borderId="9" xfId="0" applyNumberFormat="1" applyBorder="1" applyAlignment="1">
      <alignment horizontal="right"/>
    </xf>
    <xf numFmtId="169" fontId="0" fillId="0" borderId="9" xfId="0" applyNumberFormat="1" applyBorder="1" applyAlignment="1">
      <alignment wrapText="1"/>
    </xf>
    <xf numFmtId="1" fontId="0" fillId="0" borderId="0" xfId="0" applyNumberFormat="1" applyAlignment="1">
      <alignment wrapText="1"/>
    </xf>
    <xf numFmtId="1" fontId="0" fillId="0" borderId="9" xfId="0" applyNumberFormat="1" applyBorder="1" applyAlignment="1">
      <alignment horizontal="right"/>
    </xf>
    <xf numFmtId="1" fontId="0" fillId="0" borderId="9" xfId="0" applyNumberFormat="1" applyBorder="1" applyAlignment="1">
      <alignment wrapText="1"/>
    </xf>
    <xf numFmtId="1" fontId="0" fillId="0" borderId="14" xfId="0" applyNumberFormat="1" applyBorder="1" applyAlignment="1">
      <alignment wrapText="1"/>
    </xf>
    <xf numFmtId="1" fontId="0" fillId="0" borderId="15" xfId="0" applyNumberFormat="1" applyBorder="1" applyAlignment="1">
      <alignment horizontal="right"/>
    </xf>
    <xf numFmtId="0" fontId="0" fillId="0" borderId="0" xfId="0" applyAlignment="1">
      <alignment horizontal="right" wrapText="1"/>
    </xf>
    <xf numFmtId="0" fontId="0" fillId="0" borderId="9" xfId="0" applyBorder="1" applyAlignment="1">
      <alignment horizontal="right" wrapText="1"/>
    </xf>
    <xf numFmtId="1" fontId="0" fillId="0" borderId="0" xfId="0" applyNumberFormat="1" applyAlignment="1">
      <alignment vertical="center" wrapText="1"/>
    </xf>
    <xf numFmtId="169" fontId="0" fillId="0" borderId="0" xfId="0" applyNumberFormat="1" applyAlignment="1">
      <alignment vertical="center" wrapText="1"/>
    </xf>
    <xf numFmtId="1" fontId="0" fillId="0" borderId="9" xfId="0" applyNumberFormat="1" applyBorder="1" applyAlignment="1">
      <alignment horizontal="right" vertical="center"/>
    </xf>
    <xf numFmtId="1" fontId="0" fillId="0" borderId="9" xfId="0" applyNumberFormat="1" applyBorder="1" applyAlignment="1">
      <alignment vertical="center" wrapText="1"/>
    </xf>
    <xf numFmtId="1" fontId="2" fillId="0" borderId="0" xfId="0" applyNumberFormat="1" applyFont="1" applyAlignment="1">
      <alignment horizontal="right" wrapText="1"/>
    </xf>
    <xf numFmtId="1" fontId="2" fillId="0" borderId="9" xfId="0" applyNumberFormat="1" applyFont="1" applyBorder="1" applyAlignment="1">
      <alignment horizontal="right" wrapText="1"/>
    </xf>
    <xf numFmtId="0" fontId="4" fillId="0" borderId="13" xfId="0" applyFont="1" applyBorder="1"/>
    <xf numFmtId="1" fontId="0" fillId="0" borderId="14" xfId="0" applyNumberFormat="1" applyBorder="1" applyAlignment="1">
      <alignment horizontal="right" vertical="center"/>
    </xf>
    <xf numFmtId="1" fontId="0" fillId="0" borderId="15" xfId="0" applyNumberFormat="1" applyBorder="1" applyAlignment="1">
      <alignment horizontal="right" vertical="center"/>
    </xf>
    <xf numFmtId="2" fontId="0" fillId="0" borderId="0" xfId="0" applyNumberFormat="1" applyAlignment="1">
      <alignment vertical="center" wrapText="1"/>
    </xf>
    <xf numFmtId="2" fontId="0" fillId="0" borderId="9" xfId="0" applyNumberFormat="1" applyBorder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15" fontId="0" fillId="0" borderId="8" xfId="0" applyNumberFormat="1" applyBorder="1" applyAlignment="1">
      <alignment wrapText="1"/>
    </xf>
    <xf numFmtId="0" fontId="0" fillId="0" borderId="16" xfId="0" applyBorder="1" applyAlignment="1">
      <alignment wrapText="1"/>
    </xf>
    <xf numFmtId="9" fontId="0" fillId="0" borderId="18" xfId="0" applyNumberFormat="1" applyBorder="1" applyAlignment="1">
      <alignment horizontal="right"/>
    </xf>
    <xf numFmtId="0" fontId="0" fillId="0" borderId="19" xfId="0" applyBorder="1" applyAlignment="1">
      <alignment wrapText="1"/>
    </xf>
    <xf numFmtId="0" fontId="2" fillId="3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4" fillId="0" borderId="22" xfId="0" applyFont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1" fontId="0" fillId="0" borderId="23" xfId="0" applyNumberFormat="1" applyBorder="1" applyAlignment="1">
      <alignment vertical="center" wrapText="1"/>
    </xf>
    <xf numFmtId="1" fontId="0" fillId="0" borderId="0" xfId="0" applyNumberFormat="1" applyAlignment="1">
      <alignment horizontal="right" wrapText="1"/>
    </xf>
    <xf numFmtId="1" fontId="0" fillId="0" borderId="9" xfId="0" applyNumberFormat="1" applyBorder="1" applyAlignment="1">
      <alignment horizontal="right" wrapText="1"/>
    </xf>
    <xf numFmtId="0" fontId="0" fillId="0" borderId="8" xfId="0" applyBorder="1"/>
    <xf numFmtId="1" fontId="0" fillId="0" borderId="9" xfId="0" applyNumberFormat="1" applyBorder="1" applyAlignment="1">
      <alignment horizontal="right" vertical="center" wrapText="1"/>
    </xf>
    <xf numFmtId="164" fontId="0" fillId="0" borderId="0" xfId="0" applyNumberFormat="1" applyAlignment="1">
      <alignment vertical="center" wrapText="1"/>
    </xf>
    <xf numFmtId="0" fontId="0" fillId="0" borderId="16" xfId="0" applyBorder="1" applyAlignment="1">
      <alignment vertical="center" wrapText="1"/>
    </xf>
    <xf numFmtId="2" fontId="0" fillId="0" borderId="17" xfId="0" applyNumberFormat="1" applyBorder="1" applyAlignment="1">
      <alignment vertical="center" wrapText="1"/>
    </xf>
    <xf numFmtId="2" fontId="0" fillId="0" borderId="18" xfId="0" applyNumberFormat="1" applyBorder="1" applyAlignment="1">
      <alignment vertical="center" wrapText="1"/>
    </xf>
    <xf numFmtId="0" fontId="0" fillId="0" borderId="16" xfId="0" applyBorder="1" applyAlignment="1">
      <alignment vertical="center"/>
    </xf>
    <xf numFmtId="0" fontId="1" fillId="2" borderId="2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3" borderId="15" xfId="0" applyFont="1" applyFill="1" applyBorder="1" applyAlignment="1">
      <alignment horizontal="left" vertical="center" wrapText="1"/>
    </xf>
    <xf numFmtId="164" fontId="0" fillId="0" borderId="9" xfId="0" applyNumberFormat="1" applyBorder="1" applyAlignment="1">
      <alignment vertical="center" wrapText="1"/>
    </xf>
    <xf numFmtId="10" fontId="0" fillId="0" borderId="0" xfId="0" applyNumberFormat="1" applyAlignment="1">
      <alignment vertical="center" wrapText="1"/>
    </xf>
    <xf numFmtId="10" fontId="0" fillId="0" borderId="9" xfId="0" applyNumberFormat="1" applyBorder="1" applyAlignment="1">
      <alignment vertical="center" wrapText="1"/>
    </xf>
    <xf numFmtId="9" fontId="0" fillId="0" borderId="17" xfId="0" applyNumberFormat="1" applyBorder="1" applyAlignment="1">
      <alignment vertical="center" wrapText="1"/>
    </xf>
    <xf numFmtId="9" fontId="0" fillId="0" borderId="18" xfId="0" applyNumberFormat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5" fillId="0" borderId="0" xfId="0" applyFont="1"/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/>
    </xf>
    <xf numFmtId="1" fontId="2" fillId="3" borderId="30" xfId="0" applyNumberFormat="1" applyFont="1" applyFill="1" applyBorder="1" applyAlignment="1">
      <alignment horizontal="center" vertical="center" wrapText="1"/>
    </xf>
    <xf numFmtId="1" fontId="2" fillId="3" borderId="31" xfId="0" applyNumberFormat="1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1" fontId="0" fillId="0" borderId="11" xfId="0" applyNumberFormat="1" applyBorder="1"/>
    <xf numFmtId="1" fontId="0" fillId="0" borderId="12" xfId="0" applyNumberFormat="1" applyBorder="1"/>
    <xf numFmtId="0" fontId="0" fillId="0" borderId="10" xfId="0" applyBorder="1"/>
    <xf numFmtId="1" fontId="0" fillId="0" borderId="0" xfId="0" applyNumberFormat="1"/>
    <xf numFmtId="1" fontId="0" fillId="0" borderId="33" xfId="0" applyNumberFormat="1" applyBorder="1"/>
    <xf numFmtId="1" fontId="0" fillId="0" borderId="9" xfId="0" applyNumberFormat="1" applyBorder="1"/>
    <xf numFmtId="1" fontId="2" fillId="0" borderId="0" xfId="0" applyNumberFormat="1" applyFont="1"/>
    <xf numFmtId="1" fontId="2" fillId="0" borderId="9" xfId="0" applyNumberFormat="1" applyFont="1" applyBorder="1"/>
    <xf numFmtId="0" fontId="2" fillId="0" borderId="8" xfId="0" applyFont="1" applyBorder="1"/>
    <xf numFmtId="0" fontId="2" fillId="0" borderId="16" xfId="0" applyFont="1" applyBorder="1"/>
    <xf numFmtId="1" fontId="2" fillId="0" borderId="18" xfId="0" applyNumberFormat="1" applyFon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16" xfId="0" applyBorder="1"/>
    <xf numFmtId="0" fontId="6" fillId="0" borderId="0" xfId="0" applyFont="1"/>
    <xf numFmtId="1" fontId="2" fillId="3" borderId="0" xfId="0" applyNumberFormat="1" applyFont="1" applyFill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center" vertical="center" wrapText="1"/>
    </xf>
    <xf numFmtId="0" fontId="0" fillId="0" borderId="9" xfId="0" applyBorder="1"/>
    <xf numFmtId="9" fontId="0" fillId="0" borderId="0" xfId="0" applyNumberFormat="1"/>
    <xf numFmtId="9" fontId="0" fillId="0" borderId="9" xfId="0" applyNumberFormat="1" applyBorder="1"/>
    <xf numFmtId="2" fontId="0" fillId="0" borderId="0" xfId="0" applyNumberFormat="1"/>
    <xf numFmtId="2" fontId="0" fillId="0" borderId="9" xfId="0" applyNumberFormat="1" applyBorder="1"/>
    <xf numFmtId="0" fontId="0" fillId="0" borderId="12" xfId="0" applyBorder="1"/>
    <xf numFmtId="0" fontId="4" fillId="0" borderId="34" xfId="0" applyFont="1" applyBorder="1" applyAlignment="1">
      <alignment horizontal="center" vertical="center" wrapText="1"/>
    </xf>
    <xf numFmtId="0" fontId="0" fillId="0" borderId="18" xfId="0" applyBorder="1"/>
    <xf numFmtId="0" fontId="0" fillId="3" borderId="0" xfId="0" applyFill="1"/>
    <xf numFmtId="0" fontId="0" fillId="0" borderId="0" xfId="0" applyAlignment="1">
      <alignment horizontal="left"/>
    </xf>
    <xf numFmtId="0" fontId="1" fillId="2" borderId="36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 wrapText="1"/>
    </xf>
    <xf numFmtId="1" fontId="11" fillId="3" borderId="38" xfId="0" applyNumberFormat="1" applyFont="1" applyFill="1" applyBorder="1" applyAlignment="1">
      <alignment horizontal="center" vertical="center" wrapText="1"/>
    </xf>
    <xf numFmtId="0" fontId="11" fillId="3" borderId="38" xfId="0" applyFont="1" applyFill="1" applyBorder="1" applyAlignment="1">
      <alignment horizontal="center" vertical="center" wrapText="1"/>
    </xf>
    <xf numFmtId="0" fontId="11" fillId="3" borderId="38" xfId="0" applyFont="1" applyFill="1" applyBorder="1" applyAlignment="1">
      <alignment horizontal="center" vertical="center"/>
    </xf>
    <xf numFmtId="167" fontId="0" fillId="0" borderId="0" xfId="0" applyNumberFormat="1" applyAlignment="1">
      <alignment vertical="center" wrapText="1"/>
    </xf>
    <xf numFmtId="0" fontId="2" fillId="0" borderId="8" xfId="0" applyFont="1" applyBorder="1" applyAlignment="1">
      <alignment horizontal="left" vertical="center" wrapText="1"/>
    </xf>
    <xf numFmtId="167" fontId="2" fillId="0" borderId="0" xfId="0" applyNumberFormat="1" applyFont="1" applyAlignment="1">
      <alignment vertical="center" wrapText="1"/>
    </xf>
    <xf numFmtId="0" fontId="2" fillId="0" borderId="0" xfId="0" applyFont="1"/>
    <xf numFmtId="0" fontId="4" fillId="3" borderId="39" xfId="0" applyFont="1" applyFill="1" applyBorder="1" applyAlignment="1">
      <alignment horizontal="center" vertical="center" wrapText="1"/>
    </xf>
    <xf numFmtId="1" fontId="2" fillId="3" borderId="40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2" fillId="0" borderId="16" xfId="0" applyFont="1" applyBorder="1" applyAlignment="1">
      <alignment horizontal="left"/>
    </xf>
    <xf numFmtId="167" fontId="0" fillId="0" borderId="17" xfId="0" applyNumberFormat="1" applyBorder="1"/>
    <xf numFmtId="14" fontId="0" fillId="0" borderId="0" xfId="0" applyNumberFormat="1"/>
    <xf numFmtId="10" fontId="0" fillId="0" borderId="9" xfId="0" applyNumberFormat="1" applyBorder="1"/>
    <xf numFmtId="0" fontId="1" fillId="2" borderId="0" xfId="0" applyFont="1" applyFill="1"/>
    <xf numFmtId="170" fontId="11" fillId="3" borderId="38" xfId="0" applyNumberFormat="1" applyFont="1" applyFill="1" applyBorder="1" applyAlignment="1">
      <alignment horizontal="center" vertical="center" wrapText="1"/>
    </xf>
    <xf numFmtId="167" fontId="2" fillId="0" borderId="0" xfId="0" applyNumberFormat="1" applyFont="1"/>
    <xf numFmtId="0" fontId="13" fillId="0" borderId="0" xfId="0" applyFont="1"/>
    <xf numFmtId="0" fontId="2" fillId="0" borderId="44" xfId="0" applyFont="1" applyBorder="1"/>
    <xf numFmtId="0" fontId="4" fillId="3" borderId="37" xfId="0" applyFont="1" applyFill="1" applyBorder="1" applyAlignment="1">
      <alignment horizontal="center"/>
    </xf>
    <xf numFmtId="172" fontId="11" fillId="3" borderId="38" xfId="0" applyNumberFormat="1" applyFont="1" applyFill="1" applyBorder="1" applyAlignment="1">
      <alignment horizontal="center" vertical="center" wrapText="1"/>
    </xf>
    <xf numFmtId="172" fontId="4" fillId="0" borderId="48" xfId="0" applyNumberFormat="1" applyFont="1" applyBorder="1"/>
    <xf numFmtId="172" fontId="14" fillId="0" borderId="0" xfId="0" applyNumberFormat="1" applyFont="1"/>
    <xf numFmtId="172" fontId="0" fillId="0" borderId="0" xfId="0" applyNumberFormat="1"/>
    <xf numFmtId="0" fontId="4" fillId="0" borderId="0" xfId="0" applyFont="1" applyAlignment="1">
      <alignment horizontal="center" vertical="center" wrapText="1"/>
    </xf>
    <xf numFmtId="170" fontId="11" fillId="0" borderId="0" xfId="0" applyNumberFormat="1" applyFont="1" applyAlignment="1">
      <alignment horizontal="center" vertical="center" wrapText="1"/>
    </xf>
    <xf numFmtId="0" fontId="0" fillId="0" borderId="40" xfId="0" applyBorder="1"/>
    <xf numFmtId="0" fontId="0" fillId="0" borderId="19" xfId="0" applyBorder="1"/>
    <xf numFmtId="1" fontId="0" fillId="0" borderId="0" xfId="0" applyNumberFormat="1" applyAlignment="1">
      <alignment horizontal="right" vertical="center" wrapText="1"/>
    </xf>
    <xf numFmtId="0" fontId="0" fillId="0" borderId="18" xfId="0" applyBorder="1" applyAlignment="1">
      <alignment horizontal="right"/>
    </xf>
    <xf numFmtId="9" fontId="0" fillId="0" borderId="9" xfId="0" applyNumberFormat="1" applyBorder="1" applyAlignment="1">
      <alignment horizontal="right"/>
    </xf>
    <xf numFmtId="0" fontId="1" fillId="2" borderId="45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vertical="center" wrapText="1"/>
    </xf>
    <xf numFmtId="0" fontId="4" fillId="6" borderId="34" xfId="0" applyFont="1" applyFill="1" applyBorder="1" applyAlignment="1">
      <alignment vertical="center" wrapText="1"/>
    </xf>
    <xf numFmtId="0" fontId="2" fillId="0" borderId="9" xfId="0" applyFont="1" applyBorder="1" applyAlignment="1">
      <alignment horizontal="left" vertical="center" wrapText="1"/>
    </xf>
    <xf numFmtId="0" fontId="1" fillId="2" borderId="46" xfId="0" applyFont="1" applyFill="1" applyBorder="1" applyAlignment="1">
      <alignment horizontal="center" vertical="center" wrapText="1"/>
    </xf>
    <xf numFmtId="9" fontId="8" fillId="0" borderId="0" xfId="0" applyNumberFormat="1" applyFont="1" applyAlignment="1">
      <alignment horizontal="right"/>
    </xf>
    <xf numFmtId="9" fontId="9" fillId="0" borderId="35" xfId="0" applyNumberFormat="1" applyFont="1" applyBorder="1" applyAlignment="1">
      <alignment horizontal="right"/>
    </xf>
    <xf numFmtId="0" fontId="1" fillId="2" borderId="36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4" fillId="3" borderId="21" xfId="0" applyFont="1" applyFill="1" applyBorder="1" applyAlignment="1">
      <alignment horizontal="left" vertical="center" wrapText="1"/>
    </xf>
    <xf numFmtId="0" fontId="4" fillId="3" borderId="47" xfId="0" applyFont="1" applyFill="1" applyBorder="1" applyAlignment="1">
      <alignment horizontal="left" vertical="center" wrapText="1"/>
    </xf>
    <xf numFmtId="0" fontId="4" fillId="3" borderId="34" xfId="0" applyFont="1" applyFill="1" applyBorder="1" applyAlignment="1">
      <alignment horizontal="left" vertical="center" wrapText="1"/>
    </xf>
    <xf numFmtId="0" fontId="4" fillId="3" borderId="47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 wrapText="1"/>
    </xf>
    <xf numFmtId="172" fontId="9" fillId="0" borderId="0" xfId="0" applyNumberFormat="1" applyFont="1"/>
    <xf numFmtId="172" fontId="9" fillId="0" borderId="11" xfId="0" applyNumberFormat="1" applyFont="1" applyBorder="1"/>
    <xf numFmtId="172" fontId="17" fillId="4" borderId="0" xfId="0" applyNumberFormat="1" applyFont="1" applyFill="1"/>
    <xf numFmtId="172" fontId="4" fillId="5" borderId="48" xfId="0" applyNumberFormat="1" applyFont="1" applyFill="1" applyBorder="1"/>
    <xf numFmtId="167" fontId="2" fillId="5" borderId="0" xfId="0" applyNumberFormat="1" applyFont="1" applyFill="1"/>
    <xf numFmtId="172" fontId="18" fillId="0" borderId="0" xfId="0" applyNumberFormat="1" applyFont="1"/>
    <xf numFmtId="172" fontId="16" fillId="0" borderId="11" xfId="0" applyNumberFormat="1" applyFont="1" applyBorder="1"/>
    <xf numFmtId="0" fontId="16" fillId="0" borderId="11" xfId="0" applyFont="1" applyBorder="1" applyAlignment="1">
      <alignment horizontal="center"/>
    </xf>
    <xf numFmtId="0" fontId="5" fillId="0" borderId="36" xfId="0" applyFont="1" applyBorder="1"/>
    <xf numFmtId="172" fontId="16" fillId="0" borderId="49" xfId="0" applyNumberFormat="1" applyFont="1" applyBorder="1"/>
    <xf numFmtId="172" fontId="19" fillId="0" borderId="0" xfId="0" applyNumberFormat="1" applyFont="1"/>
    <xf numFmtId="164" fontId="8" fillId="0" borderId="0" xfId="0" applyNumberFormat="1" applyFont="1"/>
    <xf numFmtId="0" fontId="8" fillId="0" borderId="0" xfId="0" applyFont="1" applyAlignment="1">
      <alignment horizontal="left"/>
    </xf>
    <xf numFmtId="172" fontId="8" fillId="0" borderId="0" xfId="0" applyNumberFormat="1" applyFont="1"/>
    <xf numFmtId="0" fontId="8" fillId="0" borderId="0" xfId="0" applyFont="1"/>
    <xf numFmtId="0" fontId="1" fillId="2" borderId="0" xfId="0" applyFont="1" applyFill="1" applyAlignment="1">
      <alignment horizontal="center"/>
    </xf>
    <xf numFmtId="166" fontId="8" fillId="0" borderId="0" xfId="0" applyNumberFormat="1" applyFont="1"/>
    <xf numFmtId="0" fontId="20" fillId="0" borderId="0" xfId="0" applyFont="1" applyAlignment="1">
      <alignment horizontal="left" vertical="center" wrapText="1"/>
    </xf>
    <xf numFmtId="172" fontId="8" fillId="0" borderId="30" xfId="0" applyNumberFormat="1" applyFont="1" applyBorder="1" applyAlignment="1">
      <alignment horizontal="right" vertical="center" wrapText="1"/>
    </xf>
    <xf numFmtId="0" fontId="8" fillId="0" borderId="32" xfId="0" applyFont="1" applyBorder="1" applyAlignment="1">
      <alignment horizontal="left" vertical="center" wrapText="1"/>
    </xf>
    <xf numFmtId="172" fontId="8" fillId="0" borderId="43" xfId="0" applyNumberFormat="1" applyFont="1" applyBorder="1"/>
    <xf numFmtId="0" fontId="8" fillId="0" borderId="43" xfId="0" applyFont="1" applyBorder="1" applyAlignment="1">
      <alignment horizontal="left"/>
    </xf>
    <xf numFmtId="172" fontId="8" fillId="0" borderId="42" xfId="0" applyNumberFormat="1" applyFont="1" applyBorder="1"/>
    <xf numFmtId="0" fontId="8" fillId="0" borderId="42" xfId="0" applyFont="1" applyBorder="1" applyAlignment="1">
      <alignment horizontal="left"/>
    </xf>
    <xf numFmtId="172" fontId="8" fillId="0" borderId="6" xfId="0" applyNumberFormat="1" applyFont="1" applyBorder="1"/>
    <xf numFmtId="0" fontId="8" fillId="0" borderId="6" xfId="0" applyFont="1" applyBorder="1" applyAlignment="1">
      <alignment horizontal="left"/>
    </xf>
    <xf numFmtId="9" fontId="0" fillId="0" borderId="18" xfId="1" applyFont="1" applyBorder="1"/>
    <xf numFmtId="9" fontId="0" fillId="0" borderId="17" xfId="1" applyFont="1" applyBorder="1"/>
    <xf numFmtId="9" fontId="0" fillId="0" borderId="0" xfId="1" applyFont="1" applyAlignment="1">
      <alignment vertical="center" wrapText="1"/>
    </xf>
    <xf numFmtId="0" fontId="19" fillId="3" borderId="0" xfId="0" applyFont="1" applyFill="1" applyAlignment="1">
      <alignment horizontal="left"/>
    </xf>
    <xf numFmtId="0" fontId="9" fillId="3" borderId="26" xfId="0" applyFont="1" applyFill="1" applyBorder="1" applyAlignment="1">
      <alignment horizontal="center"/>
    </xf>
    <xf numFmtId="0" fontId="7" fillId="0" borderId="0" xfId="0" applyFont="1"/>
    <xf numFmtId="0" fontId="2" fillId="0" borderId="35" xfId="0" applyFont="1" applyBorder="1"/>
    <xf numFmtId="166" fontId="8" fillId="0" borderId="26" xfId="0" applyNumberFormat="1" applyFont="1" applyBorder="1" applyAlignment="1">
      <alignment horizontal="center"/>
    </xf>
    <xf numFmtId="0" fontId="8" fillId="0" borderId="26" xfId="0" applyFont="1" applyBorder="1"/>
    <xf numFmtId="0" fontId="9" fillId="0" borderId="26" xfId="0" applyFont="1" applyBorder="1"/>
    <xf numFmtId="2" fontId="0" fillId="0" borderId="9" xfId="1" applyNumberFormat="1" applyFont="1" applyBorder="1" applyAlignment="1">
      <alignment vertical="center" wrapText="1"/>
    </xf>
    <xf numFmtId="2" fontId="0" fillId="0" borderId="0" xfId="1" applyNumberFormat="1" applyFont="1" applyAlignment="1">
      <alignment vertical="center" wrapText="1"/>
    </xf>
    <xf numFmtId="164" fontId="0" fillId="0" borderId="9" xfId="1" applyNumberFormat="1" applyFont="1" applyBorder="1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164" fontId="0" fillId="0" borderId="17" xfId="1" applyNumberFormat="1" applyFont="1" applyBorder="1" applyAlignment="1">
      <alignment wrapText="1"/>
    </xf>
    <xf numFmtId="164" fontId="0" fillId="0" borderId="9" xfId="1" applyNumberFormat="1" applyFont="1" applyBorder="1" applyAlignment="1">
      <alignment wrapText="1"/>
    </xf>
    <xf numFmtId="164" fontId="0" fillId="0" borderId="0" xfId="1" applyNumberFormat="1" applyFont="1" applyAlignment="1">
      <alignment wrapText="1"/>
    </xf>
    <xf numFmtId="9" fontId="0" fillId="0" borderId="9" xfId="1" applyFont="1" applyBorder="1" applyAlignment="1">
      <alignment horizontal="right"/>
    </xf>
    <xf numFmtId="9" fontId="0" fillId="0" borderId="9" xfId="1" applyFont="1" applyBorder="1" applyAlignment="1">
      <alignment wrapText="1"/>
    </xf>
    <xf numFmtId="9" fontId="0" fillId="0" borderId="0" xfId="1" applyFont="1" applyAlignment="1">
      <alignment wrapText="1"/>
    </xf>
    <xf numFmtId="9" fontId="0" fillId="0" borderId="9" xfId="1" applyFont="1" applyBorder="1" applyAlignment="1">
      <alignment vertical="center" wrapText="1"/>
    </xf>
    <xf numFmtId="9" fontId="0" fillId="0" borderId="9" xfId="1" applyFont="1" applyBorder="1" applyAlignment="1">
      <alignment horizontal="right" vertical="center"/>
    </xf>
    <xf numFmtId="166" fontId="2" fillId="0" borderId="0" xfId="0" applyNumberFormat="1" applyFont="1"/>
    <xf numFmtId="168" fontId="2" fillId="0" borderId="0" xfId="0" applyNumberFormat="1" applyFont="1"/>
    <xf numFmtId="0" fontId="2" fillId="0" borderId="0" xfId="0" applyFont="1" applyAlignment="1">
      <alignment horizontal="left"/>
    </xf>
    <xf numFmtId="0" fontId="9" fillId="3" borderId="8" xfId="0" applyFont="1" applyFill="1" applyBorder="1"/>
    <xf numFmtId="0" fontId="9" fillId="3" borderId="0" xfId="0" applyFont="1" applyFill="1"/>
    <xf numFmtId="0" fontId="9" fillId="3" borderId="9" xfId="0" applyFont="1" applyFill="1" applyBorder="1"/>
    <xf numFmtId="10" fontId="0" fillId="0" borderId="0" xfId="0" applyNumberFormat="1"/>
    <xf numFmtId="0" fontId="8" fillId="0" borderId="8" xfId="0" applyFont="1" applyBorder="1"/>
    <xf numFmtId="167" fontId="8" fillId="0" borderId="0" xfId="0" applyNumberFormat="1" applyFont="1"/>
    <xf numFmtId="0" fontId="8" fillId="0" borderId="16" xfId="0" applyFont="1" applyBorder="1"/>
    <xf numFmtId="171" fontId="8" fillId="0" borderId="17" xfId="0" applyNumberFormat="1" applyFont="1" applyBorder="1"/>
    <xf numFmtId="0" fontId="4" fillId="3" borderId="40" xfId="0" applyFont="1" applyFill="1" applyBorder="1" applyAlignment="1">
      <alignment horizontal="left" vertical="center" wrapText="1"/>
    </xf>
    <xf numFmtId="0" fontId="4" fillId="3" borderId="37" xfId="0" applyFont="1" applyFill="1" applyBorder="1" applyAlignment="1">
      <alignment horizontal="left" vertical="center" wrapText="1"/>
    </xf>
    <xf numFmtId="0" fontId="21" fillId="0" borderId="8" xfId="0" applyFont="1" applyBorder="1" applyAlignment="1">
      <alignment horizontal="left"/>
    </xf>
    <xf numFmtId="167" fontId="21" fillId="0" borderId="0" xfId="0" applyNumberFormat="1" applyFont="1"/>
    <xf numFmtId="0" fontId="21" fillId="0" borderId="0" xfId="0" applyFont="1"/>
    <xf numFmtId="172" fontId="22" fillId="4" borderId="40" xfId="0" applyNumberFormat="1" applyFont="1" applyFill="1" applyBorder="1"/>
    <xf numFmtId="0" fontId="21" fillId="4" borderId="40" xfId="0" applyFont="1" applyFill="1" applyBorder="1"/>
    <xf numFmtId="0" fontId="0" fillId="4" borderId="9" xfId="0" applyFill="1" applyBorder="1"/>
    <xf numFmtId="0" fontId="1" fillId="2" borderId="0" xfId="0" applyFont="1" applyFill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0" borderId="19" xfId="0" applyFont="1" applyBorder="1"/>
    <xf numFmtId="0" fontId="4" fillId="3" borderId="3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45" xfId="0" applyBorder="1"/>
    <xf numFmtId="0" fontId="0" fillId="0" borderId="46" xfId="0" applyBorder="1"/>
    <xf numFmtId="0" fontId="15" fillId="0" borderId="17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 wrapText="1"/>
    </xf>
    <xf numFmtId="0" fontId="0" fillId="0" borderId="47" xfId="0" applyBorder="1"/>
    <xf numFmtId="0" fontId="0" fillId="0" borderId="34" xfId="0" applyBorder="1"/>
    <xf numFmtId="0" fontId="1" fillId="2" borderId="36" xfId="0" applyFont="1" applyFill="1" applyBorder="1" applyAlignment="1">
      <alignment horizontal="left" vertical="center" wrapText="1"/>
    </xf>
    <xf numFmtId="0" fontId="1" fillId="2" borderId="19" xfId="0" applyFont="1" applyFill="1" applyBorder="1" applyAlignment="1">
      <alignment horizontal="left" vertical="center" wrapText="1"/>
    </xf>
    <xf numFmtId="0" fontId="1" fillId="2" borderId="41" xfId="0" applyFont="1" applyFill="1" applyBorder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4DDE2"/>
      <rgbColor rgb="FF000080"/>
      <rgbColor rgb="FFFF00FF"/>
      <rgbColor rgb="FFFFFF00"/>
      <rgbColor rgb="FF00FFFF"/>
      <rgbColor rgb="FF800080"/>
      <rgbColor rgb="FFA0122A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D7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1FCFF"/>
      <color rgb="FFF4DDE2"/>
      <color rgb="FFF4FF00"/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067E9F-0B83-4CDB-ABDD-FE24EE07346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11221f2-381f-490b-94dc-5c1a7c79d358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79998168889431442"/>
  </sheetPr>
  <dimension ref="A1:F17"/>
  <sheetViews>
    <sheetView zoomScaleNormal="100" workbookViewId="0">
      <selection activeCell="B12" sqref="B12"/>
    </sheetView>
  </sheetViews>
  <sheetFormatPr baseColWidth="10" defaultColWidth="9.140625" defaultRowHeight="15" x14ac:dyDescent="0.25"/>
  <cols>
    <col min="1" max="1" width="30.42578125" customWidth="1"/>
    <col min="2" max="2" width="21" customWidth="1"/>
    <col min="3" max="3" width="19.5703125" customWidth="1"/>
    <col min="4" max="4" width="20.5703125" customWidth="1"/>
    <col min="5" max="6" width="19.5703125" customWidth="1"/>
  </cols>
  <sheetData>
    <row r="1" spans="1:6" ht="15" customHeight="1" x14ac:dyDescent="0.25">
      <c r="A1" s="263" t="s">
        <v>0</v>
      </c>
      <c r="B1" s="265"/>
      <c r="C1" s="2"/>
      <c r="D1" s="263" t="s">
        <v>1</v>
      </c>
      <c r="E1" s="264"/>
      <c r="F1" s="265"/>
    </row>
    <row r="2" spans="1:6" x14ac:dyDescent="0.25">
      <c r="A2" s="3" t="s">
        <v>2</v>
      </c>
      <c r="B2" s="4" t="s">
        <v>3</v>
      </c>
      <c r="C2" s="5"/>
      <c r="D2" s="3" t="s">
        <v>4</v>
      </c>
      <c r="E2" s="4" t="s">
        <v>5</v>
      </c>
      <c r="F2" s="3" t="s">
        <v>6</v>
      </c>
    </row>
    <row r="3" spans="1:6" x14ac:dyDescent="0.25">
      <c r="A3" s="6" t="s">
        <v>7</v>
      </c>
      <c r="B3" s="7" t="s">
        <v>9</v>
      </c>
      <c r="D3" s="8" t="s">
        <v>10</v>
      </c>
      <c r="E3" s="9">
        <f>'30_CASHFLOW'!B45</f>
        <v>0.13677590361730174</v>
      </c>
      <c r="F3" s="9">
        <f>'30_CASHFLOW'!C45</f>
        <v>8.6677881324679351E-3</v>
      </c>
    </row>
    <row r="4" spans="1:6" x14ac:dyDescent="0.25">
      <c r="A4" s="6" t="s">
        <v>8</v>
      </c>
      <c r="B4" s="7" t="s">
        <v>12</v>
      </c>
      <c r="D4" s="8" t="s">
        <v>13</v>
      </c>
      <c r="E4" s="10">
        <f>'30_CASHFLOW'!B46</f>
        <v>468930.73248158069</v>
      </c>
      <c r="F4" s="10">
        <f>'30_CASHFLOW'!C46</f>
        <v>-2949614.8512065578</v>
      </c>
    </row>
    <row r="5" spans="1:6" x14ac:dyDescent="0.25">
      <c r="A5" s="6" t="s">
        <v>15</v>
      </c>
      <c r="B5" s="11">
        <v>15</v>
      </c>
      <c r="D5" s="8" t="s">
        <v>16</v>
      </c>
      <c r="E5" s="9">
        <v>0.08</v>
      </c>
      <c r="F5" s="9">
        <v>0.06</v>
      </c>
    </row>
    <row r="6" spans="1:6" x14ac:dyDescent="0.25">
      <c r="A6" s="6" t="s">
        <v>18</v>
      </c>
      <c r="B6" s="12">
        <v>2028</v>
      </c>
    </row>
    <row r="7" spans="1:6" x14ac:dyDescent="0.25">
      <c r="A7" s="6" t="s">
        <v>407</v>
      </c>
      <c r="B7" s="12">
        <v>9290</v>
      </c>
    </row>
    <row r="8" spans="1:6" x14ac:dyDescent="0.25">
      <c r="A8" s="6" t="s">
        <v>20</v>
      </c>
      <c r="B8" s="12" t="s">
        <v>12</v>
      </c>
    </row>
    <row r="9" spans="1:6" x14ac:dyDescent="0.25">
      <c r="B9" s="13"/>
    </row>
    <row r="10" spans="1:6" ht="15" customHeight="1" x14ac:dyDescent="0.25"/>
    <row r="11" spans="1:6" x14ac:dyDescent="0.25">
      <c r="A11" s="159" t="s">
        <v>21</v>
      </c>
      <c r="B11" s="159"/>
    </row>
    <row r="12" spans="1:6" x14ac:dyDescent="0.25">
      <c r="A12" s="150" t="s">
        <v>23</v>
      </c>
      <c r="B12" s="239">
        <f>'30_CASHFLOW'!B49</f>
        <v>0.17348833941755659</v>
      </c>
    </row>
    <row r="13" spans="1:6" x14ac:dyDescent="0.25">
      <c r="A13" s="150" t="s">
        <v>24</v>
      </c>
      <c r="B13" s="161">
        <f>'30_CASHFLOW'!B50</f>
        <v>157181.39162826678</v>
      </c>
    </row>
    <row r="14" spans="1:6" x14ac:dyDescent="0.25">
      <c r="A14" s="150" t="s">
        <v>25</v>
      </c>
      <c r="B14" s="161">
        <f>'30_CASHFLOW'!B51</f>
        <v>1570326.0227199998</v>
      </c>
    </row>
    <row r="15" spans="1:6" x14ac:dyDescent="0.25">
      <c r="A15" t="s">
        <v>405</v>
      </c>
      <c r="B15" s="16">
        <f>'10_CAPEX-INGRESOS-PAGOS'!$B$16</f>
        <v>1183546</v>
      </c>
    </row>
    <row r="16" spans="1:6" x14ac:dyDescent="0.25">
      <c r="A16" t="s">
        <v>406</v>
      </c>
      <c r="B16" s="16">
        <f>B14-B15</f>
        <v>386780.02271999978</v>
      </c>
    </row>
    <row r="17" spans="1:2" x14ac:dyDescent="0.25">
      <c r="A17" s="150" t="s">
        <v>26</v>
      </c>
      <c r="B17" s="240">
        <f>'30_CASHFLOW'!B52</f>
        <v>1.3803175008622091</v>
      </c>
    </row>
  </sheetData>
  <mergeCells count="2">
    <mergeCell ref="D1:F1"/>
    <mergeCell ref="A1:B1"/>
  </mergeCells>
  <conditionalFormatting sqref="E4:F4">
    <cfRule type="cellIs" dxfId="1" priority="2" operator="lessThan">
      <formula>0</formula>
    </cfRule>
    <cfRule type="cellIs" dxfId="0" priority="3" operator="greaterThan">
      <formula>0</formula>
    </cfRule>
  </conditionalFormatting>
  <dataValidations count="3">
    <dataValidation type="list" allowBlank="1" showInputMessage="1" showErrorMessage="1" sqref="B4" xr:uid="{00000000-0002-0000-0000-000000000000}">
      <formula1>"Conservador,Base,Optimista"</formula1>
      <formula2>0</formula2>
    </dataValidation>
    <dataValidation type="list" allowBlank="1" showInputMessage="1" showErrorMessage="1" sqref="B3" xr:uid="{00000000-0002-0000-0000-000001000000}">
      <formula1>"Unifamiliar seg.,Unifamiliar conj.,Plurifamiliar U2C,Plurifamiliar U4C"</formula1>
      <formula2>0</formula2>
    </dataValidation>
    <dataValidation type="list" sqref="B8" xr:uid="{00000000-0002-0000-0000-000002000000}">
      <formula1>"Adverso,Base,Favorable"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A2:I78"/>
  <sheetViews>
    <sheetView topLeftCell="A11" zoomScale="85" zoomScaleNormal="85" workbookViewId="0">
      <selection activeCell="D35" sqref="D35"/>
    </sheetView>
  </sheetViews>
  <sheetFormatPr baseColWidth="10" defaultColWidth="9.140625" defaultRowHeight="15" x14ac:dyDescent="0.25"/>
  <cols>
    <col min="1" max="1" width="35.7109375" style="17" customWidth="1"/>
    <col min="2" max="2" width="15" style="17" customWidth="1"/>
    <col min="3" max="3" width="15.7109375" style="17" customWidth="1"/>
    <col min="4" max="5" width="16.28515625" style="17" customWidth="1"/>
    <col min="6" max="6" width="9.42578125" style="18" customWidth="1"/>
    <col min="7" max="7" width="9.140625" style="17" customWidth="1"/>
    <col min="8" max="8" width="31.7109375" style="17" customWidth="1"/>
    <col min="9" max="9" width="16.28515625" style="17" customWidth="1"/>
    <col min="10" max="13" width="9.140625" style="17" customWidth="1"/>
    <col min="14" max="16384" width="9.140625" style="17"/>
  </cols>
  <sheetData>
    <row r="2" spans="1:9" ht="33" customHeight="1" x14ac:dyDescent="0.25">
      <c r="A2" s="266" t="s">
        <v>370</v>
      </c>
      <c r="B2" s="266"/>
      <c r="C2" s="266"/>
      <c r="D2" s="266"/>
      <c r="E2" s="266"/>
      <c r="F2" s="266"/>
    </row>
    <row r="3" spans="1:9" ht="15.75" customHeight="1" thickBot="1" x14ac:dyDescent="0.3">
      <c r="A3" s="19" t="s">
        <v>29</v>
      </c>
      <c r="B3" s="20" t="s">
        <v>9</v>
      </c>
      <c r="C3" s="20" t="s">
        <v>14</v>
      </c>
      <c r="D3" s="20" t="s">
        <v>17</v>
      </c>
      <c r="E3" s="20" t="s">
        <v>19</v>
      </c>
      <c r="F3" s="21" t="s">
        <v>30</v>
      </c>
      <c r="H3" s="19" t="s">
        <v>29</v>
      </c>
      <c r="I3" s="140" t="str">
        <f>'00_ESTRATEGIA'!B3</f>
        <v>Unifamiliar seg.</v>
      </c>
    </row>
    <row r="4" spans="1:9" x14ac:dyDescent="0.25">
      <c r="A4" s="23" t="s">
        <v>31</v>
      </c>
      <c r="B4" s="24"/>
      <c r="C4" s="24"/>
      <c r="D4" s="24"/>
      <c r="E4" s="24"/>
      <c r="F4" s="25"/>
      <c r="H4" s="23" t="str">
        <f>A4</f>
        <v>Parcela</v>
      </c>
      <c r="I4" s="180"/>
    </row>
    <row r="5" spans="1:9" x14ac:dyDescent="0.25">
      <c r="A5" s="26" t="s">
        <v>32</v>
      </c>
      <c r="B5" s="27">
        <f>'00_ESTRATEGIA'!$B$7</f>
        <v>9290</v>
      </c>
      <c r="C5" s="27">
        <f>'00_ESTRATEGIA'!$B$7</f>
        <v>9290</v>
      </c>
      <c r="D5" s="27">
        <f>'00_ESTRATEGIA'!$B$7</f>
        <v>9290</v>
      </c>
      <c r="E5" s="27">
        <f>'00_ESTRATEGIA'!$B$7</f>
        <v>9290</v>
      </c>
      <c r="F5" s="28" t="s">
        <v>33</v>
      </c>
      <c r="H5" s="26" t="str">
        <f t="shared" ref="H5:H69" si="0">A5</f>
        <v>Superficie parcela bruta</v>
      </c>
      <c r="I5" s="29" cm="1">
        <f t="array" ref="I5">_xlfn.SWITCH($I$3,$B$3,B5,$C$3,C5,$D$3,D5,$E$3,E5)</f>
        <v>9290</v>
      </c>
    </row>
    <row r="6" spans="1:9" x14ac:dyDescent="0.25">
      <c r="A6" s="26" t="s">
        <v>34</v>
      </c>
      <c r="B6" s="219">
        <v>0</v>
      </c>
      <c r="C6" s="219">
        <v>0</v>
      </c>
      <c r="D6" s="219">
        <v>0</v>
      </c>
      <c r="E6" s="219">
        <v>0</v>
      </c>
      <c r="F6" s="238" t="s">
        <v>35</v>
      </c>
      <c r="H6" s="26" t="str">
        <f t="shared" si="0"/>
        <v>% cesiones / afecciones</v>
      </c>
      <c r="I6" s="237">
        <f t="array" ref="I6">_xlfn.SWITCH($I$3,$B$3,B6,$C$3,C6,$D$3,D6,$E$3,E6)</f>
        <v>0</v>
      </c>
    </row>
    <row r="7" spans="1:9" ht="15.75" customHeight="1" thickBot="1" x14ac:dyDescent="0.3">
      <c r="A7" s="30" t="s">
        <v>36</v>
      </c>
      <c r="B7" s="31">
        <f>B5*(1-B6)</f>
        <v>9290</v>
      </c>
      <c r="C7" s="31">
        <f>C5*(1-C6)</f>
        <v>9290</v>
      </c>
      <c r="D7" s="31">
        <f>D5*(1-D6)</f>
        <v>9290</v>
      </c>
      <c r="E7" s="31">
        <f>E5*(1-E6)</f>
        <v>9290</v>
      </c>
      <c r="F7" s="32" t="s">
        <v>33</v>
      </c>
      <c r="H7" s="30" t="str">
        <f t="shared" si="0"/>
        <v>Superficie parcela neta</v>
      </c>
      <c r="I7" s="29" cm="1">
        <f t="array" ref="I7">_xlfn.SWITCH($I$3,$B$3,B7,$C$3,C7,$D$3,D7,$E$3,E7)</f>
        <v>9290</v>
      </c>
    </row>
    <row r="8" spans="1:9" ht="15.75" customHeight="1" thickTop="1" x14ac:dyDescent="0.25">
      <c r="A8" s="23" t="s">
        <v>37</v>
      </c>
      <c r="B8" s="24"/>
      <c r="C8" s="24"/>
      <c r="D8" s="24"/>
      <c r="E8" s="24"/>
      <c r="F8" s="25"/>
      <c r="H8" s="23" t="str">
        <f t="shared" si="0"/>
        <v>Parámetros urbanísticos</v>
      </c>
      <c r="I8" s="180"/>
    </row>
    <row r="9" spans="1:9" x14ac:dyDescent="0.25">
      <c r="A9" s="33" t="s">
        <v>38</v>
      </c>
      <c r="B9" s="34" t="s">
        <v>39</v>
      </c>
      <c r="C9" s="34" t="s">
        <v>39</v>
      </c>
      <c r="D9" s="34" t="s">
        <v>40</v>
      </c>
      <c r="E9" s="34" t="s">
        <v>41</v>
      </c>
      <c r="F9" s="28" t="s">
        <v>42</v>
      </c>
      <c r="H9" s="33" t="str">
        <f t="shared" si="0"/>
        <v>Ordenanza aplicable</v>
      </c>
      <c r="I9" s="35" t="str">
        <f t="array" ref="I9">_xlfn.SWITCH($I$3,$B$3,B9,$C$3,C9,$D$3,D9,$E$3,E9)</f>
        <v>U2</v>
      </c>
    </row>
    <row r="10" spans="1:9" x14ac:dyDescent="0.25">
      <c r="A10" s="26" t="s">
        <v>43</v>
      </c>
      <c r="B10" s="27">
        <f>$B$7</f>
        <v>9290</v>
      </c>
      <c r="C10" s="27">
        <f>$B$7</f>
        <v>9290</v>
      </c>
      <c r="D10" s="27">
        <f>$B$7</f>
        <v>9290</v>
      </c>
      <c r="E10" s="27">
        <f>$B$7</f>
        <v>9290</v>
      </c>
      <c r="F10" s="28" t="s">
        <v>33</v>
      </c>
      <c r="H10" s="26" t="str">
        <f t="shared" si="0"/>
        <v>Superficie ámbito</v>
      </c>
      <c r="I10" s="29">
        <f t="array" ref="I10">_xlfn.SWITCH($I$3,$B$3,B10,$C$3,C10,$D$3,D10,$E$3,E10)</f>
        <v>9290</v>
      </c>
    </row>
    <row r="11" spans="1:9" x14ac:dyDescent="0.25">
      <c r="A11" s="26" t="s">
        <v>44</v>
      </c>
      <c r="B11" s="27">
        <v>0.45</v>
      </c>
      <c r="C11" s="27">
        <v>0.45</v>
      </c>
      <c r="D11" s="27">
        <v>0.45</v>
      </c>
      <c r="E11" s="27">
        <v>0.65</v>
      </c>
      <c r="F11" s="28" t="s">
        <v>45</v>
      </c>
      <c r="H11" s="26" t="str">
        <f t="shared" si="0"/>
        <v>Edificabilidad</v>
      </c>
      <c r="I11" s="29">
        <f t="array" ref="I11">_xlfn.SWITCH($I$3,$B$3,B11,$C$3,C11,$D$3,D11,$E$3,E11)</f>
        <v>0.45</v>
      </c>
    </row>
    <row r="12" spans="1:9" x14ac:dyDescent="0.25">
      <c r="A12" s="26" t="s">
        <v>46</v>
      </c>
      <c r="B12" s="36">
        <v>0.25</v>
      </c>
      <c r="C12" s="36">
        <v>0.25</v>
      </c>
      <c r="D12" s="36">
        <v>0.2</v>
      </c>
      <c r="E12" s="36">
        <v>0.2</v>
      </c>
      <c r="F12" s="37" t="s">
        <v>35</v>
      </c>
      <c r="H12" s="26" t="str">
        <f t="shared" si="0"/>
        <v>Ocupación</v>
      </c>
      <c r="I12" s="38">
        <f t="array" ref="I12">_xlfn.SWITCH($I$3,$B$3,B12,$C$3,C12,$D$3,D12,$E$3,E12)</f>
        <v>0.25</v>
      </c>
    </row>
    <row r="13" spans="1:9" x14ac:dyDescent="0.25">
      <c r="A13" s="26" t="s">
        <v>47</v>
      </c>
      <c r="B13" s="27">
        <v>2</v>
      </c>
      <c r="C13" s="27">
        <v>2</v>
      </c>
      <c r="D13" s="17">
        <v>3</v>
      </c>
      <c r="E13" s="17">
        <v>4</v>
      </c>
      <c r="F13" s="39" t="s">
        <v>48</v>
      </c>
      <c r="H13" s="26" t="str">
        <f t="shared" si="0"/>
        <v>Número máximo de plantas</v>
      </c>
      <c r="I13" s="40">
        <f t="array" ref="I13">_xlfn.SWITCH($I$3,$B$3,B13,$C$3,C13,$D$3,D13,$E$3,E13)</f>
        <v>2</v>
      </c>
    </row>
    <row r="14" spans="1:9" ht="15.75" customHeight="1" thickBot="1" x14ac:dyDescent="0.3">
      <c r="A14" s="26" t="s">
        <v>49</v>
      </c>
      <c r="B14" s="27">
        <v>7</v>
      </c>
      <c r="C14" s="27">
        <v>7</v>
      </c>
      <c r="D14" s="17">
        <v>10</v>
      </c>
      <c r="E14" s="17">
        <v>13</v>
      </c>
      <c r="F14" s="39" t="s">
        <v>50</v>
      </c>
      <c r="H14" s="26" t="str">
        <f t="shared" si="0"/>
        <v>Altura máxima</v>
      </c>
      <c r="I14" s="40">
        <f t="array" ref="I14">_xlfn.SWITCH($I$3,$B$3,B14,$C$3,C14,$D$3,D14,$E$3,E14)</f>
        <v>7</v>
      </c>
    </row>
    <row r="15" spans="1:9" ht="15.75" customHeight="1" thickTop="1" x14ac:dyDescent="0.25">
      <c r="A15" s="41" t="s">
        <v>51</v>
      </c>
      <c r="B15" s="42"/>
      <c r="C15" s="42"/>
      <c r="D15" s="43"/>
      <c r="E15" s="43"/>
      <c r="F15" s="44"/>
      <c r="H15" s="41" t="str">
        <f t="shared" si="0"/>
        <v>Capacidad edificatoria</v>
      </c>
      <c r="I15" s="40">
        <f>_xlfn.SWITCH($I$3,$B$3,B15,$C$3,C15,$D$3,D15,$E$3,E15)</f>
        <v>0</v>
      </c>
    </row>
    <row r="16" spans="1:9" x14ac:dyDescent="0.25">
      <c r="A16" s="45" t="s">
        <v>52</v>
      </c>
      <c r="B16" s="46">
        <f>B10*B11</f>
        <v>4180.5</v>
      </c>
      <c r="C16" s="46">
        <f>C10*C11</f>
        <v>4180.5</v>
      </c>
      <c r="D16" s="46">
        <f>D10*D11</f>
        <v>4180.5</v>
      </c>
      <c r="E16" s="46">
        <f>E10*E11</f>
        <v>6038.5</v>
      </c>
      <c r="F16" s="47" t="s">
        <v>33</v>
      </c>
      <c r="H16" s="45" t="str">
        <f t="shared" si="0"/>
        <v>Techo máximo edificable</v>
      </c>
      <c r="I16" s="48">
        <f t="array" ref="I16">_xlfn.SWITCH($I$3,$B$3,B16,$C$3,C16,$D$3,D16,$E$3,E16)</f>
        <v>4180.5</v>
      </c>
    </row>
    <row r="17" spans="1:9" x14ac:dyDescent="0.25">
      <c r="A17" s="45" t="s">
        <v>53</v>
      </c>
      <c r="B17" s="49">
        <f>B10*B12</f>
        <v>2322.5</v>
      </c>
      <c r="C17" s="49">
        <f>C10*C12</f>
        <v>2322.5</v>
      </c>
      <c r="D17" s="49">
        <f>D10*D12</f>
        <v>1858</v>
      </c>
      <c r="E17" s="49">
        <f>E10*E12</f>
        <v>1858</v>
      </c>
      <c r="F17" s="50" t="s">
        <v>33</v>
      </c>
      <c r="H17" s="45" t="str">
        <f t="shared" si="0"/>
        <v>Huella máxima en planta</v>
      </c>
      <c r="I17" s="51">
        <f t="array" ref="I17">_xlfn.SWITCH($I$3,$B$3,B17,$C$3,C17,$D$3,D17,$E$3,E17)</f>
        <v>2322.5</v>
      </c>
    </row>
    <row r="18" spans="1:9" ht="15.75" customHeight="1" thickBot="1" x14ac:dyDescent="0.3">
      <c r="A18" s="45" t="s">
        <v>54</v>
      </c>
      <c r="B18" s="236">
        <v>1</v>
      </c>
      <c r="C18" s="236">
        <v>1</v>
      </c>
      <c r="D18" s="236">
        <v>0.85</v>
      </c>
      <c r="E18" s="236">
        <v>0.85</v>
      </c>
      <c r="F18" s="50" t="s">
        <v>35</v>
      </c>
      <c r="H18" s="45" t="str">
        <f t="shared" si="0"/>
        <v>Eficiencia edificatoria</v>
      </c>
      <c r="I18" s="235">
        <f t="array" ref="I18">_xlfn.SWITCH($I$3,$B$3,B18,$C$3,C18,$D$3,D18,$E$3,E18)</f>
        <v>1</v>
      </c>
    </row>
    <row r="19" spans="1:9" ht="15.75" customHeight="1" thickTop="1" x14ac:dyDescent="0.25">
      <c r="A19" s="41" t="s">
        <v>55</v>
      </c>
      <c r="B19" s="52"/>
      <c r="C19" s="52"/>
      <c r="D19" s="52"/>
      <c r="E19" s="52"/>
      <c r="F19" s="53"/>
      <c r="H19" s="41" t="str">
        <f t="shared" si="0"/>
        <v>Definición del producto</v>
      </c>
      <c r="I19" s="51"/>
    </row>
    <row r="20" spans="1:9" x14ac:dyDescent="0.25">
      <c r="A20" s="26" t="s">
        <v>56</v>
      </c>
      <c r="B20" s="49">
        <v>700</v>
      </c>
      <c r="C20" s="54" t="s">
        <v>57</v>
      </c>
      <c r="D20" s="54" t="s">
        <v>57</v>
      </c>
      <c r="E20" s="54" t="s">
        <v>57</v>
      </c>
      <c r="F20" s="39" t="s">
        <v>33</v>
      </c>
      <c r="H20" s="26" t="str">
        <f t="shared" si="0"/>
        <v>Parcela mínima</v>
      </c>
      <c r="I20" s="55">
        <f t="array" ref="I20">_xlfn.SWITCH($I$3,$B$3,B20,$C$3,C20,$D$3,D20,$E$3,E20)</f>
        <v>700</v>
      </c>
    </row>
    <row r="21" spans="1:9" x14ac:dyDescent="0.25">
      <c r="A21" s="26" t="s">
        <v>58</v>
      </c>
      <c r="B21" s="56">
        <f>B10/B29</f>
        <v>714.61538461538464</v>
      </c>
      <c r="C21" s="57">
        <f>C10/C29</f>
        <v>546.47058823529414</v>
      </c>
      <c r="D21" s="54" t="s">
        <v>57</v>
      </c>
      <c r="E21" s="54" t="s">
        <v>57</v>
      </c>
      <c r="F21" s="39" t="s">
        <v>33</v>
      </c>
      <c r="H21" s="26" t="str">
        <f t="shared" si="0"/>
        <v>Parcela media</v>
      </c>
      <c r="I21" s="55">
        <f t="array" ref="I21">_xlfn.SWITCH($I$3,$B$3,B21,$C$3,C21,$D$3,D21,$E$3,E21)</f>
        <v>714.61538461538464</v>
      </c>
    </row>
    <row r="22" spans="1:9" x14ac:dyDescent="0.25">
      <c r="A22" s="26" t="s">
        <v>59</v>
      </c>
      <c r="B22" s="56">
        <f>B21*B12</f>
        <v>178.65384615384616</v>
      </c>
      <c r="C22" s="56">
        <f>C21*C12</f>
        <v>136.61764705882354</v>
      </c>
      <c r="D22" s="54" t="s">
        <v>57</v>
      </c>
      <c r="E22" s="54" t="s">
        <v>57</v>
      </c>
      <c r="F22" s="39" t="s">
        <v>33</v>
      </c>
      <c r="H22" s="26" t="str">
        <f t="shared" si="0"/>
        <v>Huella por vivienda</v>
      </c>
      <c r="I22" s="55">
        <f t="array" ref="I22">_xlfn.SWITCH($I$3,$B$3,B22,$C$3,C22,$D$3,D22,$E$3,E22)</f>
        <v>178.65384615384616</v>
      </c>
    </row>
    <row r="23" spans="1:9" x14ac:dyDescent="0.25">
      <c r="A23" s="26" t="s">
        <v>60</v>
      </c>
      <c r="B23" s="57">
        <f>B21-B22</f>
        <v>535.96153846153845</v>
      </c>
      <c r="C23" s="57">
        <f>C21-C22</f>
        <v>409.85294117647061</v>
      </c>
      <c r="D23" s="54" t="s">
        <v>57</v>
      </c>
      <c r="E23" s="54" t="s">
        <v>57</v>
      </c>
      <c r="F23" s="39" t="s">
        <v>33</v>
      </c>
      <c r="H23" s="26" t="str">
        <f t="shared" si="0"/>
        <v>Parcela libre</v>
      </c>
      <c r="I23" s="55">
        <f t="array" ref="I23">_xlfn.SWITCH($I$3,$B$3,B23,$C$3,C23,$D$3,D23,$E$3,E23)</f>
        <v>535.96153846153845</v>
      </c>
    </row>
    <row r="24" spans="1:9" x14ac:dyDescent="0.25">
      <c r="A24" s="26" t="s">
        <v>61</v>
      </c>
      <c r="B24" s="27">
        <v>240</v>
      </c>
      <c r="C24" s="27">
        <v>240</v>
      </c>
      <c r="D24" s="17">
        <v>90</v>
      </c>
      <c r="E24" s="17">
        <v>90</v>
      </c>
      <c r="F24" s="39" t="s">
        <v>33</v>
      </c>
      <c r="H24" s="26" t="str">
        <f t="shared" si="0"/>
        <v>Tamaño mínimo vivienda</v>
      </c>
      <c r="I24" s="40">
        <f t="array" ref="I24">_xlfn.SWITCH($I$3,$B$3,B24,$C$3,C24,$D$3,D24,$E$3,E24)</f>
        <v>240</v>
      </c>
    </row>
    <row r="25" spans="1:9" x14ac:dyDescent="0.25">
      <c r="A25" s="26" t="s">
        <v>62</v>
      </c>
      <c r="B25" s="57">
        <f>B16/B29</f>
        <v>321.57692307692309</v>
      </c>
      <c r="C25" s="57">
        <f>C16/C29</f>
        <v>245.91176470588235</v>
      </c>
      <c r="D25" s="54">
        <f>D24</f>
        <v>90</v>
      </c>
      <c r="E25" s="54">
        <f>E24</f>
        <v>90</v>
      </c>
      <c r="F25" s="39" t="s">
        <v>33</v>
      </c>
      <c r="H25" s="26" t="str">
        <f t="shared" si="0"/>
        <v>Tamaño máximo vivienda</v>
      </c>
      <c r="I25" s="55">
        <f t="array" ref="I25">_xlfn.SWITCH($I$3,$B$3,B25,$C$3,C25,$D$3,D25,$E$3,E25)</f>
        <v>321.57692307692309</v>
      </c>
    </row>
    <row r="26" spans="1:9" ht="15.75" customHeight="1" thickBot="1" x14ac:dyDescent="0.3">
      <c r="A26" s="26" t="s">
        <v>63</v>
      </c>
      <c r="B26" s="56">
        <f>B24</f>
        <v>240</v>
      </c>
      <c r="C26" s="56">
        <f>C24</f>
        <v>240</v>
      </c>
      <c r="D26" s="56">
        <f>D24</f>
        <v>90</v>
      </c>
      <c r="E26" s="56">
        <f>E24</f>
        <v>90</v>
      </c>
      <c r="F26" s="58" t="s">
        <v>33</v>
      </c>
      <c r="H26" s="26" t="str">
        <f t="shared" si="0"/>
        <v>Tamaño elegido vivienda</v>
      </c>
      <c r="I26" s="59">
        <f t="array" ref="I26">_xlfn.SWITCH($I$3,$B$3,B26,$C$3,C26,$D$3,D26,$E$3,E26)</f>
        <v>240</v>
      </c>
    </row>
    <row r="27" spans="1:9" ht="15.75" customHeight="1" thickTop="1" x14ac:dyDescent="0.25">
      <c r="A27" s="41" t="s">
        <v>64</v>
      </c>
      <c r="B27" s="43"/>
      <c r="C27" s="43"/>
      <c r="D27" s="43"/>
      <c r="E27" s="43"/>
      <c r="F27" s="44"/>
      <c r="H27" s="41" t="str">
        <f t="shared" si="0"/>
        <v>Resultado físico del proyecto</v>
      </c>
      <c r="I27" s="40"/>
    </row>
    <row r="28" spans="1:9" x14ac:dyDescent="0.25">
      <c r="A28" s="45" t="s">
        <v>65</v>
      </c>
      <c r="B28" s="49">
        <f>B26</f>
        <v>240</v>
      </c>
      <c r="C28" s="49">
        <f>C26</f>
        <v>240</v>
      </c>
      <c r="D28" s="49">
        <f>D26</f>
        <v>90</v>
      </c>
      <c r="E28" s="49">
        <f>E26</f>
        <v>90</v>
      </c>
      <c r="F28" s="50" t="s">
        <v>33</v>
      </c>
      <c r="H28" s="45" t="str">
        <f t="shared" si="0"/>
        <v>Superficie construida media</v>
      </c>
      <c r="I28" s="51">
        <f t="array" ref="I28">_xlfn.SWITCH($I$3,$B$3,B28,$C$3,C28,$D$3,D28,$E$3,E28)</f>
        <v>240</v>
      </c>
    </row>
    <row r="29" spans="1:9" x14ac:dyDescent="0.25">
      <c r="A29" s="45" t="s">
        <v>66</v>
      </c>
      <c r="B29" s="60">
        <f>INT(IF(B20&lt;&gt;"No aplica",INT(B10/B20),B16*B18/B24))</f>
        <v>13</v>
      </c>
      <c r="C29" s="60">
        <f>INT(IF(C20&lt;&gt;"No aplica",INT(C10/C20),C16*C18/C24))</f>
        <v>17</v>
      </c>
      <c r="D29" s="60">
        <f>INT(IF(D20&lt;&gt;"No aplica",INT(D10/D20),D16*D18/D24))</f>
        <v>39</v>
      </c>
      <c r="E29" s="60">
        <f>INT(IF(E20&lt;&gt;"No aplica",INT(E10/E20),E16*E18/E24))</f>
        <v>57</v>
      </c>
      <c r="F29" s="50" t="s">
        <v>67</v>
      </c>
      <c r="H29" s="45" t="str">
        <f t="shared" si="0"/>
        <v>Número estimado de unidades</v>
      </c>
      <c r="I29" s="61">
        <f t="array" ref="I29">_xlfn.SWITCH($I$3,$B$3,B29,$C$3,C29,$D$3,D29,$E$3,E29)</f>
        <v>13</v>
      </c>
    </row>
    <row r="30" spans="1:9" ht="15.75" customHeight="1" thickBot="1" x14ac:dyDescent="0.3">
      <c r="A30" s="45" t="s">
        <v>68</v>
      </c>
      <c r="B30" s="49">
        <f>B28/B13</f>
        <v>120</v>
      </c>
      <c r="C30" s="49">
        <f>C28/C13</f>
        <v>120</v>
      </c>
      <c r="D30" s="49">
        <f>D29*D28/D13</f>
        <v>1170</v>
      </c>
      <c r="E30" s="49">
        <f>E29*E28/E13</f>
        <v>1282.5</v>
      </c>
      <c r="F30" s="50" t="s">
        <v>33</v>
      </c>
      <c r="H30" s="45" t="str">
        <f t="shared" si="0"/>
        <v>Huella en planta</v>
      </c>
      <c r="I30" s="51">
        <f t="array" ref="I30">_xlfn.SWITCH($I$3,$B$3,B30,$C$3,C30,$D$3,D30,$E$3,E30)</f>
        <v>120</v>
      </c>
    </row>
    <row r="31" spans="1:9" ht="15.75" customHeight="1" thickTop="1" x14ac:dyDescent="0.25">
      <c r="A31" s="62" t="s">
        <v>69</v>
      </c>
      <c r="B31" s="63"/>
      <c r="C31" s="63"/>
      <c r="D31" s="63"/>
      <c r="E31" s="63"/>
      <c r="F31" s="64"/>
      <c r="H31" s="62" t="str">
        <f t="shared" si="0"/>
        <v>Variables temporales</v>
      </c>
      <c r="I31" s="58"/>
    </row>
    <row r="32" spans="1:9" x14ac:dyDescent="0.25">
      <c r="A32" s="27" t="s">
        <v>70</v>
      </c>
      <c r="B32" s="27">
        <v>0</v>
      </c>
      <c r="C32" s="27">
        <v>0</v>
      </c>
      <c r="D32" s="27">
        <v>0</v>
      </c>
      <c r="E32" s="27">
        <v>0</v>
      </c>
      <c r="F32" s="39" t="s">
        <v>71</v>
      </c>
      <c r="H32" s="27" t="str">
        <f t="shared" si="0"/>
        <v>Año inicio proyecto</v>
      </c>
      <c r="I32" s="29">
        <f t="array" ref="I32">_xlfn.SWITCH($I$3,$B$3,B32,$C$3,C32,$D$3,D32,$E$3,E32)</f>
        <v>0</v>
      </c>
    </row>
    <row r="33" spans="1:9" x14ac:dyDescent="0.25">
      <c r="A33" s="27" t="s">
        <v>72</v>
      </c>
      <c r="B33" s="65">
        <f t="array" ref="B33">5*(1+_xlfn.SWITCH('02_ESCENARIOS'!$G$2,'02_ESCENARIOS'!$B$2,'02_ESCENARIOS'!$B$17,'02_ESCENARIOS'!$C$2,'02_ESCENARIOS'!$C$17,'02_ESCENARIOS'!$D$2,'02_ESCENARIOS'!$D$17))</f>
        <v>5</v>
      </c>
      <c r="C33" s="65">
        <f t="array" ref="C33">5*(1+_xlfn.SWITCH('02_ESCENARIOS'!$G$2,'02_ESCENARIOS'!$B$2,'02_ESCENARIOS'!$B$17,'02_ESCENARIOS'!$C$2,'02_ESCENARIOS'!$C$17,'02_ESCENARIOS'!$D$2,'02_ESCENARIOS'!$D$17))</f>
        <v>5</v>
      </c>
      <c r="D33" s="65">
        <f t="array" ref="D33">5*(1+_xlfn.SWITCH('02_ESCENARIOS'!$G$2,'02_ESCENARIOS'!$B$2,'02_ESCENARIOS'!$B$17,'02_ESCENARIOS'!$C$2,'02_ESCENARIOS'!$C$17,'02_ESCENARIOS'!$D$2,'02_ESCENARIOS'!$D$17))</f>
        <v>5</v>
      </c>
      <c r="E33" s="65">
        <f t="array" ref="E33">5*(1+_xlfn.SWITCH('02_ESCENARIOS'!$G$2,'02_ESCENARIOS'!$B$2,'02_ESCENARIOS'!$B$17,'02_ESCENARIOS'!$C$2,'02_ESCENARIOS'!$C$17,'02_ESCENARIOS'!$D$2,'02_ESCENARIOS'!$D$17))</f>
        <v>5</v>
      </c>
      <c r="F33" s="39" t="s">
        <v>73</v>
      </c>
      <c r="H33" s="27" t="str">
        <f t="shared" si="0"/>
        <v>Fase de diseño</v>
      </c>
      <c r="I33" s="66">
        <f t="array" ref="I33">_xlfn.SWITCH($I$3,$B$3,B33,$C$3,C33,$D$3,D33,$E$3,E33)</f>
        <v>5</v>
      </c>
    </row>
    <row r="34" spans="1:9" ht="15" customHeight="1" x14ac:dyDescent="0.25">
      <c r="A34" s="27" t="s">
        <v>74</v>
      </c>
      <c r="B34" s="65">
        <f t="array" ref="B34">6*(1+_xlfn.SWITCH('02_ESCENARIOS'!$G$2,'02_ESCENARIOS'!$B$2,'02_ESCENARIOS'!$B$17,'02_ESCENARIOS'!$C$2,'02_ESCENARIOS'!$C$17,'02_ESCENARIOS'!$D$2,'02_ESCENARIOS'!$D$17))</f>
        <v>6</v>
      </c>
      <c r="C34" s="65">
        <f t="array" ref="C34">6*(1+_xlfn.SWITCH('02_ESCENARIOS'!$G$2,'02_ESCENARIOS'!$B$2,'02_ESCENARIOS'!$B$17,'02_ESCENARIOS'!$C$2,'02_ESCENARIOS'!$C$17,'02_ESCENARIOS'!$D$2,'02_ESCENARIOS'!$D$17))</f>
        <v>6</v>
      </c>
      <c r="D34" s="65">
        <f t="array" ref="D34">6*(1+_xlfn.SWITCH('02_ESCENARIOS'!$G$2,'02_ESCENARIOS'!$B$2,'02_ESCENARIOS'!$B$17,'02_ESCENARIOS'!$C$2,'02_ESCENARIOS'!$C$17,'02_ESCENARIOS'!$D$2,'02_ESCENARIOS'!$D$17))</f>
        <v>6</v>
      </c>
      <c r="E34" s="65">
        <f t="array" ref="E34">6*(1+_xlfn.SWITCH('02_ESCENARIOS'!$G$2,'02_ESCENARIOS'!$B$2,'02_ESCENARIOS'!$B$17,'02_ESCENARIOS'!$C$2,'02_ESCENARIOS'!$C$17,'02_ESCENARIOS'!$D$2,'02_ESCENARIOS'!$D$17))</f>
        <v>6</v>
      </c>
      <c r="F34" s="55" t="s">
        <v>73</v>
      </c>
      <c r="H34" s="27" t="str">
        <f t="shared" si="0"/>
        <v>Fase de licitaciones y permisos</v>
      </c>
      <c r="I34" s="66">
        <f t="array" ref="I34">_xlfn.SWITCH($I$3,$B$3,B34,$C$3,C34,$D$3,D34,$E$3,E34)</f>
        <v>6</v>
      </c>
    </row>
    <row r="35" spans="1:9" x14ac:dyDescent="0.25">
      <c r="A35" s="27" t="s">
        <v>75</v>
      </c>
      <c r="B35" s="65">
        <f>B32+(B33+B34)</f>
        <v>11</v>
      </c>
      <c r="C35" s="65">
        <f>C32+(C33+C34)</f>
        <v>11</v>
      </c>
      <c r="D35" s="65">
        <f>D32+(D33+D34)</f>
        <v>11</v>
      </c>
      <c r="E35" s="65">
        <f>E32+(E33+E34)</f>
        <v>11</v>
      </c>
      <c r="F35" s="39" t="s">
        <v>76</v>
      </c>
      <c r="H35" s="27" t="str">
        <f t="shared" si="0"/>
        <v xml:space="preserve">Inicio obra </v>
      </c>
      <c r="I35" s="66">
        <f t="array" ref="I35">_xlfn.SWITCH($I$3,$B$3,B35,$C$3,C35,$D$3,D35,$E$3,E35)</f>
        <v>11</v>
      </c>
    </row>
    <row r="36" spans="1:9" x14ac:dyDescent="0.25">
      <c r="A36" s="27" t="s">
        <v>77</v>
      </c>
      <c r="B36" s="65">
        <f t="array" ref="B36">24*(1+_xlfn.SWITCH('02_ESCENARIOS'!$G$2,'02_ESCENARIOS'!B2,'02_ESCENARIOS'!B17,'02_ESCENARIOS'!C2,'02_ESCENARIOS'!C17,'02_ESCENARIOS'!D2,'02_ESCENARIOS'!D17))</f>
        <v>24</v>
      </c>
      <c r="C36" s="65">
        <f t="array" ref="C36">24*(1+_xlfn.SWITCH('02_ESCENARIOS'!$G$2,'02_ESCENARIOS'!B2,'02_ESCENARIOS'!B17,'02_ESCENARIOS'!C2,'02_ESCENARIOS'!C17,'02_ESCENARIOS'!D2,'02_ESCENARIOS'!D17))</f>
        <v>24</v>
      </c>
      <c r="D36" s="65">
        <f t="array" ref="D36">25*(1+_xlfn.SWITCH('02_ESCENARIOS'!$G$2,'02_ESCENARIOS'!B2,'02_ESCENARIOS'!B17,'02_ESCENARIOS'!C2,'02_ESCENARIOS'!C17,'02_ESCENARIOS'!D2,'02_ESCENARIOS'!D17))</f>
        <v>25</v>
      </c>
      <c r="E36" s="65">
        <f t="array" ref="E36">27*(1+_xlfn.SWITCH('02_ESCENARIOS'!$G$2,'02_ESCENARIOS'!B2,'02_ESCENARIOS'!B17,'02_ESCENARIOS'!C2,'02_ESCENARIOS'!C17,'02_ESCENARIOS'!D2,'02_ESCENARIOS'!D17))</f>
        <v>27</v>
      </c>
      <c r="F36" s="39" t="s">
        <v>73</v>
      </c>
      <c r="H36" s="27" t="str">
        <f t="shared" si="0"/>
        <v>Duración obra (meses)</v>
      </c>
      <c r="I36" s="66">
        <f t="array" ref="I36">_xlfn.SWITCH($I$3,$B$3,B36,$C$3,C36,$D$3,D36,$E$3,E36)</f>
        <v>24</v>
      </c>
    </row>
    <row r="37" spans="1:9" ht="15.75" customHeight="1" thickBot="1" x14ac:dyDescent="0.3">
      <c r="A37" s="27" t="s">
        <v>78</v>
      </c>
      <c r="B37" s="65">
        <f>B35+B36</f>
        <v>35</v>
      </c>
      <c r="C37" s="65">
        <f>C35+C36</f>
        <v>35</v>
      </c>
      <c r="D37" s="65">
        <f>D35+D36</f>
        <v>36</v>
      </c>
      <c r="E37" s="65">
        <f>E35+E36</f>
        <v>38</v>
      </c>
      <c r="F37" s="39" t="s">
        <v>76</v>
      </c>
      <c r="H37" s="27" t="str">
        <f t="shared" si="0"/>
        <v>Fin obra</v>
      </c>
      <c r="I37" s="66">
        <f t="array" ref="I37">_xlfn.SWITCH($I$3,$B$3,B37,$C$3,C37,$D$3,D37,$E$3,E37)</f>
        <v>35</v>
      </c>
    </row>
    <row r="38" spans="1:9" ht="15.75" customHeight="1" thickTop="1" x14ac:dyDescent="0.25">
      <c r="A38" s="62" t="s">
        <v>79</v>
      </c>
      <c r="B38" s="63"/>
      <c r="C38" s="63"/>
      <c r="D38" s="63"/>
      <c r="E38" s="63"/>
      <c r="F38" s="64"/>
      <c r="H38" s="62" t="str">
        <f t="shared" si="0"/>
        <v>Variables de coste</v>
      </c>
      <c r="I38" s="58">
        <f>_xlfn.SWITCH($I$3,$B$3,B38,$C$3,C38,$D$3,D38,$E$3,E38)</f>
        <v>0</v>
      </c>
    </row>
    <row r="39" spans="1:9" x14ac:dyDescent="0.25">
      <c r="A39" s="45" t="s">
        <v>80</v>
      </c>
      <c r="B39" s="67">
        <v>1323</v>
      </c>
      <c r="C39" s="67">
        <f>B39</f>
        <v>1323</v>
      </c>
      <c r="D39" s="67">
        <f>C39</f>
        <v>1323</v>
      </c>
      <c r="E39" s="67">
        <f>D39</f>
        <v>1323</v>
      </c>
      <c r="F39" s="28" t="s">
        <v>81</v>
      </c>
      <c r="H39" s="45" t="str">
        <f t="shared" si="0"/>
        <v>Coste ejecución material</v>
      </c>
      <c r="I39" s="68">
        <f t="array" ref="I39">_xlfn.SWITCH($I$3,$B$3,B39,$C$3,C39,$D$3,D39,$E$3,E39)</f>
        <v>1323</v>
      </c>
    </row>
    <row r="40" spans="1:9" x14ac:dyDescent="0.25">
      <c r="A40" s="45" t="s">
        <v>82</v>
      </c>
      <c r="B40" s="67">
        <v>1.1200000000000001</v>
      </c>
      <c r="C40" s="67">
        <v>1.08</v>
      </c>
      <c r="D40" s="67">
        <v>0.92</v>
      </c>
      <c r="E40" s="67">
        <v>0.97</v>
      </c>
      <c r="F40" s="28" t="s">
        <v>42</v>
      </c>
      <c r="H40" s="45" t="str">
        <f t="shared" si="0"/>
        <v>Factor tipología</v>
      </c>
      <c r="I40" s="68">
        <f t="array" ref="I40">_xlfn.SWITCH($I$3,$B$3,B40,$C$3,C40,$D$3,D40,$E$3,E40)</f>
        <v>1.1200000000000001</v>
      </c>
    </row>
    <row r="41" spans="1:9" x14ac:dyDescent="0.25">
      <c r="A41" s="69" t="s">
        <v>83</v>
      </c>
      <c r="B41" s="236">
        <f t="array" ref="B41">20%+_xlfn.SWITCH('00_ESTRATEGIA'!$B$4,'02_ESCENARIOS'!$B$2,'02_ESCENARIOS'!$B4,'02_ESCENARIOS'!$C$2,'02_ESCENARIOS'!$C4,'02_ESCENARIOS'!$D$2,'02_ESCENARIOS'!$D4)</f>
        <v>0.2</v>
      </c>
      <c r="C41" s="236">
        <f>B41</f>
        <v>0.2</v>
      </c>
      <c r="D41" s="236">
        <f>C41</f>
        <v>0.2</v>
      </c>
      <c r="E41" s="236">
        <f>D41</f>
        <v>0.2</v>
      </c>
      <c r="F41" s="234" t="s">
        <v>35</v>
      </c>
      <c r="H41" s="69" t="str">
        <f t="shared" si="0"/>
        <v>Gastos generales + BI</v>
      </c>
      <c r="I41" s="235">
        <f t="array" ref="I41">_xlfn.SWITCH($I$3,$B$3,B41,$C$3,C41,$D$3,D41,$E$3,E41)</f>
        <v>0.2</v>
      </c>
    </row>
    <row r="42" spans="1:9" x14ac:dyDescent="0.25">
      <c r="A42" s="45" t="s">
        <v>84</v>
      </c>
      <c r="B42" s="233" cm="1">
        <f t="array" ref="B42">7.5%+_xlfn.SWITCH('00_ESTRATEGIA'!$B$4,'02_ESCENARIOS'!$B$2,'02_ESCENARIOS'!$B5,'02_ESCENARIOS'!$C$2,'02_ESCENARIOS'!$C5,'02_ESCENARIOS'!$D$2,'02_ESCENARIOS'!$D5)</f>
        <v>7.4999999999999997E-2</v>
      </c>
      <c r="C42" s="233">
        <f t="array" ref="C42">7%+_xlfn.SWITCH('00_ESTRATEGIA'!$B$4,'02_ESCENARIOS'!$B$2,'02_ESCENARIOS'!$B5,'02_ESCENARIOS'!$C$2,'02_ESCENARIOS'!$C5,'02_ESCENARIOS'!$D$2,'02_ESCENARIOS'!$D5)</f>
        <v>7.0000000000000007E-2</v>
      </c>
      <c r="D42" s="233">
        <f t="array" ref="D42">6%+_xlfn.SWITCH('00_ESTRATEGIA'!$B$4,'02_ESCENARIOS'!$B$2,'02_ESCENARIOS'!$B5,'02_ESCENARIOS'!$C$2,'02_ESCENARIOS'!$C5,'02_ESCENARIOS'!$D$2,'02_ESCENARIOS'!$D5)</f>
        <v>0.06</v>
      </c>
      <c r="E42" s="233">
        <f t="array" ref="E42">6%+_xlfn.SWITCH('00_ESTRATEGIA'!$B$4,'02_ESCENARIOS'!$B$2,'02_ESCENARIOS'!$B5,'02_ESCENARIOS'!$C$2,'02_ESCENARIOS'!$C5,'02_ESCENARIOS'!$D$2,'02_ESCENARIOS'!$D5)</f>
        <v>0.06</v>
      </c>
      <c r="F42" s="234" t="s">
        <v>35</v>
      </c>
      <c r="H42" s="45" t="str">
        <f t="shared" si="0"/>
        <v>Contingencia</v>
      </c>
      <c r="I42" s="232">
        <f t="array" ref="I42">_xlfn.SWITCH($I$3,$B$3,B42,$C$3,C42,$D$3,D42,$E$3,E42)</f>
        <v>7.4999999999999997E-2</v>
      </c>
    </row>
    <row r="43" spans="1:9" x14ac:dyDescent="0.25">
      <c r="A43" s="45" t="s">
        <v>85</v>
      </c>
      <c r="B43" s="233">
        <f t="array" ref="B43">4.5%+_xlfn.SWITCH('00_ESTRATEGIA'!$B$4,'02_ESCENARIOS'!$B$2,'02_ESCENARIOS'!$B6,'02_ESCENARIOS'!$C$2,'02_ESCENARIOS'!$C6,'02_ESCENARIOS'!$D$2,'02_ESCENARIOS'!$D6)</f>
        <v>4.4999999999999998E-2</v>
      </c>
      <c r="C43" s="233">
        <f>B43</f>
        <v>4.4999999999999998E-2</v>
      </c>
      <c r="D43" s="233">
        <f>C43</f>
        <v>4.4999999999999998E-2</v>
      </c>
      <c r="E43" s="233">
        <f>D43</f>
        <v>4.4999999999999998E-2</v>
      </c>
      <c r="F43" s="234" t="s">
        <v>35</v>
      </c>
      <c r="H43" s="45" t="str">
        <f t="shared" si="0"/>
        <v>Licencias y tasas</v>
      </c>
      <c r="I43" s="232">
        <f t="array" ref="I43">_xlfn.SWITCH($I$3,$B$3,B43,$C$3,C43,$D$3,D43,$E$3,E43)</f>
        <v>4.4999999999999998E-2</v>
      </c>
    </row>
    <row r="44" spans="1:9" x14ac:dyDescent="0.25">
      <c r="A44" s="70" t="s">
        <v>86</v>
      </c>
      <c r="B44" s="231">
        <f t="array" ref="B44">8%+_xlfn.SWITCH('00_ESTRATEGIA'!$B$4,'02_ESCENARIOS'!$B$2,'02_ESCENARIOS'!$B7,'02_ESCENARIOS'!$C$2,'02_ESCENARIOS'!$C7,'02_ESCENARIOS'!$D$2,'02_ESCENARIOS'!$D7)</f>
        <v>0.08</v>
      </c>
      <c r="C44" s="231">
        <f t="array" ref="C44">8%+_xlfn.SWITCH('00_ESTRATEGIA'!$B$4,'02_ESCENARIOS'!$B$2,'02_ESCENARIOS'!$B7,'02_ESCENARIOS'!$C$2,'02_ESCENARIOS'!$C7,'02_ESCENARIOS'!$D$2,'02_ESCENARIOS'!$D7)</f>
        <v>0.08</v>
      </c>
      <c r="D44" s="231">
        <f t="array" ref="D44">9%+_xlfn.SWITCH('00_ESTRATEGIA'!$B$4,'02_ESCENARIOS'!$B$2,'02_ESCENARIOS'!$B7,'02_ESCENARIOS'!$C$2,'02_ESCENARIOS'!$C7,'02_ESCENARIOS'!$D$2,'02_ESCENARIOS'!$D7)</f>
        <v>0.09</v>
      </c>
      <c r="E44" s="231">
        <f t="array" ref="E44">9%+_xlfn.SWITCH('00_ESTRATEGIA'!$B$4,'02_ESCENARIOS'!$B$2,'02_ESCENARIOS'!$B7,'02_ESCENARIOS'!$C$2,'02_ESCENARIOS'!$C7,'02_ESCENARIOS'!$D$2,'02_ESCENARIOS'!$D7)</f>
        <v>0.09</v>
      </c>
      <c r="F44" s="71" t="s">
        <v>35</v>
      </c>
      <c r="H44" s="70" t="str">
        <f t="shared" si="0"/>
        <v>Honorarios técnicos</v>
      </c>
      <c r="I44" s="232">
        <f t="array" ref="I44">_xlfn.SWITCH($I$3,$B$3,B44,$C$3,C44,$D$3,D44,$E$3,E44)</f>
        <v>0.08</v>
      </c>
    </row>
    <row r="45" spans="1:9" x14ac:dyDescent="0.25">
      <c r="A45" s="45"/>
      <c r="B45" s="233"/>
      <c r="C45" s="233"/>
      <c r="D45" s="233"/>
      <c r="E45" s="233"/>
      <c r="F45" s="175"/>
      <c r="H45" s="72"/>
      <c r="I45" s="233"/>
    </row>
    <row r="46" spans="1:9" ht="26.25" x14ac:dyDescent="0.25">
      <c r="A46" s="267" t="s">
        <v>371</v>
      </c>
      <c r="B46" s="267"/>
      <c r="C46" s="267"/>
      <c r="D46" s="267"/>
      <c r="E46" s="267"/>
      <c r="F46" s="268"/>
    </row>
    <row r="47" spans="1:9" ht="15" customHeight="1" thickBot="1" x14ac:dyDescent="0.3">
      <c r="A47" s="176" t="s">
        <v>29</v>
      </c>
      <c r="B47" s="176" t="s">
        <v>9</v>
      </c>
      <c r="C47" s="176" t="s">
        <v>14</v>
      </c>
      <c r="D47" s="176" t="s">
        <v>17</v>
      </c>
      <c r="E47" s="176" t="s">
        <v>19</v>
      </c>
      <c r="F47" s="177" t="s">
        <v>30</v>
      </c>
      <c r="H47" s="176" t="s">
        <v>29</v>
      </c>
      <c r="I47" s="181" t="str">
        <f>I3</f>
        <v>Unifamiliar seg.</v>
      </c>
    </row>
    <row r="48" spans="1:9" ht="15.75" thickTop="1" x14ac:dyDescent="0.25">
      <c r="A48" s="186" t="s">
        <v>87</v>
      </c>
      <c r="B48" s="187"/>
      <c r="C48" s="187"/>
      <c r="D48" s="187"/>
      <c r="E48" s="187"/>
      <c r="F48" s="188"/>
      <c r="H48" s="178" t="str">
        <f t="shared" si="0"/>
        <v>VENTA</v>
      </c>
      <c r="I48" s="179"/>
    </row>
    <row r="49" spans="1:9" x14ac:dyDescent="0.25">
      <c r="A49" s="74" t="s">
        <v>88</v>
      </c>
      <c r="B49" s="75"/>
      <c r="C49" s="75"/>
      <c r="D49" s="75"/>
      <c r="E49" s="27"/>
      <c r="F49" s="39"/>
      <c r="H49" s="74" t="str">
        <f t="shared" si="0"/>
        <v>Vivienda</v>
      </c>
      <c r="I49" s="29"/>
    </row>
    <row r="50" spans="1:9" x14ac:dyDescent="0.25">
      <c r="A50" s="26" t="s">
        <v>89</v>
      </c>
      <c r="B50" s="27">
        <v>603759</v>
      </c>
      <c r="C50" s="27">
        <v>603759</v>
      </c>
      <c r="D50" s="27">
        <v>314318</v>
      </c>
      <c r="E50" s="27">
        <v>314318</v>
      </c>
      <c r="F50" s="39" t="s">
        <v>350</v>
      </c>
      <c r="H50" s="26" t="str">
        <f t="shared" si="0"/>
        <v>Precio venta ML</v>
      </c>
      <c r="I50" s="29">
        <f t="array" ref="I50">_xlfn.SWITCH($I$3,$B$3,B50,$C$3,C50,$D$3,D50,$E$3,E50)</f>
        <v>603759</v>
      </c>
    </row>
    <row r="51" spans="1:9" x14ac:dyDescent="0.25">
      <c r="A51" s="26" t="s">
        <v>368</v>
      </c>
      <c r="B51" s="27">
        <v>240</v>
      </c>
      <c r="C51" s="27">
        <v>240</v>
      </c>
      <c r="D51" s="27">
        <v>90</v>
      </c>
      <c r="E51" s="27">
        <v>90</v>
      </c>
      <c r="F51" s="39" t="s">
        <v>33</v>
      </c>
      <c r="H51" s="26" t="str">
        <f t="shared" si="0"/>
        <v>Superficie construida</v>
      </c>
      <c r="I51" s="29">
        <f t="array" ref="I51">_xlfn.SWITCH($I$3,$B$3,B51,$C$3,C51,$D$3,D51,$E$3,E51)</f>
        <v>240</v>
      </c>
    </row>
    <row r="52" spans="1:9" x14ac:dyDescent="0.25">
      <c r="A52" s="76" t="s">
        <v>90</v>
      </c>
      <c r="B52" s="77">
        <v>1.1000000000000001</v>
      </c>
      <c r="C52" s="77">
        <v>1.05</v>
      </c>
      <c r="D52" s="77">
        <v>1</v>
      </c>
      <c r="E52" s="77">
        <v>1</v>
      </c>
      <c r="F52" s="39" t="s">
        <v>351</v>
      </c>
      <c r="H52" s="76" t="str">
        <f t="shared" si="0"/>
        <v>Precio corregido por perfil comprador</v>
      </c>
      <c r="I52" s="78">
        <f t="array" ref="I52">_xlfn.SWITCH($I$3,$B$3,B52,$C$3,C52,$D$3,D52,$E$3,E52)</f>
        <v>1.1000000000000001</v>
      </c>
    </row>
    <row r="53" spans="1:9" x14ac:dyDescent="0.25">
      <c r="A53" s="26" t="s">
        <v>369</v>
      </c>
      <c r="B53" s="27">
        <f>B50*B52</f>
        <v>664134.9</v>
      </c>
      <c r="C53" s="27">
        <f>C50*C52</f>
        <v>633946.95000000007</v>
      </c>
      <c r="D53" s="27">
        <f>D50*D52</f>
        <v>314318</v>
      </c>
      <c r="E53" s="27">
        <f>E50*E52</f>
        <v>314318</v>
      </c>
      <c r="F53" s="39" t="s">
        <v>350</v>
      </c>
      <c r="H53" s="26" t="str">
        <f t="shared" si="0"/>
        <v>Precio medio por unidad</v>
      </c>
      <c r="I53" s="29">
        <f t="array" ref="I53">_xlfn.SWITCH($I$3,$B$3,B53,$C$3,C53,$D$3,D53,$E$3,E53)</f>
        <v>664134.9</v>
      </c>
    </row>
    <row r="54" spans="1:9" x14ac:dyDescent="0.25">
      <c r="A54" s="79" t="s">
        <v>31</v>
      </c>
      <c r="B54" s="80"/>
      <c r="C54" s="80"/>
      <c r="D54" s="80"/>
      <c r="E54" s="80"/>
      <c r="F54" s="39"/>
      <c r="H54" s="79" t="str">
        <f t="shared" si="0"/>
        <v>Parcela</v>
      </c>
      <c r="I54" s="81">
        <f t="array" ref="I54">_xlfn.SWITCH($I$3,$B$3,B54,$C$3,C54,$D$3,D54,$E$3,E54)</f>
        <v>0</v>
      </c>
    </row>
    <row r="55" spans="1:9" x14ac:dyDescent="0.25">
      <c r="A55" s="26" t="s">
        <v>367</v>
      </c>
      <c r="B55" s="56">
        <f>'01_MODELO'!B21</f>
        <v>714.61538461538464</v>
      </c>
      <c r="C55" s="56">
        <f>'01_MODELO'!C21</f>
        <v>546.47058823529414</v>
      </c>
      <c r="D55" s="27" t="s">
        <v>57</v>
      </c>
      <c r="E55" s="27" t="s">
        <v>57</v>
      </c>
      <c r="F55" s="39" t="s">
        <v>33</v>
      </c>
      <c r="H55" s="26" t="str">
        <f t="shared" si="0"/>
        <v>Superficie parcela</v>
      </c>
      <c r="I55" s="29">
        <f t="array" ref="I55">_xlfn.SWITCH($I$3,$B$3,B55,$C$3,C55,$D$3,D55,$E$3,E55)</f>
        <v>714.61538461538464</v>
      </c>
    </row>
    <row r="56" spans="1:9" x14ac:dyDescent="0.25">
      <c r="A56" s="26" t="s">
        <v>364</v>
      </c>
      <c r="B56" s="56">
        <f>B55-533.33</f>
        <v>181.2853846153846</v>
      </c>
      <c r="C56" s="56">
        <f>C55-533.33</f>
        <v>13.140588235294103</v>
      </c>
      <c r="D56" s="27" t="s">
        <v>57</v>
      </c>
      <c r="E56" s="27" t="s">
        <v>57</v>
      </c>
      <c r="F56" s="39" t="s">
        <v>33</v>
      </c>
      <c r="H56" s="26" t="str">
        <f t="shared" si="0"/>
        <v xml:space="preserve">Diferencia con parcela 533,33 </v>
      </c>
      <c r="I56" s="29">
        <f t="array" ref="I56">_xlfn.SWITCH($I$3,$B$3,B56,$C$3,C56,$D$3,D56,$E$3,E56)</f>
        <v>181.2853846153846</v>
      </c>
    </row>
    <row r="57" spans="1:9" x14ac:dyDescent="0.25">
      <c r="A57" s="26" t="s">
        <v>365</v>
      </c>
      <c r="B57" s="27">
        <f>'10_CAPEX-INGRESOS-PAGOS'!B15*2</f>
        <v>254.8</v>
      </c>
      <c r="C57" s="27">
        <f>'10_CAPEX-INGRESOS-PAGOS'!C15*2</f>
        <v>254.8</v>
      </c>
      <c r="D57" s="27" t="s">
        <v>57</v>
      </c>
      <c r="E57" s="27" t="s">
        <v>57</v>
      </c>
      <c r="F57" s="28" t="s">
        <v>81</v>
      </c>
      <c r="H57" s="26" t="str">
        <f t="shared" si="0"/>
        <v>Precio suelo</v>
      </c>
      <c r="I57" s="29">
        <f t="array" ref="I57">_xlfn.SWITCH($I$3,$B$3,B57,$C$3,C57,$D$3,D57,$E$3,E57)</f>
        <v>254.8</v>
      </c>
    </row>
    <row r="58" spans="1:9" x14ac:dyDescent="0.25">
      <c r="A58" s="26" t="s">
        <v>366</v>
      </c>
      <c r="B58" s="56">
        <f>B56*B57</f>
        <v>46191.515999999996</v>
      </c>
      <c r="C58" s="56">
        <f>C56*C57</f>
        <v>3348.2218823529379</v>
      </c>
      <c r="D58" s="27" t="s">
        <v>57</v>
      </c>
      <c r="E58" s="27" t="s">
        <v>57</v>
      </c>
      <c r="F58" s="39" t="s">
        <v>350</v>
      </c>
      <c r="H58" s="26" t="str">
        <f t="shared" si="0"/>
        <v>Valor parcela</v>
      </c>
      <c r="I58" s="29">
        <f t="array" ref="I58">_xlfn.SWITCH($I$3,$B$3,B58,$C$3,C58,$D$3,D58,$E$3,E58)</f>
        <v>46191.515999999996</v>
      </c>
    </row>
    <row r="59" spans="1:9" x14ac:dyDescent="0.25">
      <c r="A59" s="79" t="s">
        <v>92</v>
      </c>
      <c r="B59" s="82"/>
      <c r="C59" s="82"/>
      <c r="D59" s="80"/>
      <c r="E59" s="80"/>
      <c r="F59" s="39"/>
      <c r="H59" s="79" t="str">
        <f t="shared" si="0"/>
        <v>Precio Total Unidad</v>
      </c>
      <c r="I59" s="81">
        <f t="array" ref="I59">_xlfn.SWITCH($I$3,$B$3,B59,$C$3,C59,$D$3,D59,$E$3,E59)</f>
        <v>0</v>
      </c>
    </row>
    <row r="60" spans="1:9" ht="15" customHeight="1" x14ac:dyDescent="0.25">
      <c r="A60" s="26" t="s">
        <v>404</v>
      </c>
      <c r="B60" s="56">
        <f>B53+B58</f>
        <v>710326.41599999997</v>
      </c>
      <c r="C60" s="56">
        <f>C53+C58</f>
        <v>637295.17188235302</v>
      </c>
      <c r="D60" s="56">
        <f>D50</f>
        <v>314318</v>
      </c>
      <c r="E60" s="56">
        <f>E50</f>
        <v>314318</v>
      </c>
      <c r="F60" s="39" t="s">
        <v>350</v>
      </c>
      <c r="H60" s="26" t="str">
        <f t="shared" si="0"/>
        <v>Precio total por unidad calculado</v>
      </c>
      <c r="I60" s="59">
        <f t="array" ref="I60">_xlfn.SWITCH($I$3,$B$3,B60,$C$3,C60,$D$3,D60,$E$3,E60)</f>
        <v>710326.41599999997</v>
      </c>
    </row>
    <row r="61" spans="1:9" ht="15" customHeight="1" x14ac:dyDescent="0.25">
      <c r="A61" s="26" t="s">
        <v>93</v>
      </c>
      <c r="B61" s="65">
        <f>B60/B51</f>
        <v>2959.6933999999997</v>
      </c>
      <c r="C61" s="65">
        <f>C60/C51</f>
        <v>2655.3965495098041</v>
      </c>
      <c r="D61" s="65">
        <f>D60/D51</f>
        <v>3492.4222222222224</v>
      </c>
      <c r="E61" s="65">
        <f>E60/E51</f>
        <v>3492.4222222222224</v>
      </c>
      <c r="F61" s="28" t="s">
        <v>81</v>
      </c>
      <c r="H61" s="26" t="str">
        <f t="shared" si="0"/>
        <v>Precio equivalente €/m² construido</v>
      </c>
      <c r="I61" s="66">
        <f t="array" ref="I61">_xlfn.SWITCH($I$3,$B$3,B61,$C$3,C61,$D$3,D61,$E$3,E61)</f>
        <v>2959.6933999999997</v>
      </c>
    </row>
    <row r="62" spans="1:9" x14ac:dyDescent="0.25">
      <c r="A62" s="17" t="s">
        <v>363</v>
      </c>
      <c r="B62" s="49">
        <f>B60*B29</f>
        <v>9234243.4079999998</v>
      </c>
      <c r="C62" s="49">
        <f>C60*C29</f>
        <v>10834017.922000002</v>
      </c>
      <c r="D62" s="49">
        <f>D60*D29</f>
        <v>12258402</v>
      </c>
      <c r="E62" s="49">
        <f>E60*E29</f>
        <v>17916126</v>
      </c>
      <c r="F62" s="39" t="s">
        <v>350</v>
      </c>
      <c r="H62" s="17" t="str">
        <f t="shared" si="0"/>
        <v>Ingreso Bruto</v>
      </c>
      <c r="I62" s="51">
        <f t="array" ref="I62">_xlfn.SWITCH($I$3,$B$3,B62,$C$3,C62,$D$3,D62,$E$3,E62)</f>
        <v>9234243.4079999998</v>
      </c>
    </row>
    <row r="63" spans="1:9" x14ac:dyDescent="0.25">
      <c r="A63" s="26" t="s">
        <v>362</v>
      </c>
      <c r="B63" s="230">
        <f t="array" ref="B63">3%+_xlfn.SWITCH('00_ESTRATEGIA'!$B$4,'02_ESCENARIOS'!$B$2,'02_ESCENARIOS'!$B$9,'02_ESCENARIOS'!$C$2,'02_ESCENARIOS'!$C$9,'02_ESCENARIOS'!$D$2,'02_ESCENARIOS'!$D$9)</f>
        <v>0.03</v>
      </c>
      <c r="C63" s="230">
        <f t="array" ref="C63">3%+_xlfn.SWITCH('00_ESTRATEGIA'!$B$4,'02_ESCENARIOS'!$B$2,'02_ESCENARIOS'!$B$9,'02_ESCENARIOS'!$C$2,'02_ESCENARIOS'!$C$9,'02_ESCENARIOS'!$D$2,'02_ESCENARIOS'!$D$9)</f>
        <v>0.03</v>
      </c>
      <c r="D63" s="230">
        <f t="array" ref="D63">4%+_xlfn.SWITCH('00_ESTRATEGIA'!$B$4,'02_ESCENARIOS'!$B$2,'02_ESCENARIOS'!$B$9,'02_ESCENARIOS'!$C$2,'02_ESCENARIOS'!$C$9,'02_ESCENARIOS'!$D$2,'02_ESCENARIOS'!$D$9)</f>
        <v>0.04</v>
      </c>
      <c r="E63" s="230">
        <f t="array" ref="E63">4%+_xlfn.SWITCH('00_ESTRATEGIA'!$B$4,'02_ESCENARIOS'!$B$2,'02_ESCENARIOS'!$B$9,'02_ESCENARIOS'!$C$2,'02_ESCENARIOS'!$C$9,'02_ESCENARIOS'!$D$2,'02_ESCENARIOS'!$D$9)</f>
        <v>0.04</v>
      </c>
      <c r="F63" s="39" t="s">
        <v>35</v>
      </c>
      <c r="H63" s="26" t="str">
        <f t="shared" si="0"/>
        <v>Comercialización</v>
      </c>
      <c r="I63" s="229">
        <f t="array" ref="I63">_xlfn.SWITCH($I$3,$B$3,B63,$C$3,C63,$D$3,D63,$E$3,E63)</f>
        <v>0.03</v>
      </c>
    </row>
    <row r="64" spans="1:9" x14ac:dyDescent="0.25">
      <c r="A64" s="26" t="s">
        <v>361</v>
      </c>
      <c r="B64" s="228">
        <f t="array" ref="B64">1.25*_xlfn.SWITCH('00_ESTRATEGIA'!$B$4,'02_ESCENARIOS'!$B$2,'02_ESCENARIOS'!$B$10,'02_ESCENARIOS'!$C$2,'02_ESCENARIOS'!$C$10,'02_ESCENARIOS'!$D$2,'02_ESCENARIOS'!$D$10)</f>
        <v>1.25</v>
      </c>
      <c r="C64" s="228">
        <f t="array" ref="C64">1.25*_xlfn.SWITCH('00_ESTRATEGIA'!$B$4,'02_ESCENARIOS'!$B$2,'02_ESCENARIOS'!$B$10,'02_ESCENARIOS'!$C$2,'02_ESCENARIOS'!$C$10,'02_ESCENARIOS'!$D$2,'02_ESCENARIOS'!$D$10)</f>
        <v>1.25</v>
      </c>
      <c r="D64" s="228">
        <f t="array" ref="D64">4*_xlfn.SWITCH('00_ESTRATEGIA'!$B$4,'02_ESCENARIOS'!$B$2,'02_ESCENARIOS'!$B$10,'02_ESCENARIOS'!$C$2,'02_ESCENARIOS'!$C$10,'02_ESCENARIOS'!$D$2,'02_ESCENARIOS'!$D$10)</f>
        <v>4</v>
      </c>
      <c r="E64" s="228">
        <f t="array" ref="E64">4*_xlfn.SWITCH('00_ESTRATEGIA'!$B$4,'02_ESCENARIOS'!$B$2,'02_ESCENARIOS'!$B$10,'02_ESCENARIOS'!$C$2,'02_ESCENARIOS'!$C$10,'02_ESCENARIOS'!$D$2,'02_ESCENARIOS'!$D$10)</f>
        <v>4</v>
      </c>
      <c r="F64" s="39" t="s">
        <v>352</v>
      </c>
      <c r="H64" s="26" t="str">
        <f t="shared" si="0"/>
        <v>Ritmo absorción</v>
      </c>
      <c r="I64" s="227">
        <f t="array" ref="I64">_xlfn.SWITCH($I$3,$B$3,B64,$C$3,C64,$D$3,D64,$E$3,E64)</f>
        <v>1.25</v>
      </c>
    </row>
    <row r="65" spans="1:9" x14ac:dyDescent="0.25">
      <c r="A65" s="45" t="s">
        <v>95</v>
      </c>
      <c r="B65" s="83">
        <v>12</v>
      </c>
      <c r="C65" s="83">
        <v>12</v>
      </c>
      <c r="D65" s="83">
        <v>12</v>
      </c>
      <c r="E65" s="83">
        <v>12</v>
      </c>
      <c r="F65" s="39" t="s">
        <v>73</v>
      </c>
      <c r="H65" s="45" t="str">
        <f t="shared" si="0"/>
        <v>Duración comercialización</v>
      </c>
      <c r="I65" s="84">
        <f t="array" ref="I65">_xlfn.SWITCH($I$3,$B$3,B65,$C$3,C65,$D$3,D65,$E$3,E65)</f>
        <v>12</v>
      </c>
    </row>
    <row r="66" spans="1:9" x14ac:dyDescent="0.25">
      <c r="A66" s="45" t="s">
        <v>96</v>
      </c>
      <c r="B66" s="49">
        <f>'01_MODELO'!B37-B65</f>
        <v>23</v>
      </c>
      <c r="C66" s="49">
        <f>'01_MODELO'!C37-C65</f>
        <v>23</v>
      </c>
      <c r="D66" s="49">
        <f>'01_MODELO'!D37-D65</f>
        <v>24</v>
      </c>
      <c r="E66" s="49">
        <f>'01_MODELO'!E37-E65</f>
        <v>26</v>
      </c>
      <c r="F66" s="39" t="s">
        <v>76</v>
      </c>
      <c r="H66" s="45" t="str">
        <f t="shared" si="0"/>
        <v>Inicio ventas</v>
      </c>
      <c r="I66" s="51">
        <f t="array" ref="I66">_xlfn.SWITCH($I$3,$B$3,B66,$C$3,C66,$D$3,D66,$E$3,E66)</f>
        <v>23</v>
      </c>
    </row>
    <row r="67" spans="1:9" ht="15.75" thickBot="1" x14ac:dyDescent="0.3">
      <c r="A67" s="26" t="s">
        <v>360</v>
      </c>
      <c r="B67" s="56">
        <f>B29/B64</f>
        <v>10.4</v>
      </c>
      <c r="C67" s="56">
        <f>C29/C64</f>
        <v>13.6</v>
      </c>
      <c r="D67" s="56">
        <f>D29/D64</f>
        <v>9.75</v>
      </c>
      <c r="E67" s="56">
        <f>E29/E64</f>
        <v>14.25</v>
      </c>
      <c r="F67" s="39" t="s">
        <v>73</v>
      </c>
      <c r="H67" s="26" t="str">
        <f t="shared" si="0"/>
        <v>Duración estimada</v>
      </c>
      <c r="I67" s="59">
        <f t="array" ref="I67">_xlfn.SWITCH($I$3,$B$3,B67,$C$3,C67,$D$3,D67,$E$3,E67)</f>
        <v>10.4</v>
      </c>
    </row>
    <row r="68" spans="1:9" ht="15.75" thickTop="1" x14ac:dyDescent="0.25">
      <c r="A68" s="186" t="s">
        <v>97</v>
      </c>
      <c r="B68" s="189"/>
      <c r="C68" s="189"/>
      <c r="D68" s="189"/>
      <c r="E68" s="189"/>
      <c r="F68" s="190"/>
      <c r="H68" s="178" t="str">
        <f t="shared" si="0"/>
        <v>ALQUILER</v>
      </c>
      <c r="I68" s="179"/>
    </row>
    <row r="69" spans="1:9" x14ac:dyDescent="0.25">
      <c r="A69" s="26" t="s">
        <v>359</v>
      </c>
      <c r="B69" s="17">
        <v>1543</v>
      </c>
      <c r="C69" s="17">
        <v>1543</v>
      </c>
      <c r="D69" s="17">
        <v>1039</v>
      </c>
      <c r="E69" s="173">
        <v>1039</v>
      </c>
      <c r="F69" s="39" t="s">
        <v>350</v>
      </c>
      <c r="H69" s="26" t="str">
        <f t="shared" si="0"/>
        <v>Renta mensual estimada</v>
      </c>
      <c r="I69" s="86">
        <f t="array" ref="I69">_xlfn.SWITCH($I$3,$B$3,B69,$C$3,C69,$D$3,D69,$E$3,E69)</f>
        <v>1543</v>
      </c>
    </row>
    <row r="70" spans="1:9" x14ac:dyDescent="0.25">
      <c r="A70" s="76" t="s">
        <v>90</v>
      </c>
      <c r="B70" s="65">
        <v>1.1000000000000001</v>
      </c>
      <c r="C70" s="65">
        <v>1.05</v>
      </c>
      <c r="D70" s="65">
        <v>1</v>
      </c>
      <c r="E70" s="65">
        <v>1</v>
      </c>
      <c r="F70" s="39" t="s">
        <v>351</v>
      </c>
      <c r="H70" s="76" t="str">
        <f t="shared" ref="H70:H78" si="1">A70</f>
        <v>Precio corregido por perfil comprador</v>
      </c>
      <c r="I70" s="66">
        <f t="array" ref="I70">_xlfn.SWITCH($I$3,$B$3,B70,$C$3,C70,$D$3,D70,$E$3,E70)</f>
        <v>1.1000000000000001</v>
      </c>
    </row>
    <row r="71" spans="1:9" x14ac:dyDescent="0.25">
      <c r="A71" s="27" t="s">
        <v>98</v>
      </c>
      <c r="B71" s="65">
        <f>B58*B69/B50</f>
        <v>118.04960122830467</v>
      </c>
      <c r="C71" s="65">
        <f>C58*C69/C50</f>
        <v>8.5569016188091336</v>
      </c>
      <c r="D71" s="65">
        <v>0</v>
      </c>
      <c r="E71" s="65">
        <v>0</v>
      </c>
      <c r="F71" s="39" t="s">
        <v>350</v>
      </c>
      <c r="H71" s="27" t="str">
        <f t="shared" si="1"/>
        <v>Ajuste por parcela</v>
      </c>
      <c r="I71" s="66">
        <f t="array" ref="I71">_xlfn.SWITCH($I$3,$B$3,B71,$C$3,C71,$D$3,D71,$E$3,E71)</f>
        <v>118.04960122830467</v>
      </c>
    </row>
    <row r="72" spans="1:9" x14ac:dyDescent="0.25">
      <c r="A72" s="27" t="s">
        <v>358</v>
      </c>
      <c r="B72" s="65">
        <f>B69*B70+B71</f>
        <v>1815.3496012283049</v>
      </c>
      <c r="C72" s="65">
        <f>C69*C70+C71</f>
        <v>1628.7069016188093</v>
      </c>
      <c r="D72" s="65">
        <f>D69*D70+D71</f>
        <v>1039</v>
      </c>
      <c r="E72" s="65">
        <f>E69*E70+E71</f>
        <v>1039</v>
      </c>
      <c r="F72" s="39" t="s">
        <v>350</v>
      </c>
      <c r="H72" s="27" t="str">
        <f t="shared" si="1"/>
        <v xml:space="preserve">Renta mensual final </v>
      </c>
      <c r="I72" s="66">
        <f t="array" ref="I72">_xlfn.SWITCH($I$3,$B$3,B72,$C$3,C72,$D$3,D72,$E$3,E72)</f>
        <v>1815.3496012283049</v>
      </c>
    </row>
    <row r="73" spans="1:9" x14ac:dyDescent="0.25">
      <c r="A73" s="17" t="s">
        <v>357</v>
      </c>
      <c r="B73" s="49">
        <f>B72*B29*12</f>
        <v>283194.53779161558</v>
      </c>
      <c r="C73" s="49">
        <f>C72*C29*12</f>
        <v>332256.20793023711</v>
      </c>
      <c r="D73" s="49">
        <f>D72*D29*12</f>
        <v>486252</v>
      </c>
      <c r="E73" s="49">
        <f>E72*E29*12</f>
        <v>710676</v>
      </c>
      <c r="F73" s="39" t="s">
        <v>350</v>
      </c>
      <c r="H73" s="17" t="str">
        <f t="shared" si="1"/>
        <v>Ingreso bruto potencial</v>
      </c>
      <c r="I73" s="51">
        <f t="array" ref="I73">_xlfn.SWITCH($I$3,$B$3,B73,$C$3,C73,$D$3,D73,$E$3,E73)</f>
        <v>283194.53779161558</v>
      </c>
    </row>
    <row r="74" spans="1:9" x14ac:dyDescent="0.25">
      <c r="A74" s="26" t="s">
        <v>109</v>
      </c>
      <c r="B74" s="219">
        <f t="array" ref="B74">93%+_xlfn.SWITCH('00_ESTRATEGIA'!$B$4,'02_ESCENARIOS'!$B$2,'02_ESCENARIOS'!$B$12,'02_ESCENARIOS'!$C$2,'02_ESCENARIOS'!$C$12,'02_ESCENARIOS'!$D$2,'02_ESCENARIOS'!$D$12)</f>
        <v>0.93</v>
      </c>
      <c r="C74" s="219">
        <f t="array" ref="C74">93%+_xlfn.SWITCH('00_ESTRATEGIA'!$B$4,'02_ESCENARIOS'!$B$2,'02_ESCENARIOS'!$B$12,'02_ESCENARIOS'!$C$2,'02_ESCENARIOS'!$C$12,'02_ESCENARIOS'!$D$2,'02_ESCENARIOS'!$D$12)</f>
        <v>0.93</v>
      </c>
      <c r="D74" s="219">
        <f t="array" ref="D74">93%+_xlfn.SWITCH('00_ESTRATEGIA'!$B$4,'02_ESCENARIOS'!$B$2,'02_ESCENARIOS'!$B$12,'02_ESCENARIOS'!$C$2,'02_ESCENARIOS'!$C$12,'02_ESCENARIOS'!$D$2,'02_ESCENARIOS'!$D$12)</f>
        <v>0.93</v>
      </c>
      <c r="E74" s="219">
        <f t="array" ref="E74">93%+_xlfn.SWITCH('00_ESTRATEGIA'!$B$4,'02_ESCENARIOS'!$B$2,'02_ESCENARIOS'!$B$12,'02_ESCENARIOS'!$C$2,'02_ESCENARIOS'!$C$12,'02_ESCENARIOS'!$D$2,'02_ESCENARIOS'!$D$12)</f>
        <v>0.93</v>
      </c>
      <c r="F74" s="39" t="s">
        <v>35</v>
      </c>
      <c r="H74" s="26" t="str">
        <f t="shared" si="1"/>
        <v>Ocupación estabilizada</v>
      </c>
      <c r="I74" s="237">
        <f t="array" ref="I74">_xlfn.SWITCH($I$3,$B$3,B74,$C$3,C74,$D$3,D74,$E$3,E74)</f>
        <v>0.93</v>
      </c>
    </row>
    <row r="75" spans="1:9" x14ac:dyDescent="0.25">
      <c r="A75" s="26" t="s">
        <v>356</v>
      </c>
      <c r="B75" s="36">
        <f t="array" ref="B75">28%+_xlfn.SWITCH('00_ESTRATEGIA'!$B$4,'02_ESCENARIOS'!$B$2,'02_ESCENARIOS'!$B13,'02_ESCENARIOS'!$C$2,'02_ESCENARIOS'!$C13,'02_ESCENARIOS'!$D$2,'02_ESCENARIOS'!$D13)</f>
        <v>0.28000000000000003</v>
      </c>
      <c r="C75" s="36">
        <f t="array" ref="C75">28%+_xlfn.SWITCH('00_ESTRATEGIA'!$B$4,'02_ESCENARIOS'!$B$2,'02_ESCENARIOS'!$B13,'02_ESCENARIOS'!$C$2,'02_ESCENARIOS'!$C13,'02_ESCENARIOS'!$D$2,'02_ESCENARIOS'!$D13)</f>
        <v>0.28000000000000003</v>
      </c>
      <c r="D75" s="36">
        <f t="array" ref="D75">28%+_xlfn.SWITCH('00_ESTRATEGIA'!$B$4,'02_ESCENARIOS'!$B$2,'02_ESCENARIOS'!$B13,'02_ESCENARIOS'!$C$2,'02_ESCENARIOS'!$C13,'02_ESCENARIOS'!$D$2,'02_ESCENARIOS'!$D13)</f>
        <v>0.28000000000000003</v>
      </c>
      <c r="E75" s="36">
        <f t="array" ref="E75">28%+_xlfn.SWITCH('00_ESTRATEGIA'!$B$4,'02_ESCENARIOS'!$B$2,'02_ESCENARIOS'!$B13,'02_ESCENARIOS'!$C$2,'02_ESCENARIOS'!$C13,'02_ESCENARIOS'!$D$2,'02_ESCENARIOS'!$D13)</f>
        <v>0.28000000000000003</v>
      </c>
      <c r="F75" s="39" t="s">
        <v>353</v>
      </c>
      <c r="H75" s="26" t="str">
        <f t="shared" si="1"/>
        <v>Gastos explotación</v>
      </c>
      <c r="I75" s="38">
        <f t="array" ref="I75">_xlfn.SWITCH($I$3,$B$3,B75,$C$3,C75,$D$3,D75,$E$3,E75)</f>
        <v>0.28000000000000003</v>
      </c>
    </row>
    <row r="76" spans="1:9" x14ac:dyDescent="0.25">
      <c r="A76" s="26" t="s">
        <v>355</v>
      </c>
      <c r="B76" s="87">
        <f>6%+'02_ESCENARIOS'!$G15</f>
        <v>0.06</v>
      </c>
      <c r="C76" s="87">
        <f>6%+'02_ESCENARIOS'!$G15</f>
        <v>0.06</v>
      </c>
      <c r="D76" s="87">
        <f>6%+'02_ESCENARIOS'!$G15</f>
        <v>0.06</v>
      </c>
      <c r="E76" s="87">
        <f>6%+'02_ESCENARIOS'!$G15</f>
        <v>0.06</v>
      </c>
      <c r="F76" s="39" t="s">
        <v>35</v>
      </c>
      <c r="H76" s="26" t="str">
        <f t="shared" si="1"/>
        <v>Yield mercado</v>
      </c>
      <c r="I76" s="96">
        <f t="array" ref="I76">_xlfn.SWITCH($I$3,$B$3,B76,$C$3,C76,$D$3,D76,$E$3,E76)</f>
        <v>0.06</v>
      </c>
    </row>
    <row r="77" spans="1:9" x14ac:dyDescent="0.25">
      <c r="A77" s="26" t="s">
        <v>374</v>
      </c>
      <c r="B77" s="87">
        <f>1.5%+'02_ESCENARIOS'!$G16</f>
        <v>1.4999999999999999E-2</v>
      </c>
      <c r="C77" s="87">
        <f>B77</f>
        <v>1.4999999999999999E-2</v>
      </c>
      <c r="D77" s="87">
        <f>C77</f>
        <v>1.4999999999999999E-2</v>
      </c>
      <c r="E77" s="87">
        <f>D77</f>
        <v>1.4999999999999999E-2</v>
      </c>
      <c r="F77" s="39" t="s">
        <v>35</v>
      </c>
      <c r="H77" s="26" t="str">
        <f t="shared" si="1"/>
        <v>Crecimiento anual en rentas</v>
      </c>
      <c r="I77" s="96">
        <f t="array" ref="I77">_xlfn.SWITCH($I$3,$B$3,B77,$C$3,C77,$D$3,D77,$E$3,E77)</f>
        <v>1.4999999999999999E-2</v>
      </c>
    </row>
    <row r="78" spans="1:9" x14ac:dyDescent="0.25">
      <c r="A78" s="88" t="s">
        <v>354</v>
      </c>
      <c r="B78" s="89">
        <f>'01_MODELO'!B37</f>
        <v>35</v>
      </c>
      <c r="C78" s="89">
        <f>'01_MODELO'!C37</f>
        <v>35</v>
      </c>
      <c r="D78" s="89">
        <f>'01_MODELO'!D37</f>
        <v>36</v>
      </c>
      <c r="E78" s="89">
        <f>'01_MODELO'!E37</f>
        <v>38</v>
      </c>
      <c r="F78" s="174" t="s">
        <v>76</v>
      </c>
      <c r="H78" s="88" t="str">
        <f t="shared" si="1"/>
        <v>Inicio ingresos</v>
      </c>
      <c r="I78" s="90">
        <f t="array" ref="I78">_xlfn.SWITCH($I$3,$B$3,B78,$C$3,C78,$D$3,D78,$E$3,E78)</f>
        <v>35</v>
      </c>
    </row>
  </sheetData>
  <mergeCells count="2">
    <mergeCell ref="A2:F2"/>
    <mergeCell ref="A46:F46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79998168889431442"/>
  </sheetPr>
  <dimension ref="A1:G21"/>
  <sheetViews>
    <sheetView zoomScale="130" zoomScaleNormal="130" workbookViewId="0">
      <selection activeCell="A18" activeCellId="1" sqref="A20:XFD20 A18:XFD18"/>
    </sheetView>
  </sheetViews>
  <sheetFormatPr baseColWidth="10" defaultColWidth="11.42578125" defaultRowHeight="15" x14ac:dyDescent="0.25"/>
  <cols>
    <col min="1" max="1" width="39.5703125" customWidth="1"/>
    <col min="2" max="2" width="12.5703125" customWidth="1"/>
    <col min="3" max="3" width="7.5703125" customWidth="1"/>
    <col min="4" max="4" width="9.85546875" customWidth="1"/>
    <col min="6" max="6" width="36.140625" customWidth="1"/>
    <col min="7" max="7" width="12.5703125" customWidth="1"/>
  </cols>
  <sheetData>
    <row r="1" spans="1:7" ht="26.25" x14ac:dyDescent="0.4">
      <c r="A1" s="102" t="s">
        <v>381</v>
      </c>
    </row>
    <row r="2" spans="1:7" ht="15" customHeight="1" thickBot="1" x14ac:dyDescent="0.3">
      <c r="A2" s="19" t="s">
        <v>2</v>
      </c>
      <c r="B2" s="20" t="s">
        <v>11</v>
      </c>
      <c r="C2" s="20" t="s">
        <v>12</v>
      </c>
      <c r="D2" s="22" t="s">
        <v>22</v>
      </c>
      <c r="E2" s="2"/>
      <c r="F2" s="92" t="s">
        <v>3</v>
      </c>
      <c r="G2" s="22" t="str">
        <f>'00_ESTRATEGIA'!B4</f>
        <v>Base</v>
      </c>
    </row>
    <row r="3" spans="1:7" ht="15.75" customHeight="1" thickTop="1" x14ac:dyDescent="0.25">
      <c r="A3" s="93" t="s">
        <v>102</v>
      </c>
      <c r="B3" s="94"/>
      <c r="C3" s="94"/>
      <c r="D3" s="95"/>
      <c r="E3" s="5"/>
      <c r="F3" s="93" t="str">
        <f t="shared" ref="F3:F17" si="0">A3</f>
        <v>Variables de construcción</v>
      </c>
      <c r="G3" s="94"/>
    </row>
    <row r="4" spans="1:7" x14ac:dyDescent="0.25">
      <c r="A4" s="26" t="s">
        <v>103</v>
      </c>
      <c r="B4" s="87">
        <v>0.01</v>
      </c>
      <c r="C4" s="87">
        <v>0</v>
      </c>
      <c r="D4" s="96">
        <v>-0.01</v>
      </c>
      <c r="F4" s="26" t="str">
        <f t="shared" si="0"/>
        <v>GG + BI</v>
      </c>
      <c r="G4" s="38">
        <f t="array" ref="G4">_xlfn.SWITCH($G$2,$B$2,B4,$C$2,C4,$D$2,D4)</f>
        <v>0</v>
      </c>
    </row>
    <row r="5" spans="1:7" x14ac:dyDescent="0.25">
      <c r="A5" s="26" t="s">
        <v>84</v>
      </c>
      <c r="B5" s="87">
        <v>0.02</v>
      </c>
      <c r="C5" s="87">
        <v>0</v>
      </c>
      <c r="D5" s="96">
        <v>-0.02</v>
      </c>
      <c r="F5" s="26" t="str">
        <f t="shared" si="0"/>
        <v>Contingencia</v>
      </c>
      <c r="G5" s="38">
        <f t="array" ref="G5">_xlfn.SWITCH($G$2,$B$2,B5,$C$2,C5,$D$2,D5)</f>
        <v>0</v>
      </c>
    </row>
    <row r="6" spans="1:7" x14ac:dyDescent="0.25">
      <c r="A6" s="26" t="s">
        <v>85</v>
      </c>
      <c r="B6" s="87">
        <v>5.0000000000000001E-3</v>
      </c>
      <c r="C6" s="87">
        <v>0</v>
      </c>
      <c r="D6" s="96">
        <v>-5.0000000000000001E-3</v>
      </c>
      <c r="F6" s="26" t="str">
        <f t="shared" si="0"/>
        <v>Licencias y tasas</v>
      </c>
      <c r="G6" s="38">
        <f t="array" ref="G6">_xlfn.SWITCH($G$2,$B$2,B6,$C$2,C6,$D$2,D6)</f>
        <v>0</v>
      </c>
    </row>
    <row r="7" spans="1:7" ht="15.75" customHeight="1" thickBot="1" x14ac:dyDescent="0.3">
      <c r="A7" s="26" t="s">
        <v>104</v>
      </c>
      <c r="B7" s="87">
        <v>0.01</v>
      </c>
      <c r="C7" s="87">
        <v>0</v>
      </c>
      <c r="D7" s="96">
        <v>-0.01</v>
      </c>
      <c r="F7" s="26" t="str">
        <f t="shared" si="0"/>
        <v>Honorarios</v>
      </c>
      <c r="G7" s="38">
        <f t="array" ref="G7">_xlfn.SWITCH($G$2,$B$2,B7,$C$2,C7,$D$2,D7)</f>
        <v>0</v>
      </c>
    </row>
    <row r="8" spans="1:7" ht="15.75" customHeight="1" thickTop="1" x14ac:dyDescent="0.25">
      <c r="A8" s="93" t="s">
        <v>105</v>
      </c>
      <c r="B8" s="94"/>
      <c r="C8" s="94"/>
      <c r="D8" s="95"/>
      <c r="F8" s="93" t="str">
        <f t="shared" si="0"/>
        <v>Variables de venta</v>
      </c>
      <c r="G8" s="94"/>
    </row>
    <row r="9" spans="1:7" x14ac:dyDescent="0.25">
      <c r="A9" s="26" t="s">
        <v>106</v>
      </c>
      <c r="B9" s="97">
        <v>5.0000000000000001E-3</v>
      </c>
      <c r="C9" s="97">
        <v>0</v>
      </c>
      <c r="D9" s="98">
        <v>-5.0000000000000001E-3</v>
      </c>
      <c r="F9" s="26" t="str">
        <f t="shared" si="0"/>
        <v>Delta comercialización (pp)</v>
      </c>
      <c r="G9" s="98">
        <f t="array" ref="G9">_xlfn.SWITCH($G$2,$B$2,B9,$C$2,C9,$D$2,D9)</f>
        <v>0</v>
      </c>
    </row>
    <row r="10" spans="1:7" ht="15.75" customHeight="1" thickBot="1" x14ac:dyDescent="0.3">
      <c r="A10" s="76" t="s">
        <v>107</v>
      </c>
      <c r="B10" s="77">
        <v>0.8</v>
      </c>
      <c r="C10" s="77">
        <v>1</v>
      </c>
      <c r="D10" s="78">
        <v>1.2</v>
      </c>
      <c r="F10" s="76" t="str">
        <f t="shared" si="0"/>
        <v>Ritmo de absorción (multiplicador)</v>
      </c>
      <c r="G10" s="78">
        <f t="array" ref="G10">_xlfn.SWITCH($G$2,$B$2,B10,$C$2,C10,$D$2,D10)</f>
        <v>1</v>
      </c>
    </row>
    <row r="11" spans="1:7" ht="15.75" customHeight="1" thickTop="1" x14ac:dyDescent="0.25">
      <c r="A11" s="93" t="s">
        <v>108</v>
      </c>
      <c r="B11" s="94"/>
      <c r="C11" s="94"/>
      <c r="D11" s="95"/>
      <c r="F11" s="93" t="str">
        <f t="shared" si="0"/>
        <v>Variables de alquiler</v>
      </c>
      <c r="G11" s="94"/>
    </row>
    <row r="12" spans="1:7" x14ac:dyDescent="0.25">
      <c r="A12" s="26" t="s">
        <v>109</v>
      </c>
      <c r="B12" s="97">
        <v>-0.03</v>
      </c>
      <c r="C12" s="97">
        <v>0</v>
      </c>
      <c r="D12" s="98">
        <v>0.03</v>
      </c>
      <c r="F12" s="26" t="str">
        <f t="shared" si="0"/>
        <v>Ocupación estabilizada</v>
      </c>
      <c r="G12" s="98">
        <f t="array" ref="G12">_xlfn.SWITCH($G$2,$B$2,B12,$C$2,C12,$D$2,D12)</f>
        <v>0</v>
      </c>
    </row>
    <row r="13" spans="1:7" x14ac:dyDescent="0.25">
      <c r="A13" s="26" t="s">
        <v>110</v>
      </c>
      <c r="B13" s="97">
        <v>0.04</v>
      </c>
      <c r="C13" s="97">
        <v>0</v>
      </c>
      <c r="D13" s="98">
        <v>-0.04</v>
      </c>
      <c r="F13" s="26" t="str">
        <f t="shared" si="0"/>
        <v>Gastos explotación OPEX</v>
      </c>
      <c r="G13" s="98">
        <f t="array" ref="G13">_xlfn.SWITCH($G$2,$B$2,B13,$C$2,C13,$D$2,D13)</f>
        <v>0</v>
      </c>
    </row>
    <row r="14" spans="1:7" x14ac:dyDescent="0.25">
      <c r="A14" s="26" t="s">
        <v>111</v>
      </c>
      <c r="B14" s="97">
        <v>-5.0000000000000001E-3</v>
      </c>
      <c r="C14" s="97">
        <v>0</v>
      </c>
      <c r="D14" s="98">
        <v>5.0000000000000001E-3</v>
      </c>
      <c r="F14" s="26" t="str">
        <f t="shared" si="0"/>
        <v>Crecimiento anual rentas</v>
      </c>
      <c r="G14" s="98">
        <f t="array" ref="G14">_xlfn.SWITCH($G$2,$B$2,B14,$C$2,C14,$D$2,D14)</f>
        <v>0</v>
      </c>
    </row>
    <row r="15" spans="1:7" ht="15.75" customHeight="1" thickBot="1" x14ac:dyDescent="0.3">
      <c r="A15" s="26" t="s">
        <v>112</v>
      </c>
      <c r="B15" s="97">
        <v>5.0000000000000001E-3</v>
      </c>
      <c r="C15" s="97">
        <v>0</v>
      </c>
      <c r="D15" s="98">
        <v>-5.0000000000000001E-3</v>
      </c>
      <c r="F15" s="26" t="str">
        <f t="shared" si="0"/>
        <v>Yield / cap rate salida</v>
      </c>
      <c r="G15" s="98">
        <f t="array" ref="G15">_xlfn.SWITCH($G$2,$B$2,B15,$C$2,C15,$D$2,D15)</f>
        <v>0</v>
      </c>
    </row>
    <row r="16" spans="1:7" ht="15.75" customHeight="1" thickTop="1" x14ac:dyDescent="0.25">
      <c r="A16" s="93" t="s">
        <v>113</v>
      </c>
      <c r="B16" s="94"/>
      <c r="C16" s="94"/>
      <c r="D16" s="95"/>
      <c r="F16" s="93" t="str">
        <f t="shared" si="0"/>
        <v>Variables de temporales</v>
      </c>
      <c r="G16" s="94"/>
    </row>
    <row r="17" spans="1:7" x14ac:dyDescent="0.25">
      <c r="A17" s="91" t="s">
        <v>114</v>
      </c>
      <c r="B17" s="99">
        <v>0.2</v>
      </c>
      <c r="C17" s="99">
        <v>0</v>
      </c>
      <c r="D17" s="100">
        <v>-0.1</v>
      </c>
      <c r="F17" s="91" t="str">
        <f t="shared" si="0"/>
        <v>Factor temporal (obra, licitaciones,diseño)</v>
      </c>
      <c r="G17" s="101">
        <f t="array" ref="G17">_xlfn.SWITCH($G$2,$B$2,B17,$C$2,C17,$D$2,D17)</f>
        <v>0</v>
      </c>
    </row>
    <row r="19" spans="1:7" x14ac:dyDescent="0.25">
      <c r="A19" s="226" t="s">
        <v>115</v>
      </c>
    </row>
    <row r="20" spans="1:7" ht="15.75" customHeight="1" thickBot="1" x14ac:dyDescent="0.3">
      <c r="A20" s="19" t="s">
        <v>2</v>
      </c>
      <c r="B20" s="20" t="s">
        <v>27</v>
      </c>
      <c r="C20" s="20" t="s">
        <v>12</v>
      </c>
      <c r="D20" s="22" t="s">
        <v>28</v>
      </c>
      <c r="F20" s="92" t="s">
        <v>116</v>
      </c>
      <c r="G20" s="22" t="str">
        <f>'00_ESTRATEGIA'!B8</f>
        <v>Base</v>
      </c>
    </row>
    <row r="21" spans="1:7" x14ac:dyDescent="0.25">
      <c r="A21" s="225" t="s">
        <v>117</v>
      </c>
      <c r="B21" s="224">
        <v>1.4999999999999999E-2</v>
      </c>
      <c r="C21" s="224">
        <v>0</v>
      </c>
      <c r="D21" s="224">
        <v>-1.4999999999999999E-2</v>
      </c>
      <c r="F21" s="225" t="str">
        <f>A21</f>
        <v>Delta coste de la deuda (Euribor)</v>
      </c>
      <c r="G21" s="224">
        <f t="array" ref="G21">_xlfn.SWITCH($G$20,$B$20,B21,$C$20,C21,$D$20,D21)</f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79998168889431442"/>
  </sheetPr>
  <dimension ref="A1:H50"/>
  <sheetViews>
    <sheetView zoomScale="115" zoomScaleNormal="115" workbookViewId="0">
      <selection activeCell="B18" sqref="B18"/>
    </sheetView>
  </sheetViews>
  <sheetFormatPr baseColWidth="10" defaultColWidth="9.140625" defaultRowHeight="15" x14ac:dyDescent="0.25"/>
  <cols>
    <col min="1" max="1" width="31.5703125" customWidth="1"/>
    <col min="2" max="5" width="16" customWidth="1"/>
    <col min="7" max="7" width="31.5703125" customWidth="1"/>
    <col min="8" max="8" width="16.28515625" customWidth="1"/>
  </cols>
  <sheetData>
    <row r="1" spans="1:8" ht="28.5" customHeight="1" x14ac:dyDescent="0.4">
      <c r="A1" s="102" t="s">
        <v>118</v>
      </c>
    </row>
    <row r="2" spans="1:8" ht="24" customHeight="1" thickBot="1" x14ac:dyDescent="0.3">
      <c r="A2" s="103" t="s">
        <v>2</v>
      </c>
      <c r="B2" s="104" t="s">
        <v>9</v>
      </c>
      <c r="C2" s="104" t="s">
        <v>14</v>
      </c>
      <c r="D2" s="104" t="s">
        <v>17</v>
      </c>
      <c r="E2" s="105" t="s">
        <v>19</v>
      </c>
      <c r="F2" s="2"/>
      <c r="G2" s="106" t="s">
        <v>3</v>
      </c>
      <c r="H2" s="105" t="str">
        <f>'00_ESTRATEGIA'!B3</f>
        <v>Unifamiliar seg.</v>
      </c>
    </row>
    <row r="3" spans="1:8" ht="15.75" customHeight="1" thickTop="1" x14ac:dyDescent="0.25">
      <c r="A3" s="107" t="s">
        <v>119</v>
      </c>
      <c r="B3" s="107">
        <f>'01_MODELO'!B29</f>
        <v>13</v>
      </c>
      <c r="C3" s="107">
        <f>'01_MODELO'!C29</f>
        <v>17</v>
      </c>
      <c r="D3" s="107">
        <f>'01_MODELO'!D29</f>
        <v>39</v>
      </c>
      <c r="E3" s="108">
        <f>'01_MODELO'!E29</f>
        <v>57</v>
      </c>
      <c r="F3" s="5"/>
      <c r="G3" s="109" t="str">
        <f t="shared" ref="G3:G20" si="0">A3</f>
        <v>Número de viviendas</v>
      </c>
      <c r="H3" s="108">
        <f t="array" ref="H3">_xlfn.SWITCH($H$2,$B$2,B3,$C$2,C3,$D$2,D3,$E$2,E3)</f>
        <v>13</v>
      </c>
    </row>
    <row r="4" spans="1:8" x14ac:dyDescent="0.25">
      <c r="A4" s="56" t="s">
        <v>120</v>
      </c>
      <c r="B4" s="56">
        <f>'01_MODELO'!B26</f>
        <v>240</v>
      </c>
      <c r="C4" s="56">
        <f>'01_MODELO'!C26</f>
        <v>240</v>
      </c>
      <c r="D4" s="56">
        <f>'01_MODELO'!D26</f>
        <v>90</v>
      </c>
      <c r="E4" s="59">
        <f>'01_MODELO'!E26</f>
        <v>90</v>
      </c>
      <c r="G4" s="33" t="str">
        <f t="shared" si="0"/>
        <v>Superficie por vivienda (m²)</v>
      </c>
      <c r="H4" s="59">
        <f t="array" ref="H4">_xlfn.SWITCH($H$2,$B$2,B4,$C$2,C4,$D$2,D4,$E$2,E4)</f>
        <v>240</v>
      </c>
    </row>
    <row r="5" spans="1:8" ht="15.75" customHeight="1" thickBot="1" x14ac:dyDescent="0.3">
      <c r="A5" s="110" t="s">
        <v>121</v>
      </c>
      <c r="B5" s="110">
        <f>B3*B4</f>
        <v>3120</v>
      </c>
      <c r="C5" s="110">
        <f>C3*C4</f>
        <v>4080</v>
      </c>
      <c r="D5" s="110">
        <f>'01_MODELO'!D16</f>
        <v>4180.5</v>
      </c>
      <c r="E5" s="111">
        <f>'01_MODELO'!E16</f>
        <v>6038.5</v>
      </c>
      <c r="G5" s="112" t="str">
        <f t="shared" si="0"/>
        <v>Superficie total (m²)</v>
      </c>
      <c r="H5" s="111">
        <f t="array" ref="H5">_xlfn.SWITCH($H$2,$B$2,B5,$C$2,C5,$D$2,D5,$E$2,E5)</f>
        <v>3120</v>
      </c>
    </row>
    <row r="6" spans="1:8" ht="15.75" customHeight="1" thickTop="1" x14ac:dyDescent="0.25">
      <c r="A6" s="113" t="s">
        <v>122</v>
      </c>
      <c r="B6" s="113">
        <f>'01_MODELO'!B39*'01_MODELO'!B40</f>
        <v>1481.7600000000002</v>
      </c>
      <c r="C6" s="113">
        <f>'01_MODELO'!C39*'01_MODELO'!C40</f>
        <v>1428.8400000000001</v>
      </c>
      <c r="D6" s="113">
        <f>'01_MODELO'!D39*'01_MODELO'!D40</f>
        <v>1217.1600000000001</v>
      </c>
      <c r="E6" s="114">
        <f>'01_MODELO'!E39*'01_MODELO'!E40</f>
        <v>1283.31</v>
      </c>
      <c r="G6" s="85" t="str">
        <f t="shared" si="0"/>
        <v>Cem unitario (€/m²)</v>
      </c>
      <c r="H6" s="115">
        <f t="array" ref="H6">_xlfn.SWITCH($H$2,$B$2,B6,$C$2,C6,$D$2,D6,$E$2,E6)</f>
        <v>1481.7600000000002</v>
      </c>
    </row>
    <row r="7" spans="1:8" x14ac:dyDescent="0.25">
      <c r="A7" s="116" t="s">
        <v>123</v>
      </c>
      <c r="B7" s="116">
        <f>B6*B5</f>
        <v>4623091.2000000011</v>
      </c>
      <c r="C7" s="116">
        <f>C6*C5</f>
        <v>5829667.2000000002</v>
      </c>
      <c r="D7" s="116">
        <f>D6*D5</f>
        <v>5088337.38</v>
      </c>
      <c r="E7" s="117">
        <f>E6*E5</f>
        <v>7749267.4349999996</v>
      </c>
      <c r="G7" s="118" t="str">
        <f t="shared" si="0"/>
        <v>PEM Total (€)</v>
      </c>
      <c r="H7" s="117">
        <f t="array" ref="H7">_xlfn.SWITCH($H$2,$B$2,B7,$C$2,C7,$D$2,D7,$E$2,E7)</f>
        <v>4623091.2000000011</v>
      </c>
    </row>
    <row r="8" spans="1:8" x14ac:dyDescent="0.25">
      <c r="A8" s="113" t="s">
        <v>124</v>
      </c>
      <c r="B8" s="113">
        <f>B$7*'01_MODELO'!B41</f>
        <v>924618.24000000022</v>
      </c>
      <c r="C8" s="113">
        <f>C$7*'01_MODELO'!C41</f>
        <v>1165933.4400000002</v>
      </c>
      <c r="D8" s="113">
        <f>D$7*'01_MODELO'!D41</f>
        <v>1017667.476</v>
      </c>
      <c r="E8" s="115">
        <f>E$7*'01_MODELO'!E41</f>
        <v>1549853.487</v>
      </c>
      <c r="G8" s="85" t="str">
        <f t="shared" si="0"/>
        <v>GG+BI (€)</v>
      </c>
      <c r="H8" s="115">
        <f t="array" ref="H8">_xlfn.SWITCH($H$2,$B$2,B8,$C$2,C8,$D$2,D8,$E$2,E8)</f>
        <v>924618.24000000022</v>
      </c>
    </row>
    <row r="9" spans="1:8" x14ac:dyDescent="0.25">
      <c r="A9" s="113" t="s">
        <v>125</v>
      </c>
      <c r="B9" s="113">
        <f>B$7*'01_MODELO'!B43</f>
        <v>208039.10400000005</v>
      </c>
      <c r="C9" s="113">
        <f>C$7*'01_MODELO'!C43</f>
        <v>262335.02399999998</v>
      </c>
      <c r="D9" s="113">
        <f>D$7*'01_MODELO'!D43</f>
        <v>228975.18209999998</v>
      </c>
      <c r="E9" s="115">
        <f>E$7*'01_MODELO'!E43</f>
        <v>348717.03457499994</v>
      </c>
      <c r="G9" s="85" t="str">
        <f t="shared" si="0"/>
        <v>Licencias (€)</v>
      </c>
      <c r="H9" s="115">
        <f t="array" ref="H9">_xlfn.SWITCH($H$2,$B$2,B9,$C$2,C9,$D$2,D9,$E$2,E9)</f>
        <v>208039.10400000005</v>
      </c>
    </row>
    <row r="10" spans="1:8" x14ac:dyDescent="0.25">
      <c r="A10" s="113" t="s">
        <v>126</v>
      </c>
      <c r="B10" s="113">
        <f>B$7*'01_MODELO'!B42</f>
        <v>346731.84000000008</v>
      </c>
      <c r="C10" s="113">
        <f>C$7*'01_MODELO'!C42</f>
        <v>408076.70400000003</v>
      </c>
      <c r="D10" s="113">
        <f>D$7*'01_MODELO'!D42</f>
        <v>305300.24280000001</v>
      </c>
      <c r="E10" s="115">
        <f>E$7*'01_MODELO'!E42</f>
        <v>464956.04609999998</v>
      </c>
      <c r="G10" s="85" t="str">
        <f t="shared" si="0"/>
        <v>Contingencia (€)</v>
      </c>
      <c r="H10" s="115">
        <f t="array" ref="H10">_xlfn.SWITCH($H$2,$B$2,B10,$C$2,C10,$D$2,D10,$E$2,E10)</f>
        <v>346731.84000000008</v>
      </c>
    </row>
    <row r="11" spans="1:8" x14ac:dyDescent="0.25">
      <c r="A11" s="113" t="s">
        <v>127</v>
      </c>
      <c r="B11" s="113">
        <f>B$7*'01_MODELO'!B44</f>
        <v>369847.29600000009</v>
      </c>
      <c r="C11" s="113">
        <f>C$7*'01_MODELO'!C44</f>
        <v>466373.37600000005</v>
      </c>
      <c r="D11" s="113">
        <f>D$7*'01_MODELO'!D44</f>
        <v>457950.36419999995</v>
      </c>
      <c r="E11" s="115">
        <f>E$7*'01_MODELO'!E44</f>
        <v>697434.06914999988</v>
      </c>
      <c r="G11" s="85" t="str">
        <f t="shared" si="0"/>
        <v>Honorarios (€)</v>
      </c>
      <c r="H11" s="115">
        <f t="array" ref="H11">_xlfn.SWITCH($H$2,$B$2,B11,$C$2,C11,$D$2,D11,$E$2,E11)</f>
        <v>369847.29600000009</v>
      </c>
    </row>
    <row r="12" spans="1:8" x14ac:dyDescent="0.25">
      <c r="A12" s="113" t="s">
        <v>128</v>
      </c>
      <c r="B12" s="116">
        <f>SUM(B7:B11)</f>
        <v>6472327.6800000016</v>
      </c>
      <c r="C12" s="116">
        <f>SUM(C7:C11)</f>
        <v>8132385.7440000009</v>
      </c>
      <c r="D12" s="116">
        <f>SUM(D7:D11)</f>
        <v>7098230.6450999994</v>
      </c>
      <c r="E12" s="117">
        <f>SUM(E7:E11)</f>
        <v>10810228.071825001</v>
      </c>
      <c r="G12" s="119" t="str">
        <f t="shared" si="0"/>
        <v>Coste total construcción (€)</v>
      </c>
      <c r="H12" s="120">
        <f t="array" ref="H12">_xlfn.SWITCH($H$2,$B$2,B12,$C$2,C12,$D$2,D12,$E$2,E12)</f>
        <v>6472327.6800000016</v>
      </c>
    </row>
    <row r="13" spans="1:8" x14ac:dyDescent="0.25">
      <c r="A13" s="113" t="s">
        <v>129</v>
      </c>
      <c r="B13" s="113">
        <f>B12/B5</f>
        <v>2074.4640000000004</v>
      </c>
      <c r="C13" s="113">
        <f>C12/C5</f>
        <v>1993.2318000000002</v>
      </c>
      <c r="D13" s="113">
        <f>D12/D5</f>
        <v>1697.9381999999998</v>
      </c>
      <c r="E13" s="115">
        <f>E12/E5</f>
        <v>1790.2174500000003</v>
      </c>
      <c r="G13" s="85" t="str">
        <f t="shared" si="0"/>
        <v>Coste total (€/m²)</v>
      </c>
      <c r="H13" s="115">
        <f t="array" ref="H13">_xlfn.SWITCH($H$2,$B$2,B13,$C$2,C13,$D$2,D13,$E$2,E13)</f>
        <v>2074.4640000000004</v>
      </c>
    </row>
    <row r="14" spans="1:8" ht="15.75" customHeight="1" thickBot="1" x14ac:dyDescent="0.3">
      <c r="A14" s="110" t="s">
        <v>130</v>
      </c>
      <c r="B14" s="110">
        <f>B12/B3</f>
        <v>497871.3600000001</v>
      </c>
      <c r="C14" s="110">
        <f>C12/C3</f>
        <v>478375.63200000004</v>
      </c>
      <c r="D14" s="110">
        <f>D12/D3</f>
        <v>182005.91397692307</v>
      </c>
      <c r="E14" s="111">
        <f>E12/E3</f>
        <v>189653.12406710529</v>
      </c>
      <c r="G14" s="112" t="str">
        <f t="shared" si="0"/>
        <v>Coste total por vivienda (€)</v>
      </c>
      <c r="H14" s="111">
        <f t="array" ref="H14">_xlfn.SWITCH($H$2,$B$2,B14,$C$2,C14,$D$2,D14,$E$2,E14)</f>
        <v>497871.3600000001</v>
      </c>
    </row>
    <row r="15" spans="1:8" ht="15.75" customHeight="1" thickTop="1" x14ac:dyDescent="0.25">
      <c r="A15" s="113" t="s">
        <v>131</v>
      </c>
      <c r="B15" s="113">
        <v>127.4</v>
      </c>
      <c r="C15" s="113">
        <v>127.4</v>
      </c>
      <c r="D15" s="113">
        <v>127.4</v>
      </c>
      <c r="E15" s="113">
        <v>127.4</v>
      </c>
      <c r="G15" s="85" t="str">
        <f t="shared" si="0"/>
        <v>Precio suelo (€/m²)</v>
      </c>
      <c r="H15" s="115">
        <f t="array" ref="H15">_xlfn.SWITCH($H$2,$B$2,B15,$C$2,C15,$D$2,D15,$E$2,E15)</f>
        <v>127.4</v>
      </c>
    </row>
    <row r="16" spans="1:8" x14ac:dyDescent="0.25">
      <c r="A16" s="113" t="s">
        <v>132</v>
      </c>
      <c r="B16" s="113">
        <f>'01_MODELO'!$B$5*'10_CAPEX-INGRESOS-PAGOS'!B15</f>
        <v>1183546</v>
      </c>
      <c r="C16" s="113">
        <f>'01_MODELO'!$B$5*'10_CAPEX-INGRESOS-PAGOS'!C15</f>
        <v>1183546</v>
      </c>
      <c r="D16" s="113">
        <f>'01_MODELO'!$B$5*'10_CAPEX-INGRESOS-PAGOS'!D15</f>
        <v>1183546</v>
      </c>
      <c r="E16" s="115">
        <f>'01_MODELO'!$B$5*'10_CAPEX-INGRESOS-PAGOS'!E15</f>
        <v>1183546</v>
      </c>
      <c r="G16" s="85" t="str">
        <f t="shared" si="0"/>
        <v>Coste parcela total (€)</v>
      </c>
      <c r="H16" s="115">
        <f t="array" ref="H16">_xlfn.SWITCH($H$2,$B$2,B16,$C$2,C16,$D$2,D16,$E$2,E16)</f>
        <v>1183546</v>
      </c>
    </row>
    <row r="17" spans="1:8" x14ac:dyDescent="0.25">
      <c r="A17" s="113" t="s">
        <v>133</v>
      </c>
      <c r="B17" s="113">
        <f>B16/B3</f>
        <v>91042</v>
      </c>
      <c r="C17" s="113">
        <f>C16/C3</f>
        <v>69620.352941176476</v>
      </c>
      <c r="D17" s="113">
        <f>D16/D3</f>
        <v>30347.333333333332</v>
      </c>
      <c r="E17" s="115">
        <f>E16/E3</f>
        <v>20763.964912280702</v>
      </c>
      <c r="G17" s="85" t="str">
        <f t="shared" si="0"/>
        <v>Coste suelo por vivienda (€)</v>
      </c>
      <c r="H17" s="115">
        <f t="array" ref="H17">_xlfn.SWITCH($H$2,$B$2,B17,$C$2,C17,$D$2,D17,$E$2,E17)</f>
        <v>91042</v>
      </c>
    </row>
    <row r="18" spans="1:8" x14ac:dyDescent="0.25">
      <c r="A18" s="116" t="s">
        <v>134</v>
      </c>
      <c r="B18" s="116">
        <f>B12+B16</f>
        <v>7655873.6800000016</v>
      </c>
      <c r="C18" s="116">
        <f>C12+C16</f>
        <v>9315931.7440000009</v>
      </c>
      <c r="D18" s="116">
        <f>D12+D16</f>
        <v>8281776.6450999994</v>
      </c>
      <c r="E18" s="117">
        <f>E12+E16</f>
        <v>11993774.071825001</v>
      </c>
      <c r="G18" s="119" t="str">
        <f t="shared" si="0"/>
        <v>Coste total + suelo (€)</v>
      </c>
      <c r="H18" s="120">
        <f t="array" ref="H18">_xlfn.SWITCH($H$2,$B$2,B18,$C$2,C18,$D$2,D18,$E$2,E18)</f>
        <v>7655873.6800000016</v>
      </c>
    </row>
    <row r="19" spans="1:8" x14ac:dyDescent="0.25">
      <c r="A19" s="113" t="s">
        <v>135</v>
      </c>
      <c r="B19" s="113">
        <f>B18/B3</f>
        <v>588913.3600000001</v>
      </c>
      <c r="C19" s="113">
        <f>C18/C3</f>
        <v>547995.98494117649</v>
      </c>
      <c r="D19" s="113">
        <f>D18/D3</f>
        <v>212353.24731025638</v>
      </c>
      <c r="E19" s="115">
        <f>E18/E3</f>
        <v>210417.088979386</v>
      </c>
      <c r="G19" s="85" t="str">
        <f t="shared" si="0"/>
        <v>Coste total + suelo por vivienda (€)</v>
      </c>
      <c r="H19" s="115">
        <f t="array" ref="H19">_xlfn.SWITCH($H$2,$B$2,B19,$C$2,C19,$D$2,D19,$E$2,E19)</f>
        <v>588913.3600000001</v>
      </c>
    </row>
    <row r="20" spans="1:8" x14ac:dyDescent="0.25">
      <c r="A20" s="121" t="s">
        <v>136</v>
      </c>
      <c r="B20" s="121">
        <f>B18/B5</f>
        <v>2453.8056666666671</v>
      </c>
      <c r="C20" s="121">
        <f>C18/C5</f>
        <v>2283.3166039215689</v>
      </c>
      <c r="D20" s="121">
        <f>D18/D5</f>
        <v>1981.0493111111109</v>
      </c>
      <c r="E20" s="122">
        <f>E18/E5</f>
        <v>1986.2174500000003</v>
      </c>
      <c r="G20" s="123" t="str">
        <f t="shared" si="0"/>
        <v>Coste total + suelo (€/m²)</v>
      </c>
      <c r="H20" s="122">
        <f t="array" ref="H20">_xlfn.SWITCH($H$2,$B$2,B20,$C$2,C20,$D$2,D20,$E$2,E20)</f>
        <v>2453.8056666666671</v>
      </c>
    </row>
    <row r="22" spans="1:8" ht="29.25" customHeight="1" x14ac:dyDescent="0.4">
      <c r="A22" s="124" t="s">
        <v>137</v>
      </c>
    </row>
    <row r="23" spans="1:8" ht="24" customHeight="1" thickBot="1" x14ac:dyDescent="0.3">
      <c r="A23" s="19" t="s">
        <v>2</v>
      </c>
      <c r="B23" s="20" t="s">
        <v>9</v>
      </c>
      <c r="C23" s="20" t="s">
        <v>14</v>
      </c>
      <c r="D23" s="20" t="s">
        <v>17</v>
      </c>
      <c r="E23" s="22" t="s">
        <v>19</v>
      </c>
      <c r="F23" s="2"/>
      <c r="G23" s="106" t="s">
        <v>3</v>
      </c>
      <c r="H23" s="22" t="str">
        <f>'00_ESTRATEGIA'!B3</f>
        <v>Unifamiliar seg.</v>
      </c>
    </row>
    <row r="24" spans="1:8" ht="15.75" customHeight="1" thickBot="1" x14ac:dyDescent="0.3">
      <c r="A24" s="73" t="s">
        <v>138</v>
      </c>
      <c r="B24" s="125">
        <f>'01_MODELO'!B29</f>
        <v>13</v>
      </c>
      <c r="C24" s="125">
        <f>'01_MODELO'!C29</f>
        <v>17</v>
      </c>
      <c r="D24" s="125">
        <f>'01_MODELO'!D29</f>
        <v>39</v>
      </c>
      <c r="E24" s="126">
        <f>'01_MODELO'!E29</f>
        <v>57</v>
      </c>
      <c r="F24" s="5"/>
      <c r="G24" s="73" t="str">
        <f t="shared" ref="G24:G41" si="1">A24</f>
        <v>Número viviendas (N)</v>
      </c>
      <c r="H24" s="127">
        <f t="array" ref="H24">_xlfn.SWITCH($H$23,$B$23,B24,$C$23,C24,$D$23,D24,$E$23,E24)</f>
        <v>13</v>
      </c>
    </row>
    <row r="25" spans="1:8" ht="15.75" customHeight="1" thickTop="1" x14ac:dyDescent="0.25">
      <c r="A25" s="269" t="s">
        <v>87</v>
      </c>
      <c r="B25" s="270"/>
      <c r="C25" s="270"/>
      <c r="D25" s="270"/>
      <c r="E25" s="271"/>
      <c r="G25" s="1" t="str">
        <f t="shared" si="1"/>
        <v>VENTA</v>
      </c>
      <c r="H25" s="128"/>
    </row>
    <row r="26" spans="1:8" x14ac:dyDescent="0.25">
      <c r="A26" s="85" t="s">
        <v>139</v>
      </c>
      <c r="B26" s="113">
        <f>'01_MODELO'!B26</f>
        <v>240</v>
      </c>
      <c r="C26" s="113">
        <f>'01_MODELO'!C26</f>
        <v>240</v>
      </c>
      <c r="D26" s="113">
        <f>'01_MODELO'!D26</f>
        <v>90</v>
      </c>
      <c r="E26" s="115">
        <f>'01_MODELO'!E26</f>
        <v>90</v>
      </c>
      <c r="G26" s="85" t="str">
        <f t="shared" si="1"/>
        <v>Superficie media (m2)</v>
      </c>
      <c r="H26" s="129">
        <f t="array" ref="H26">_xlfn.SWITCH($H$23,$B$23,B26,$C$23,C26,$D$23,D26,$E$23,E26)</f>
        <v>240</v>
      </c>
    </row>
    <row r="27" spans="1:8" x14ac:dyDescent="0.25">
      <c r="A27" s="85" t="s">
        <v>91</v>
      </c>
      <c r="B27" s="113">
        <v>715000</v>
      </c>
      <c r="C27" s="113">
        <v>640000</v>
      </c>
      <c r="D27" s="113">
        <v>315000</v>
      </c>
      <c r="E27" s="113">
        <v>315000</v>
      </c>
      <c r="G27" s="85" t="str">
        <f t="shared" si="1"/>
        <v>Precio medio por unidad (€)</v>
      </c>
      <c r="H27" s="129">
        <f t="array" ref="H27">_xlfn.SWITCH($H$23,$B$23,B27,$C$23,C27,$D$23,D27,$E$23,E27)</f>
        <v>715000</v>
      </c>
    </row>
    <row r="28" spans="1:8" x14ac:dyDescent="0.25">
      <c r="A28" s="85" t="s">
        <v>140</v>
      </c>
      <c r="B28">
        <f>B24*B27</f>
        <v>9295000</v>
      </c>
      <c r="C28">
        <f>C24*C27</f>
        <v>10880000</v>
      </c>
      <c r="D28">
        <f>D24*D27</f>
        <v>12285000</v>
      </c>
      <c r="E28" s="129">
        <f>E24*E27</f>
        <v>17955000</v>
      </c>
      <c r="G28" s="85" t="str">
        <f t="shared" si="1"/>
        <v>Ingresos brutos totales (€)</v>
      </c>
      <c r="H28" s="129">
        <f t="array" ref="H28">_xlfn.SWITCH($H$23,$B$23,B28,$C$23,C28,$D$23,D28,$E$23,E28)</f>
        <v>9295000</v>
      </c>
    </row>
    <row r="29" spans="1:8" x14ac:dyDescent="0.25">
      <c r="A29" s="85" t="s">
        <v>94</v>
      </c>
      <c r="B29" s="130">
        <f>'01_MODELO'!B63</f>
        <v>0.03</v>
      </c>
      <c r="C29" s="130">
        <f>'01_MODELO'!C63</f>
        <v>0.03</v>
      </c>
      <c r="D29" s="130">
        <f>'01_MODELO'!D63</f>
        <v>0.04</v>
      </c>
      <c r="E29" s="131">
        <f>'01_MODELO'!E63</f>
        <v>0.04</v>
      </c>
      <c r="G29" s="85" t="str">
        <f t="shared" si="1"/>
        <v>Comercialización (%)</v>
      </c>
      <c r="H29" s="129">
        <f t="array" ref="H29">_xlfn.SWITCH($H$23,$B$23,B29,$C$23,C29,$D$23,D29,$E$23,E29)</f>
        <v>0.03</v>
      </c>
    </row>
    <row r="30" spans="1:8" x14ac:dyDescent="0.25">
      <c r="A30" s="85" t="s">
        <v>141</v>
      </c>
      <c r="B30" s="132">
        <f>B28*B29</f>
        <v>278850</v>
      </c>
      <c r="C30" s="132">
        <f>C28*C29</f>
        <v>326400</v>
      </c>
      <c r="D30" s="132">
        <f>D28*D29</f>
        <v>491400</v>
      </c>
      <c r="E30" s="133">
        <f>E28*E29</f>
        <v>718200</v>
      </c>
      <c r="G30" s="85" t="str">
        <f t="shared" si="1"/>
        <v>Coste comercialización (€)</v>
      </c>
      <c r="H30" s="129">
        <f t="array" ref="H30">_xlfn.SWITCH($H$23,$B$23,B30,$C$23,C30,$D$23,D30,$E$23,E30)</f>
        <v>278850</v>
      </c>
    </row>
    <row r="31" spans="1:8" x14ac:dyDescent="0.25">
      <c r="A31" s="85" t="s">
        <v>142</v>
      </c>
      <c r="B31" s="132">
        <f>B28-B30</f>
        <v>9016150</v>
      </c>
      <c r="C31" s="132">
        <f>C28-C30</f>
        <v>10553600</v>
      </c>
      <c r="D31" s="132">
        <f>D28-D30</f>
        <v>11793600</v>
      </c>
      <c r="E31" s="133">
        <f>E28-E30</f>
        <v>17236800</v>
      </c>
      <c r="G31" s="85" t="str">
        <f t="shared" si="1"/>
        <v>Ingresos netos promotor (€)</v>
      </c>
      <c r="H31" s="129">
        <f t="array" ref="H31">_xlfn.SWITCH($H$23,$B$23,B31,$C$23,C31,$D$23,D31,$E$23,E31)</f>
        <v>9016150</v>
      </c>
    </row>
    <row r="32" spans="1:8" ht="15.75" customHeight="1" thickBot="1" x14ac:dyDescent="0.3">
      <c r="A32" s="85" t="s">
        <v>143</v>
      </c>
      <c r="B32">
        <f>MIN(B24,12*'01_MODELO'!B64)</f>
        <v>13</v>
      </c>
      <c r="C32">
        <f>MIN(C24,12*'01_MODELO'!C64)</f>
        <v>15</v>
      </c>
      <c r="D32">
        <f>MIN(D24,12*'01_MODELO'!D64)</f>
        <v>39</v>
      </c>
      <c r="E32" s="134">
        <f>MIN(E24,12*'01_MODELO'!E64)</f>
        <v>48</v>
      </c>
      <c r="G32" s="85" t="str">
        <f t="shared" si="1"/>
        <v>Ventas anuales</v>
      </c>
      <c r="H32" s="129">
        <f t="array" ref="H32">_xlfn.SWITCH($H$23,$B$23,B32,$C$23,C32,$D$23,D32,$E$23,E32)</f>
        <v>13</v>
      </c>
    </row>
    <row r="33" spans="1:8" ht="15.75" customHeight="1" thickTop="1" x14ac:dyDescent="0.25">
      <c r="A33" s="269" t="s">
        <v>97</v>
      </c>
      <c r="B33" s="270"/>
      <c r="C33" s="270"/>
      <c r="D33" s="270"/>
      <c r="E33" s="271"/>
      <c r="G33" s="1" t="str">
        <f t="shared" si="1"/>
        <v>ALQUILER</v>
      </c>
      <c r="H33" s="135"/>
    </row>
    <row r="34" spans="1:8" x14ac:dyDescent="0.25">
      <c r="A34" s="85" t="s">
        <v>144</v>
      </c>
      <c r="B34" s="132">
        <f>'01_MODELO'!B72</f>
        <v>1815.3496012283049</v>
      </c>
      <c r="C34" s="132">
        <f>'01_MODELO'!C72</f>
        <v>1628.7069016188093</v>
      </c>
      <c r="D34" s="132">
        <f>'01_MODELO'!D72</f>
        <v>1039</v>
      </c>
      <c r="E34" s="132">
        <f>'01_MODELO'!E72</f>
        <v>1039</v>
      </c>
      <c r="G34" s="85" t="str">
        <f t="shared" si="1"/>
        <v>Renta mensual por unidad (€)</v>
      </c>
      <c r="H34" s="129">
        <f t="array" ref="H34">_xlfn.SWITCH($H$23,$B$23,B34,$C$23,C34,$D$23,D34,$E$23,E34)</f>
        <v>1815.3496012283049</v>
      </c>
    </row>
    <row r="35" spans="1:8" x14ac:dyDescent="0.25">
      <c r="A35" s="85" t="s">
        <v>145</v>
      </c>
      <c r="B35">
        <f>B24*B34*12</f>
        <v>283194.53779161558</v>
      </c>
      <c r="C35">
        <f>C24*C34*12</f>
        <v>332256.20793023711</v>
      </c>
      <c r="D35">
        <f>D24*D34*12</f>
        <v>486252</v>
      </c>
      <c r="E35" s="129">
        <f>E24*E34*12</f>
        <v>710676</v>
      </c>
      <c r="G35" s="85" t="str">
        <f t="shared" si="1"/>
        <v>Ingreso bruto anual (€)</v>
      </c>
      <c r="H35" s="129">
        <f t="array" ref="H35">_xlfn.SWITCH($H$23,$B$23,B35,$C$23,C35,$D$23,D35,$E$23,E35)</f>
        <v>283194.53779161558</v>
      </c>
    </row>
    <row r="36" spans="1:8" x14ac:dyDescent="0.25">
      <c r="A36" s="85" t="s">
        <v>99</v>
      </c>
      <c r="B36" s="130">
        <f>'01_MODELO'!B74</f>
        <v>0.93</v>
      </c>
      <c r="C36" s="130">
        <f>'01_MODELO'!C74</f>
        <v>0.93</v>
      </c>
      <c r="D36" s="130">
        <f>'01_MODELO'!D74</f>
        <v>0.93</v>
      </c>
      <c r="E36" s="131">
        <f>'01_MODELO'!E74</f>
        <v>0.93</v>
      </c>
      <c r="G36" s="85" t="str">
        <f t="shared" si="1"/>
        <v>Ocupación estabilizada (%)</v>
      </c>
      <c r="H36" s="129">
        <f t="array" ref="H36">_xlfn.SWITCH($H$23,$B$23,B36,$C$23,C36,$D$23,D36,$E$23,E36)</f>
        <v>0.93</v>
      </c>
    </row>
    <row r="37" spans="1:8" x14ac:dyDescent="0.25">
      <c r="A37" s="85" t="s">
        <v>146</v>
      </c>
      <c r="B37">
        <f>B35*B36</f>
        <v>263370.92014620249</v>
      </c>
      <c r="C37">
        <f>C35*C36</f>
        <v>308998.27337512054</v>
      </c>
      <c r="D37">
        <f>D35*D36</f>
        <v>452214.36000000004</v>
      </c>
      <c r="E37" s="129">
        <f>E35*E36</f>
        <v>660928.68000000005</v>
      </c>
      <c r="G37" s="85" t="str">
        <f t="shared" si="1"/>
        <v>Ingreso efectivo (€)</v>
      </c>
      <c r="H37" s="129">
        <f t="array" ref="H37">_xlfn.SWITCH($H$23,$B$23,B37,$C$23,C37,$D$23,D37,$E$23,E37)</f>
        <v>263370.92014620249</v>
      </c>
    </row>
    <row r="38" spans="1:8" x14ac:dyDescent="0.25">
      <c r="A38" s="85" t="s">
        <v>100</v>
      </c>
      <c r="B38" s="130">
        <f>'01_MODELO'!B75</f>
        <v>0.28000000000000003</v>
      </c>
      <c r="C38" s="130">
        <f>'01_MODELO'!C75</f>
        <v>0.28000000000000003</v>
      </c>
      <c r="D38" s="130">
        <f>'01_MODELO'!D75</f>
        <v>0.28000000000000003</v>
      </c>
      <c r="E38" s="131">
        <f>'01_MODELO'!E75</f>
        <v>0.28000000000000003</v>
      </c>
      <c r="G38" s="85" t="str">
        <f t="shared" si="1"/>
        <v>Gastos explotación (% renta)</v>
      </c>
      <c r="H38" s="129">
        <f t="array" ref="H38">_xlfn.SWITCH($H$23,$B$23,B38,$C$23,C38,$D$23,D38,$E$23,E38)</f>
        <v>0.28000000000000003</v>
      </c>
    </row>
    <row r="39" spans="1:8" x14ac:dyDescent="0.25">
      <c r="A39" s="85" t="s">
        <v>147</v>
      </c>
      <c r="B39" s="113">
        <f>B37*(1-B38)</f>
        <v>189627.06250526579</v>
      </c>
      <c r="C39" s="113">
        <f>C37*(1-C38)</f>
        <v>222478.75683008679</v>
      </c>
      <c r="D39" s="113">
        <f>D37*(1-D38)</f>
        <v>325594.33920000005</v>
      </c>
      <c r="E39" s="115">
        <f>E37*(1-E38)</f>
        <v>475868.6496</v>
      </c>
      <c r="G39" s="85" t="str">
        <f t="shared" si="1"/>
        <v>NOI anual (€)</v>
      </c>
      <c r="H39" s="129">
        <f t="array" ref="H39">_xlfn.SWITCH($H$23,$B$23,B39,$C$23,C39,$D$23,D39,$E$23,E39)</f>
        <v>189627.06250526579</v>
      </c>
    </row>
    <row r="40" spans="1:8" x14ac:dyDescent="0.25">
      <c r="A40" s="85" t="s">
        <v>101</v>
      </c>
      <c r="B40" s="130">
        <f>'01_MODELO'!B76</f>
        <v>0.06</v>
      </c>
      <c r="C40" s="130">
        <f>'01_MODELO'!C76</f>
        <v>0.06</v>
      </c>
      <c r="D40" s="130">
        <f>'01_MODELO'!D76</f>
        <v>0.06</v>
      </c>
      <c r="E40" s="131">
        <f>'01_MODELO'!E76</f>
        <v>0.06</v>
      </c>
      <c r="G40" s="85" t="str">
        <f t="shared" si="1"/>
        <v>Yield mercado (%)</v>
      </c>
      <c r="H40" s="129">
        <f t="array" ref="H40">_xlfn.SWITCH($H$23,$B$23,B40,$C$23,C40,$D$23,D40,$E$23,E40)</f>
        <v>0.06</v>
      </c>
    </row>
    <row r="41" spans="1:8" x14ac:dyDescent="0.25">
      <c r="A41" s="123" t="s">
        <v>148</v>
      </c>
      <c r="B41" s="121">
        <f>B39/B40</f>
        <v>3160451.0417544297</v>
      </c>
      <c r="C41" s="121">
        <f>C39/C40</f>
        <v>3707979.2805014467</v>
      </c>
      <c r="D41" s="121">
        <f>D39/D40</f>
        <v>5426572.3200000012</v>
      </c>
      <c r="E41" s="122">
        <f>E39/E40</f>
        <v>7931144.1600000001</v>
      </c>
      <c r="G41" s="123" t="str">
        <f t="shared" si="1"/>
        <v>Valor capitalizado (€)</v>
      </c>
      <c r="H41" s="136">
        <f t="array" ref="H41">_xlfn.SWITCH($H$23,$B$23,B41,$C$23,C41,$D$23,D41,$E$23,E41)</f>
        <v>3160451.0417544297</v>
      </c>
    </row>
    <row r="43" spans="1:8" ht="30" customHeight="1" x14ac:dyDescent="0.4">
      <c r="A43" s="124" t="s">
        <v>149</v>
      </c>
    </row>
    <row r="44" spans="1:8" ht="30.75" customHeight="1" thickBot="1" x14ac:dyDescent="0.3">
      <c r="A44" s="19" t="s">
        <v>7</v>
      </c>
      <c r="B44" s="20" t="s">
        <v>150</v>
      </c>
      <c r="C44" s="20" t="s">
        <v>151</v>
      </c>
      <c r="D44" s="20" t="s">
        <v>17</v>
      </c>
      <c r="E44" s="22" t="s">
        <v>19</v>
      </c>
      <c r="G44" s="19" t="s">
        <v>3</v>
      </c>
      <c r="H44" s="22" t="str">
        <f>'00_ESTRATEGIA'!B3</f>
        <v>Unifamiliar seg.</v>
      </c>
    </row>
    <row r="45" spans="1:8" x14ac:dyDescent="0.25">
      <c r="A45" t="s">
        <v>152</v>
      </c>
      <c r="B45" s="182">
        <v>0.05</v>
      </c>
      <c r="C45" s="182">
        <v>0.05</v>
      </c>
      <c r="D45" s="182">
        <v>0.05</v>
      </c>
      <c r="E45" s="182">
        <v>0.05</v>
      </c>
      <c r="G45" t="str">
        <f t="shared" ref="G45:G50" si="2">A45</f>
        <v>% Reserva (mes t)</v>
      </c>
      <c r="H45" s="182">
        <f t="array" ref="H45">_xlfn.SWITCH($H$23,$B$23,B45,$C$23,C45,$D$23,D45,$E$23,E45)</f>
        <v>0.05</v>
      </c>
    </row>
    <row r="46" spans="1:8" x14ac:dyDescent="0.25">
      <c r="A46" t="s">
        <v>153</v>
      </c>
      <c r="B46" s="182">
        <v>0.1</v>
      </c>
      <c r="C46" s="182">
        <v>0.1</v>
      </c>
      <c r="D46" s="182">
        <v>0.1</v>
      </c>
      <c r="E46" s="182">
        <v>0.1</v>
      </c>
      <c r="G46" t="str">
        <f t="shared" si="2"/>
        <v>% Contrato (mes t+2)</v>
      </c>
      <c r="H46" s="182">
        <f t="array" ref="H46">_xlfn.SWITCH($H$23,$B$23,B46,$C$23,C46,$D$23,D46,$E$23,E46)</f>
        <v>0.1</v>
      </c>
    </row>
    <row r="47" spans="1:8" x14ac:dyDescent="0.25">
      <c r="A47" t="s">
        <v>154</v>
      </c>
      <c r="B47" s="182">
        <v>0.1</v>
      </c>
      <c r="C47" s="182">
        <v>0.1</v>
      </c>
      <c r="D47" s="182">
        <v>0.1</v>
      </c>
      <c r="E47" s="182">
        <v>0.1</v>
      </c>
      <c r="G47" t="str">
        <f t="shared" si="2"/>
        <v>% Aplazado lineal (t+2 → fin obra)</v>
      </c>
      <c r="H47" s="182">
        <f t="array" ref="H47">_xlfn.SWITCH($H$23,$B$23,B47,$C$23,C47,$D$23,D47,$E$23,E47)</f>
        <v>0.1</v>
      </c>
    </row>
    <row r="48" spans="1:8" x14ac:dyDescent="0.25">
      <c r="A48" t="s">
        <v>155</v>
      </c>
      <c r="B48" s="182">
        <v>0.75</v>
      </c>
      <c r="C48" s="182">
        <v>0.75</v>
      </c>
      <c r="D48" s="182">
        <v>0.75</v>
      </c>
      <c r="E48" s="182">
        <v>0.75</v>
      </c>
      <c r="G48" t="str">
        <f t="shared" si="2"/>
        <v>% Escritura (fin obra)</v>
      </c>
      <c r="H48" s="182">
        <f t="array" ref="H48">_xlfn.SWITCH($H$23,$B$23,B48,$C$23,C48,$D$23,D48,$E$23,E48)</f>
        <v>0.75</v>
      </c>
    </row>
    <row r="49" spans="1:8" ht="15.75" customHeight="1" thickBot="1" x14ac:dyDescent="0.3">
      <c r="A49" s="223" t="s">
        <v>156</v>
      </c>
      <c r="B49" s="183">
        <f>SUM(B45:B48)</f>
        <v>1</v>
      </c>
      <c r="C49" s="183">
        <f>SUM(C45:C48)</f>
        <v>1</v>
      </c>
      <c r="D49" s="183">
        <f>SUM(D45:D48)</f>
        <v>1</v>
      </c>
      <c r="E49" s="183">
        <f>SUM(E45:E48)</f>
        <v>1</v>
      </c>
      <c r="G49" s="223" t="str">
        <f t="shared" si="2"/>
        <v>Total</v>
      </c>
      <c r="H49" s="183">
        <f t="array" ref="H49">_xlfn.SWITCH($H$23,$B$23,B49,$C$23,C49,$D$23,D49,$E$23,E49)</f>
        <v>1</v>
      </c>
    </row>
    <row r="50" spans="1:8" ht="15.75" customHeight="1" thickTop="1" x14ac:dyDescent="0.25">
      <c r="A50" s="222" t="s">
        <v>157</v>
      </c>
      <c r="B50" s="182">
        <f>1-B45-B46</f>
        <v>0.85</v>
      </c>
      <c r="C50" s="182">
        <f>1-C45-C46</f>
        <v>0.85</v>
      </c>
      <c r="D50" s="182">
        <f>1-D45-D46</f>
        <v>0.85</v>
      </c>
      <c r="E50" s="182">
        <f>1-E45-E46</f>
        <v>0.85</v>
      </c>
      <c r="G50" s="222" t="str">
        <f t="shared" si="2"/>
        <v>% Escritura post fin obra (sin lineal)</v>
      </c>
      <c r="H50" s="182">
        <f t="array" ref="H50">_xlfn.SWITCH($H$23,$B$23,B50,$C$23,C50,$D$23,D50,$E$23,E50)</f>
        <v>0.85</v>
      </c>
    </row>
  </sheetData>
  <mergeCells count="2">
    <mergeCell ref="A25:E25"/>
    <mergeCell ref="A33:E3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89999084444715716"/>
  </sheetPr>
  <dimension ref="A1:E25"/>
  <sheetViews>
    <sheetView zoomScaleNormal="100" workbookViewId="0">
      <selection activeCell="B13" sqref="B13"/>
    </sheetView>
  </sheetViews>
  <sheetFormatPr baseColWidth="10" defaultColWidth="9.140625" defaultRowHeight="15" x14ac:dyDescent="0.25"/>
  <cols>
    <col min="1" max="1" width="54.42578125" customWidth="1"/>
    <col min="2" max="2" width="7.140625" customWidth="1"/>
    <col min="3" max="3" width="7.28515625" customWidth="1"/>
    <col min="5" max="5" width="23.42578125" customWidth="1"/>
  </cols>
  <sheetData>
    <row r="1" spans="1:5" ht="26.25" x14ac:dyDescent="0.4">
      <c r="A1" s="102" t="s">
        <v>380</v>
      </c>
    </row>
    <row r="2" spans="1:5" x14ac:dyDescent="0.25">
      <c r="A2" s="206" t="s">
        <v>2</v>
      </c>
      <c r="B2" s="206" t="s">
        <v>12</v>
      </c>
      <c r="C2" s="206" t="s">
        <v>158</v>
      </c>
      <c r="E2" s="221" t="s">
        <v>159</v>
      </c>
    </row>
    <row r="3" spans="1:5" x14ac:dyDescent="0.25">
      <c r="A3" s="220" t="s">
        <v>160</v>
      </c>
      <c r="B3" s="137"/>
      <c r="C3" s="137"/>
    </row>
    <row r="4" spans="1:5" x14ac:dyDescent="0.25">
      <c r="A4" t="s">
        <v>161</v>
      </c>
      <c r="B4" s="15">
        <f>E4+'02_ESCENARIOS'!G21</f>
        <v>2.75E-2</v>
      </c>
      <c r="C4" t="s">
        <v>35</v>
      </c>
      <c r="E4" s="207">
        <v>2.75E-2</v>
      </c>
    </row>
    <row r="5" spans="1:5" x14ac:dyDescent="0.25">
      <c r="A5" t="s">
        <v>162</v>
      </c>
      <c r="B5" s="15">
        <v>2.75E-2</v>
      </c>
      <c r="C5" t="s">
        <v>35</v>
      </c>
    </row>
    <row r="6" spans="1:5" x14ac:dyDescent="0.25">
      <c r="A6" t="s">
        <v>163</v>
      </c>
      <c r="B6" s="15">
        <v>3.1140000000000001E-2</v>
      </c>
      <c r="C6" t="s">
        <v>35</v>
      </c>
    </row>
    <row r="7" spans="1:5" x14ac:dyDescent="0.25">
      <c r="A7" t="s">
        <v>164</v>
      </c>
      <c r="B7" s="15">
        <v>5.8000000000000003E-2</v>
      </c>
      <c r="C7" t="s">
        <v>35</v>
      </c>
    </row>
    <row r="8" spans="1:5" x14ac:dyDescent="0.25">
      <c r="A8" t="s">
        <v>165</v>
      </c>
      <c r="B8" s="15">
        <v>0.02</v>
      </c>
      <c r="C8" t="s">
        <v>35</v>
      </c>
    </row>
    <row r="9" spans="1:5" x14ac:dyDescent="0.25">
      <c r="A9" t="s">
        <v>166</v>
      </c>
      <c r="B9" s="15">
        <f>2%-0.41%</f>
        <v>1.5900000000000001E-2</v>
      </c>
      <c r="C9" t="s">
        <v>35</v>
      </c>
    </row>
    <row r="10" spans="1:5" x14ac:dyDescent="0.25">
      <c r="A10" s="220" t="s">
        <v>167</v>
      </c>
      <c r="B10" s="137"/>
      <c r="C10" s="137"/>
    </row>
    <row r="11" spans="1:5" x14ac:dyDescent="0.25">
      <c r="A11" t="s">
        <v>168</v>
      </c>
      <c r="B11" s="15">
        <v>0.65</v>
      </c>
      <c r="C11" t="s">
        <v>35</v>
      </c>
      <c r="E11">
        <f>'00_ESTRATEGIA'!B14</f>
        <v>1570326.0227199998</v>
      </c>
    </row>
    <row r="12" spans="1:5" x14ac:dyDescent="0.25">
      <c r="A12" t="s">
        <v>169</v>
      </c>
      <c r="B12" s="15">
        <f>B4+B5</f>
        <v>5.5E-2</v>
      </c>
      <c r="C12" t="s">
        <v>35</v>
      </c>
    </row>
    <row r="13" spans="1:5" x14ac:dyDescent="0.25">
      <c r="A13" t="s">
        <v>170</v>
      </c>
      <c r="B13" s="113">
        <f>'01_MODELO'!I35</f>
        <v>11</v>
      </c>
      <c r="C13" t="s">
        <v>76</v>
      </c>
    </row>
    <row r="14" spans="1:5" x14ac:dyDescent="0.25">
      <c r="A14" t="s">
        <v>171</v>
      </c>
      <c r="B14" s="113">
        <f>'01_MODELO'!I37</f>
        <v>35</v>
      </c>
      <c r="C14" t="s">
        <v>76</v>
      </c>
    </row>
    <row r="15" spans="1:5" x14ac:dyDescent="0.25">
      <c r="A15" t="s">
        <v>172</v>
      </c>
      <c r="B15" s="15">
        <v>0.85</v>
      </c>
      <c r="C15" t="s">
        <v>35</v>
      </c>
    </row>
    <row r="16" spans="1:5" x14ac:dyDescent="0.25">
      <c r="A16" t="s">
        <v>173</v>
      </c>
      <c r="B16" s="15">
        <v>0.25</v>
      </c>
      <c r="C16" t="s">
        <v>35</v>
      </c>
    </row>
    <row r="17" spans="1:3" x14ac:dyDescent="0.25">
      <c r="A17" t="s">
        <v>174</v>
      </c>
      <c r="B17" s="15">
        <f>B6+B7+B8+B9</f>
        <v>0.12504000000000001</v>
      </c>
      <c r="C17" t="s">
        <v>35</v>
      </c>
    </row>
    <row r="18" spans="1:3" x14ac:dyDescent="0.25">
      <c r="A18" s="220" t="s">
        <v>175</v>
      </c>
      <c r="B18" s="137"/>
      <c r="C18" s="137"/>
    </row>
    <row r="19" spans="1:3" x14ac:dyDescent="0.25">
      <c r="A19" t="s">
        <v>176</v>
      </c>
      <c r="B19" s="15">
        <v>0.5</v>
      </c>
      <c r="C19" t="s">
        <v>35</v>
      </c>
    </row>
    <row r="20" spans="1:3" x14ac:dyDescent="0.25">
      <c r="A20" t="s">
        <v>177</v>
      </c>
      <c r="B20" s="15">
        <v>0.08</v>
      </c>
      <c r="C20" t="s">
        <v>35</v>
      </c>
    </row>
    <row r="21" spans="1:3" x14ac:dyDescent="0.25">
      <c r="A21" t="s">
        <v>178</v>
      </c>
      <c r="B21" s="15">
        <v>0.7</v>
      </c>
      <c r="C21" t="s">
        <v>35</v>
      </c>
    </row>
    <row r="22" spans="1:3" x14ac:dyDescent="0.25">
      <c r="A22" t="s">
        <v>179</v>
      </c>
      <c r="B22" s="15">
        <v>0.3</v>
      </c>
      <c r="C22" t="s">
        <v>35</v>
      </c>
    </row>
    <row r="23" spans="1:3" x14ac:dyDescent="0.25">
      <c r="A23" t="s">
        <v>180</v>
      </c>
      <c r="B23" s="113">
        <f>'01_MODELO'!I35</f>
        <v>11</v>
      </c>
      <c r="C23" t="s">
        <v>76</v>
      </c>
    </row>
    <row r="24" spans="1:3" x14ac:dyDescent="0.25">
      <c r="A24" t="s">
        <v>181</v>
      </c>
      <c r="B24" s="15">
        <v>7.4999999999999997E-3</v>
      </c>
      <c r="C24" t="s">
        <v>35</v>
      </c>
    </row>
    <row r="25" spans="1:3" x14ac:dyDescent="0.25">
      <c r="A25" t="s">
        <v>182</v>
      </c>
      <c r="B25" s="15">
        <v>5.0000000000000001E-3</v>
      </c>
      <c r="C25" t="s">
        <v>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79998168889431442"/>
  </sheetPr>
  <dimension ref="A1:FZ52"/>
  <sheetViews>
    <sheetView showGridLines="0" tabSelected="1" zoomScaleNormal="100" workbookViewId="0">
      <pane xSplit="1" ySplit="5" topLeftCell="B20" activePane="bottomRight" state="frozen"/>
      <selection pane="topRight"/>
      <selection pane="bottomLeft"/>
      <selection pane="bottomRight" activeCell="B49" sqref="B49"/>
    </sheetView>
  </sheetViews>
  <sheetFormatPr baseColWidth="10" defaultColWidth="9.140625" defaultRowHeight="15" outlineLevelCol="1" x14ac:dyDescent="0.25"/>
  <cols>
    <col min="1" max="1" width="41.42578125" style="138" customWidth="1"/>
    <col min="2" max="5" width="10.85546875" customWidth="1"/>
    <col min="6" max="65" width="10.85546875" customWidth="1" outlineLevel="1"/>
    <col min="66" max="122" width="9.5703125" customWidth="1" outlineLevel="1"/>
    <col min="123" max="125" width="9.140625" customWidth="1" outlineLevel="1"/>
    <col min="182" max="182" width="10.42578125" customWidth="1"/>
  </cols>
  <sheetData>
    <row r="1" spans="1:182" ht="26.25" x14ac:dyDescent="0.4">
      <c r="A1" s="199" t="s">
        <v>413</v>
      </c>
    </row>
    <row r="2" spans="1:182" x14ac:dyDescent="0.25">
      <c r="A2" s="163" t="s">
        <v>301</v>
      </c>
      <c r="B2" s="162" t="str">
        <f>'00_ESTRATEGIA'!B3</f>
        <v>Unifamiliar seg.</v>
      </c>
      <c r="C2" s="162"/>
      <c r="D2" s="162" t="s">
        <v>302</v>
      </c>
      <c r="E2" s="162" t="str">
        <f>'00_ESTRATEGIA'!B4</f>
        <v>Base</v>
      </c>
    </row>
    <row r="3" spans="1:182" ht="15.75" customHeight="1" x14ac:dyDescent="0.25">
      <c r="A3" s="139" t="s">
        <v>183</v>
      </c>
      <c r="B3" s="140">
        <v>0</v>
      </c>
      <c r="C3" s="140">
        <v>1</v>
      </c>
      <c r="D3" s="140">
        <v>2</v>
      </c>
      <c r="E3" s="140">
        <v>3</v>
      </c>
      <c r="F3" s="140">
        <v>4</v>
      </c>
      <c r="G3" s="140">
        <v>5</v>
      </c>
      <c r="H3" s="140">
        <v>6</v>
      </c>
      <c r="I3" s="140">
        <v>7</v>
      </c>
      <c r="J3" s="140">
        <v>8</v>
      </c>
      <c r="K3" s="140">
        <v>9</v>
      </c>
      <c r="L3" s="140">
        <v>10</v>
      </c>
      <c r="M3" s="140">
        <v>11</v>
      </c>
      <c r="N3" s="140">
        <v>12</v>
      </c>
      <c r="O3" s="140">
        <v>13</v>
      </c>
      <c r="P3" s="140">
        <v>14</v>
      </c>
      <c r="Q3" s="140">
        <v>15</v>
      </c>
      <c r="R3" s="140">
        <v>16</v>
      </c>
      <c r="S3" s="140">
        <v>17</v>
      </c>
      <c r="T3" s="140">
        <v>18</v>
      </c>
      <c r="U3" s="140">
        <v>19</v>
      </c>
      <c r="V3" s="140">
        <v>20</v>
      </c>
      <c r="W3" s="140">
        <v>21</v>
      </c>
      <c r="X3" s="140">
        <v>22</v>
      </c>
      <c r="Y3" s="140">
        <v>23</v>
      </c>
      <c r="Z3" s="140">
        <v>24</v>
      </c>
      <c r="AA3" s="140">
        <v>25</v>
      </c>
      <c r="AB3" s="140">
        <v>26</v>
      </c>
      <c r="AC3" s="140">
        <v>27</v>
      </c>
      <c r="AD3" s="140">
        <v>28</v>
      </c>
      <c r="AE3" s="140">
        <v>29</v>
      </c>
      <c r="AF3" s="140">
        <v>30</v>
      </c>
      <c r="AG3" s="140">
        <v>31</v>
      </c>
      <c r="AH3" s="140">
        <v>32</v>
      </c>
      <c r="AI3" s="140">
        <v>33</v>
      </c>
      <c r="AJ3" s="140">
        <v>34</v>
      </c>
      <c r="AK3" s="140">
        <v>35</v>
      </c>
      <c r="AL3" s="140">
        <v>36</v>
      </c>
      <c r="AM3" s="140">
        <v>37</v>
      </c>
      <c r="AN3" s="140">
        <v>38</v>
      </c>
      <c r="AO3" s="140">
        <v>39</v>
      </c>
      <c r="AP3" s="140">
        <v>40</v>
      </c>
      <c r="AQ3" s="140">
        <v>41</v>
      </c>
      <c r="AR3" s="140">
        <v>42</v>
      </c>
      <c r="AS3" s="140">
        <v>43</v>
      </c>
      <c r="AT3" s="140">
        <v>44</v>
      </c>
      <c r="AU3" s="140">
        <v>45</v>
      </c>
      <c r="AV3" s="140">
        <v>46</v>
      </c>
      <c r="AW3" s="140">
        <v>47</v>
      </c>
      <c r="AX3" s="140">
        <v>48</v>
      </c>
      <c r="AY3" s="140">
        <v>49</v>
      </c>
      <c r="AZ3" s="140">
        <v>50</v>
      </c>
      <c r="BA3" s="140">
        <v>51</v>
      </c>
      <c r="BB3" s="140">
        <v>52</v>
      </c>
      <c r="BC3" s="140">
        <v>53</v>
      </c>
      <c r="BD3" s="140">
        <v>54</v>
      </c>
      <c r="BE3" s="140">
        <v>55</v>
      </c>
      <c r="BF3" s="140">
        <v>56</v>
      </c>
      <c r="BG3" s="140">
        <v>57</v>
      </c>
      <c r="BH3" s="140">
        <v>58</v>
      </c>
      <c r="BI3" s="140">
        <v>59</v>
      </c>
      <c r="BJ3" s="140">
        <v>60</v>
      </c>
      <c r="BK3" s="140">
        <v>61</v>
      </c>
      <c r="BL3" s="140">
        <v>62</v>
      </c>
      <c r="BM3" s="140">
        <v>63</v>
      </c>
      <c r="BN3" s="140">
        <v>64</v>
      </c>
      <c r="BO3" s="140">
        <v>65</v>
      </c>
      <c r="BP3" s="140">
        <v>66</v>
      </c>
      <c r="BQ3" s="140">
        <v>67</v>
      </c>
      <c r="BR3" s="140">
        <v>68</v>
      </c>
      <c r="BS3" s="140">
        <v>69</v>
      </c>
      <c r="BT3" s="140">
        <v>70</v>
      </c>
      <c r="BU3" s="140">
        <v>71</v>
      </c>
      <c r="BV3" s="140">
        <v>72</v>
      </c>
      <c r="BW3" s="140">
        <v>73</v>
      </c>
      <c r="BX3" s="140">
        <v>74</v>
      </c>
      <c r="BY3" s="140">
        <v>75</v>
      </c>
      <c r="BZ3" s="140">
        <v>76</v>
      </c>
      <c r="CA3" s="140">
        <v>77</v>
      </c>
      <c r="CB3" s="140">
        <v>78</v>
      </c>
      <c r="CC3" s="140">
        <v>79</v>
      </c>
      <c r="CD3" s="140">
        <v>80</v>
      </c>
      <c r="CE3" s="140">
        <v>81</v>
      </c>
      <c r="CF3" s="140">
        <v>82</v>
      </c>
      <c r="CG3" s="140">
        <v>83</v>
      </c>
      <c r="CH3" s="140">
        <v>84</v>
      </c>
      <c r="CI3" s="140">
        <v>85</v>
      </c>
      <c r="CJ3" s="140">
        <v>86</v>
      </c>
      <c r="CK3" s="140">
        <v>87</v>
      </c>
      <c r="CL3" s="140">
        <v>88</v>
      </c>
      <c r="CM3" s="140">
        <v>89</v>
      </c>
      <c r="CN3" s="140">
        <v>90</v>
      </c>
      <c r="CO3" s="140">
        <v>91</v>
      </c>
      <c r="CP3" s="140">
        <v>92</v>
      </c>
      <c r="CQ3" s="140">
        <v>93</v>
      </c>
      <c r="CR3" s="140">
        <v>94</v>
      </c>
      <c r="CS3" s="140">
        <v>95</v>
      </c>
      <c r="CT3" s="140">
        <v>96</v>
      </c>
      <c r="CU3" s="140">
        <v>97</v>
      </c>
      <c r="CV3" s="140">
        <v>98</v>
      </c>
      <c r="CW3" s="140">
        <v>99</v>
      </c>
      <c r="CX3" s="140">
        <v>100</v>
      </c>
      <c r="CY3" s="140">
        <v>101</v>
      </c>
      <c r="CZ3" s="140">
        <v>102</v>
      </c>
      <c r="DA3" s="140">
        <v>103</v>
      </c>
      <c r="DB3" s="140">
        <v>104</v>
      </c>
      <c r="DC3" s="140">
        <v>105</v>
      </c>
      <c r="DD3" s="140">
        <v>106</v>
      </c>
      <c r="DE3" s="140">
        <v>107</v>
      </c>
      <c r="DF3" s="140">
        <v>108</v>
      </c>
      <c r="DG3" s="140">
        <v>109</v>
      </c>
      <c r="DH3" s="140">
        <v>110</v>
      </c>
      <c r="DI3" s="140">
        <v>111</v>
      </c>
      <c r="DJ3" s="140">
        <v>112</v>
      </c>
      <c r="DK3" s="140">
        <v>113</v>
      </c>
      <c r="DL3" s="140">
        <v>114</v>
      </c>
      <c r="DM3" s="140">
        <v>115</v>
      </c>
      <c r="DN3" s="140">
        <v>116</v>
      </c>
      <c r="DO3" s="140">
        <v>117</v>
      </c>
      <c r="DP3" s="140">
        <v>118</v>
      </c>
      <c r="DQ3" s="140">
        <v>119</v>
      </c>
      <c r="DR3" s="140">
        <v>120</v>
      </c>
      <c r="DS3" s="140">
        <v>121</v>
      </c>
      <c r="DT3" s="140">
        <v>122</v>
      </c>
      <c r="DU3" s="140">
        <v>123</v>
      </c>
      <c r="DV3" s="140">
        <v>124</v>
      </c>
      <c r="DW3" s="140">
        <v>125</v>
      </c>
      <c r="DX3" s="140">
        <v>126</v>
      </c>
      <c r="DY3" s="140">
        <v>127</v>
      </c>
      <c r="DZ3" s="140">
        <v>128</v>
      </c>
      <c r="EA3" s="140">
        <v>129</v>
      </c>
      <c r="EB3" s="140">
        <v>130</v>
      </c>
      <c r="EC3" s="140">
        <v>131</v>
      </c>
      <c r="ED3" s="140">
        <v>132</v>
      </c>
      <c r="EE3" s="140">
        <v>133</v>
      </c>
      <c r="EF3" s="140">
        <v>134</v>
      </c>
      <c r="EG3" s="140">
        <v>135</v>
      </c>
      <c r="EH3" s="140">
        <v>136</v>
      </c>
      <c r="EI3" s="140">
        <v>137</v>
      </c>
      <c r="EJ3" s="140">
        <v>138</v>
      </c>
      <c r="EK3" s="140">
        <v>139</v>
      </c>
      <c r="EL3" s="140">
        <v>140</v>
      </c>
      <c r="EM3" s="140">
        <v>141</v>
      </c>
      <c r="EN3" s="140">
        <v>142</v>
      </c>
      <c r="EO3" s="140">
        <v>143</v>
      </c>
      <c r="EP3" s="140">
        <v>144</v>
      </c>
      <c r="EQ3" s="140">
        <v>145</v>
      </c>
      <c r="ER3" s="140">
        <v>146</v>
      </c>
      <c r="ES3" s="140">
        <v>147</v>
      </c>
      <c r="ET3" s="140">
        <v>148</v>
      </c>
      <c r="EU3" s="140">
        <v>149</v>
      </c>
      <c r="EV3" s="140">
        <v>150</v>
      </c>
      <c r="EW3" s="140">
        <v>151</v>
      </c>
      <c r="EX3" s="140">
        <v>152</v>
      </c>
      <c r="EY3" s="140">
        <v>153</v>
      </c>
      <c r="EZ3" s="140">
        <v>154</v>
      </c>
      <c r="FA3" s="140">
        <v>155</v>
      </c>
      <c r="FB3" s="140">
        <v>156</v>
      </c>
      <c r="FC3" s="140">
        <v>157</v>
      </c>
      <c r="FD3" s="140">
        <v>158</v>
      </c>
      <c r="FE3" s="140">
        <v>159</v>
      </c>
      <c r="FF3" s="140">
        <v>160</v>
      </c>
      <c r="FG3" s="140">
        <v>161</v>
      </c>
      <c r="FH3" s="140">
        <v>162</v>
      </c>
      <c r="FI3" s="140">
        <v>163</v>
      </c>
      <c r="FJ3" s="140">
        <v>164</v>
      </c>
      <c r="FK3" s="140">
        <v>165</v>
      </c>
      <c r="FL3" s="140">
        <v>166</v>
      </c>
      <c r="FM3" s="140">
        <v>167</v>
      </c>
      <c r="FN3" s="140">
        <v>168</v>
      </c>
      <c r="FO3" s="140">
        <v>169</v>
      </c>
      <c r="FP3" s="140">
        <v>170</v>
      </c>
      <c r="FQ3" s="140">
        <v>171</v>
      </c>
      <c r="FR3" s="140">
        <v>172</v>
      </c>
      <c r="FS3" s="140">
        <v>173</v>
      </c>
      <c r="FT3" s="140">
        <v>174</v>
      </c>
      <c r="FU3" s="140">
        <v>175</v>
      </c>
      <c r="FV3" s="140">
        <v>176</v>
      </c>
      <c r="FW3" s="140">
        <v>177</v>
      </c>
      <c r="FX3" s="140">
        <v>178</v>
      </c>
      <c r="FY3" s="140">
        <v>179</v>
      </c>
      <c r="FZ3" s="140">
        <v>180</v>
      </c>
    </row>
    <row r="4" spans="1:182" ht="15.75" customHeight="1" thickBot="1" x14ac:dyDescent="0.3">
      <c r="A4" s="141" t="s">
        <v>184</v>
      </c>
      <c r="B4" s="142" t="s">
        <v>185</v>
      </c>
      <c r="C4" s="142" t="s">
        <v>185</v>
      </c>
      <c r="D4" s="142" t="s">
        <v>185</v>
      </c>
      <c r="E4" s="142" t="s">
        <v>185</v>
      </c>
      <c r="F4" s="142" t="s">
        <v>185</v>
      </c>
      <c r="G4" s="142" t="s">
        <v>185</v>
      </c>
      <c r="H4" s="142" t="s">
        <v>185</v>
      </c>
      <c r="I4" s="142" t="s">
        <v>185</v>
      </c>
      <c r="J4" s="142" t="s">
        <v>185</v>
      </c>
      <c r="K4" s="142" t="s">
        <v>185</v>
      </c>
      <c r="L4" s="142" t="s">
        <v>185</v>
      </c>
      <c r="M4" s="142" t="s">
        <v>185</v>
      </c>
      <c r="N4" s="142" t="s">
        <v>186</v>
      </c>
      <c r="O4" s="142" t="s">
        <v>186</v>
      </c>
      <c r="P4" s="142" t="s">
        <v>186</v>
      </c>
      <c r="Q4" s="142" t="s">
        <v>186</v>
      </c>
      <c r="R4" s="142" t="s">
        <v>186</v>
      </c>
      <c r="S4" s="142" t="s">
        <v>186</v>
      </c>
      <c r="T4" s="142" t="s">
        <v>186</v>
      </c>
      <c r="U4" s="142" t="s">
        <v>186</v>
      </c>
      <c r="V4" s="142" t="s">
        <v>186</v>
      </c>
      <c r="W4" s="142" t="s">
        <v>186</v>
      </c>
      <c r="X4" s="142" t="s">
        <v>186</v>
      </c>
      <c r="Y4" s="142" t="s">
        <v>186</v>
      </c>
      <c r="Z4" s="142" t="s">
        <v>187</v>
      </c>
      <c r="AA4" s="142" t="s">
        <v>187</v>
      </c>
      <c r="AB4" s="142" t="s">
        <v>187</v>
      </c>
      <c r="AC4" s="142" t="s">
        <v>187</v>
      </c>
      <c r="AD4" s="142" t="s">
        <v>187</v>
      </c>
      <c r="AE4" s="142" t="s">
        <v>187</v>
      </c>
      <c r="AF4" s="142" t="s">
        <v>187</v>
      </c>
      <c r="AG4" s="142" t="s">
        <v>187</v>
      </c>
      <c r="AH4" s="142" t="s">
        <v>187</v>
      </c>
      <c r="AI4" s="142" t="s">
        <v>187</v>
      </c>
      <c r="AJ4" s="142" t="s">
        <v>187</v>
      </c>
      <c r="AK4" s="142" t="s">
        <v>187</v>
      </c>
      <c r="AL4" s="142" t="s">
        <v>188</v>
      </c>
      <c r="AM4" s="142" t="s">
        <v>188</v>
      </c>
      <c r="AN4" s="142" t="s">
        <v>188</v>
      </c>
      <c r="AO4" s="142" t="s">
        <v>188</v>
      </c>
      <c r="AP4" s="142" t="s">
        <v>188</v>
      </c>
      <c r="AQ4" s="142" t="s">
        <v>188</v>
      </c>
      <c r="AR4" s="142" t="s">
        <v>188</v>
      </c>
      <c r="AS4" s="142" t="s">
        <v>188</v>
      </c>
      <c r="AT4" s="142" t="s">
        <v>188</v>
      </c>
      <c r="AU4" s="142" t="s">
        <v>188</v>
      </c>
      <c r="AV4" s="142" t="s">
        <v>188</v>
      </c>
      <c r="AW4" s="142" t="s">
        <v>188</v>
      </c>
      <c r="AX4" s="142" t="s">
        <v>189</v>
      </c>
      <c r="AY4" s="142" t="s">
        <v>189</v>
      </c>
      <c r="AZ4" s="142" t="s">
        <v>189</v>
      </c>
      <c r="BA4" s="142" t="s">
        <v>189</v>
      </c>
      <c r="BB4" s="142" t="s">
        <v>189</v>
      </c>
      <c r="BC4" s="142" t="s">
        <v>189</v>
      </c>
      <c r="BD4" s="142" t="s">
        <v>189</v>
      </c>
      <c r="BE4" s="142" t="s">
        <v>189</v>
      </c>
      <c r="BF4" s="142" t="s">
        <v>189</v>
      </c>
      <c r="BG4" s="142" t="s">
        <v>189</v>
      </c>
      <c r="BH4" s="142" t="s">
        <v>189</v>
      </c>
      <c r="BI4" s="142" t="s">
        <v>189</v>
      </c>
      <c r="BJ4" s="142" t="s">
        <v>190</v>
      </c>
      <c r="BK4" s="142" t="s">
        <v>190</v>
      </c>
      <c r="BL4" s="142" t="s">
        <v>190</v>
      </c>
      <c r="BM4" s="142" t="s">
        <v>190</v>
      </c>
      <c r="BN4" s="142" t="s">
        <v>190</v>
      </c>
      <c r="BO4" s="142" t="s">
        <v>190</v>
      </c>
      <c r="BP4" s="142" t="s">
        <v>190</v>
      </c>
      <c r="BQ4" s="142" t="s">
        <v>190</v>
      </c>
      <c r="BR4" s="142" t="s">
        <v>190</v>
      </c>
      <c r="BS4" s="142" t="s">
        <v>190</v>
      </c>
      <c r="BT4" s="142" t="s">
        <v>190</v>
      </c>
      <c r="BU4" s="142" t="s">
        <v>190</v>
      </c>
      <c r="BV4" s="142" t="s">
        <v>191</v>
      </c>
      <c r="BW4" s="142" t="s">
        <v>191</v>
      </c>
      <c r="BX4" s="142" t="s">
        <v>191</v>
      </c>
      <c r="BY4" s="142" t="s">
        <v>191</v>
      </c>
      <c r="BZ4" s="142" t="s">
        <v>191</v>
      </c>
      <c r="CA4" s="142" t="s">
        <v>191</v>
      </c>
      <c r="CB4" s="142" t="s">
        <v>191</v>
      </c>
      <c r="CC4" s="142" t="s">
        <v>191</v>
      </c>
      <c r="CD4" s="142" t="s">
        <v>191</v>
      </c>
      <c r="CE4" s="142" t="s">
        <v>191</v>
      </c>
      <c r="CF4" s="142" t="s">
        <v>191</v>
      </c>
      <c r="CG4" s="142" t="s">
        <v>191</v>
      </c>
      <c r="CH4" s="142" t="s">
        <v>192</v>
      </c>
      <c r="CI4" s="142" t="s">
        <v>192</v>
      </c>
      <c r="CJ4" s="142" t="s">
        <v>192</v>
      </c>
      <c r="CK4" s="142" t="s">
        <v>192</v>
      </c>
      <c r="CL4" s="142" t="s">
        <v>192</v>
      </c>
      <c r="CM4" s="142" t="s">
        <v>192</v>
      </c>
      <c r="CN4" s="142" t="s">
        <v>192</v>
      </c>
      <c r="CO4" s="142" t="s">
        <v>192</v>
      </c>
      <c r="CP4" s="142" t="s">
        <v>192</v>
      </c>
      <c r="CQ4" s="142" t="s">
        <v>192</v>
      </c>
      <c r="CR4" s="142" t="s">
        <v>192</v>
      </c>
      <c r="CS4" s="142" t="s">
        <v>192</v>
      </c>
      <c r="CT4" s="142" t="s">
        <v>193</v>
      </c>
      <c r="CU4" s="142" t="s">
        <v>193</v>
      </c>
      <c r="CV4" s="142" t="s">
        <v>193</v>
      </c>
      <c r="CW4" s="142" t="s">
        <v>193</v>
      </c>
      <c r="CX4" s="142" t="s">
        <v>193</v>
      </c>
      <c r="CY4" s="142" t="s">
        <v>193</v>
      </c>
      <c r="CZ4" s="142" t="s">
        <v>193</v>
      </c>
      <c r="DA4" s="142" t="s">
        <v>193</v>
      </c>
      <c r="DB4" s="142" t="s">
        <v>193</v>
      </c>
      <c r="DC4" s="142" t="s">
        <v>193</v>
      </c>
      <c r="DD4" s="142" t="s">
        <v>193</v>
      </c>
      <c r="DE4" s="142" t="s">
        <v>193</v>
      </c>
      <c r="DF4" s="142" t="s">
        <v>194</v>
      </c>
      <c r="DG4" s="142" t="s">
        <v>194</v>
      </c>
      <c r="DH4" s="142" t="s">
        <v>194</v>
      </c>
      <c r="DI4" s="142" t="s">
        <v>194</v>
      </c>
      <c r="DJ4" s="142" t="s">
        <v>194</v>
      </c>
      <c r="DK4" s="142" t="s">
        <v>194</v>
      </c>
      <c r="DL4" s="142" t="s">
        <v>194</v>
      </c>
      <c r="DM4" s="142" t="s">
        <v>194</v>
      </c>
      <c r="DN4" s="142" t="s">
        <v>194</v>
      </c>
      <c r="DO4" s="142" t="s">
        <v>194</v>
      </c>
      <c r="DP4" s="142" t="s">
        <v>194</v>
      </c>
      <c r="DQ4" s="142" t="s">
        <v>194</v>
      </c>
      <c r="DR4" s="142" t="s">
        <v>195</v>
      </c>
      <c r="DS4" s="142" t="s">
        <v>195</v>
      </c>
      <c r="DT4" s="142" t="s">
        <v>195</v>
      </c>
      <c r="DU4" s="142" t="s">
        <v>195</v>
      </c>
      <c r="DV4" s="142" t="s">
        <v>195</v>
      </c>
      <c r="DW4" s="142" t="s">
        <v>195</v>
      </c>
      <c r="DX4" s="142" t="s">
        <v>195</v>
      </c>
      <c r="DY4" s="142" t="s">
        <v>195</v>
      </c>
      <c r="DZ4" s="142" t="s">
        <v>195</v>
      </c>
      <c r="EA4" s="142" t="s">
        <v>195</v>
      </c>
      <c r="EB4" s="142" t="s">
        <v>195</v>
      </c>
      <c r="EC4" s="142" t="s">
        <v>195</v>
      </c>
      <c r="ED4" s="142" t="s">
        <v>196</v>
      </c>
      <c r="EE4" s="142" t="s">
        <v>196</v>
      </c>
      <c r="EF4" s="142" t="s">
        <v>196</v>
      </c>
      <c r="EG4" s="142" t="s">
        <v>196</v>
      </c>
      <c r="EH4" s="142" t="s">
        <v>196</v>
      </c>
      <c r="EI4" s="142" t="s">
        <v>196</v>
      </c>
      <c r="EJ4" s="142" t="s">
        <v>196</v>
      </c>
      <c r="EK4" s="142" t="s">
        <v>196</v>
      </c>
      <c r="EL4" s="142" t="s">
        <v>196</v>
      </c>
      <c r="EM4" s="142" t="s">
        <v>196</v>
      </c>
      <c r="EN4" s="142" t="s">
        <v>196</v>
      </c>
      <c r="EO4" s="142" t="s">
        <v>196</v>
      </c>
      <c r="EP4" s="142" t="s">
        <v>197</v>
      </c>
      <c r="EQ4" s="142" t="s">
        <v>197</v>
      </c>
      <c r="ER4" s="142" t="s">
        <v>197</v>
      </c>
      <c r="ES4" s="142" t="s">
        <v>197</v>
      </c>
      <c r="ET4" s="142" t="s">
        <v>197</v>
      </c>
      <c r="EU4" s="142" t="s">
        <v>197</v>
      </c>
      <c r="EV4" s="142" t="s">
        <v>197</v>
      </c>
      <c r="EW4" s="142" t="s">
        <v>197</v>
      </c>
      <c r="EX4" s="142" t="s">
        <v>197</v>
      </c>
      <c r="EY4" s="142" t="s">
        <v>197</v>
      </c>
      <c r="EZ4" s="142" t="s">
        <v>197</v>
      </c>
      <c r="FA4" s="142" t="s">
        <v>197</v>
      </c>
      <c r="FB4" s="142" t="s">
        <v>198</v>
      </c>
      <c r="FC4" s="142" t="s">
        <v>198</v>
      </c>
      <c r="FD4" s="142" t="s">
        <v>198</v>
      </c>
      <c r="FE4" s="142" t="s">
        <v>198</v>
      </c>
      <c r="FF4" s="142" t="s">
        <v>198</v>
      </c>
      <c r="FG4" s="142" t="s">
        <v>198</v>
      </c>
      <c r="FH4" s="142" t="s">
        <v>198</v>
      </c>
      <c r="FI4" s="142" t="s">
        <v>198</v>
      </c>
      <c r="FJ4" s="142" t="s">
        <v>198</v>
      </c>
      <c r="FK4" s="142" t="s">
        <v>198</v>
      </c>
      <c r="FL4" s="142" t="s">
        <v>198</v>
      </c>
      <c r="FM4" s="142" t="s">
        <v>198</v>
      </c>
      <c r="FN4" s="142" t="s">
        <v>199</v>
      </c>
      <c r="FO4" s="142" t="s">
        <v>199</v>
      </c>
      <c r="FP4" s="142" t="s">
        <v>199</v>
      </c>
      <c r="FQ4" s="142" t="s">
        <v>199</v>
      </c>
      <c r="FR4" s="142" t="s">
        <v>199</v>
      </c>
      <c r="FS4" s="142" t="s">
        <v>199</v>
      </c>
      <c r="FT4" s="142" t="s">
        <v>199</v>
      </c>
      <c r="FU4" s="142" t="s">
        <v>199</v>
      </c>
      <c r="FV4" s="142" t="s">
        <v>199</v>
      </c>
      <c r="FW4" s="142" t="s">
        <v>199</v>
      </c>
      <c r="FX4" s="142" t="s">
        <v>199</v>
      </c>
      <c r="FY4" s="142" t="s">
        <v>199</v>
      </c>
      <c r="FZ4" s="142" t="s">
        <v>200</v>
      </c>
    </row>
    <row r="5" spans="1:182" ht="15.75" customHeight="1" x14ac:dyDescent="0.25">
      <c r="A5" s="251" t="s">
        <v>118</v>
      </c>
      <c r="B5" s="144" t="s">
        <v>201</v>
      </c>
      <c r="C5" s="144" t="s">
        <v>202</v>
      </c>
      <c r="D5" s="145" t="s">
        <v>203</v>
      </c>
      <c r="E5" s="145" t="s">
        <v>204</v>
      </c>
      <c r="F5" s="144" t="s">
        <v>205</v>
      </c>
      <c r="G5" s="146" t="s">
        <v>206</v>
      </c>
      <c r="H5" s="146" t="s">
        <v>207</v>
      </c>
      <c r="I5" s="146" t="s">
        <v>208</v>
      </c>
      <c r="J5" s="146" t="s">
        <v>209</v>
      </c>
      <c r="K5" s="146" t="s">
        <v>210</v>
      </c>
      <c r="L5" s="146" t="s">
        <v>211</v>
      </c>
      <c r="M5" s="146" t="s">
        <v>212</v>
      </c>
      <c r="N5" s="146" t="s">
        <v>213</v>
      </c>
      <c r="O5" s="146" t="s">
        <v>214</v>
      </c>
      <c r="P5" s="146" t="s">
        <v>215</v>
      </c>
      <c r="Q5" s="146" t="s">
        <v>216</v>
      </c>
      <c r="R5" s="146" t="s">
        <v>217</v>
      </c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46"/>
      <c r="AW5" s="146"/>
      <c r="AX5" s="146"/>
      <c r="AY5" s="146"/>
      <c r="AZ5" s="146"/>
      <c r="BA5" s="146"/>
      <c r="BB5" s="146"/>
      <c r="BC5" s="146"/>
      <c r="BD5" s="146"/>
      <c r="BE5" s="146"/>
      <c r="BF5" s="146"/>
      <c r="BG5" s="146"/>
      <c r="BH5" s="146"/>
      <c r="BI5" s="146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  <c r="BW5" s="146"/>
      <c r="BX5" s="146"/>
      <c r="BY5" s="146"/>
      <c r="BZ5" s="146"/>
      <c r="CA5" s="146"/>
      <c r="CB5" s="146"/>
      <c r="CC5" s="146"/>
      <c r="CD5" s="146"/>
      <c r="CE5" s="146"/>
      <c r="CF5" s="146"/>
      <c r="CG5" s="146"/>
      <c r="CH5" s="146"/>
      <c r="CI5" s="146"/>
      <c r="CJ5" s="146"/>
      <c r="CK5" s="146"/>
      <c r="CL5" s="146"/>
      <c r="CM5" s="146"/>
      <c r="CN5" s="146"/>
      <c r="CO5" s="146"/>
      <c r="CP5" s="146"/>
      <c r="CQ5" s="146"/>
      <c r="CR5" s="146"/>
      <c r="CS5" s="146"/>
      <c r="CT5" s="146"/>
      <c r="CU5" s="146"/>
      <c r="CV5" s="146"/>
      <c r="CW5" s="146"/>
      <c r="CX5" s="146"/>
      <c r="CY5" s="146"/>
      <c r="CZ5" s="146"/>
      <c r="DA5" s="146"/>
      <c r="DB5" s="146"/>
      <c r="DC5" s="146"/>
      <c r="DD5" s="146"/>
      <c r="DE5" s="146"/>
      <c r="DF5" s="146"/>
      <c r="DG5" s="146"/>
      <c r="DH5" s="146"/>
      <c r="DI5" s="146"/>
      <c r="DJ5" s="146"/>
      <c r="DK5" s="146"/>
      <c r="DL5" s="146"/>
      <c r="DM5" s="146"/>
      <c r="DN5" s="146"/>
      <c r="DO5" s="146"/>
      <c r="DP5" s="146"/>
      <c r="DQ5" s="146"/>
      <c r="DR5" s="146"/>
      <c r="DS5" s="146"/>
      <c r="DT5" s="146"/>
      <c r="DU5" s="146"/>
      <c r="DV5" s="146"/>
      <c r="DW5" s="146"/>
      <c r="DX5" s="146"/>
      <c r="DY5" s="146"/>
      <c r="DZ5" s="146"/>
      <c r="EA5" s="146"/>
      <c r="EB5" s="146"/>
      <c r="EC5" s="146"/>
      <c r="ED5" s="146"/>
      <c r="EE5" s="146"/>
      <c r="EF5" s="146"/>
      <c r="EG5" s="146"/>
      <c r="EH5" s="146"/>
      <c r="EI5" s="146"/>
      <c r="EJ5" s="146"/>
      <c r="EK5" s="146"/>
      <c r="EL5" s="146"/>
      <c r="EM5" s="146"/>
      <c r="EN5" s="146"/>
      <c r="EO5" s="146"/>
      <c r="EP5" s="146"/>
      <c r="EQ5" s="146"/>
      <c r="ER5" s="146"/>
      <c r="ES5" s="146"/>
      <c r="ET5" s="146"/>
      <c r="EU5" s="146"/>
      <c r="EV5" s="146"/>
      <c r="EW5" s="146"/>
      <c r="EX5" s="146"/>
      <c r="EY5" s="146"/>
      <c r="EZ5" s="146"/>
      <c r="FA5" s="146"/>
      <c r="FB5" s="146"/>
      <c r="FC5" s="146"/>
      <c r="FD5" s="146"/>
      <c r="FE5" s="146"/>
      <c r="FF5" s="146"/>
      <c r="FG5" s="146"/>
      <c r="FH5" s="146"/>
      <c r="FI5" s="146"/>
      <c r="FJ5" s="146"/>
      <c r="FK5" s="146"/>
      <c r="FL5" s="146"/>
      <c r="FM5" s="146"/>
      <c r="FN5" s="146"/>
      <c r="FO5" s="146"/>
      <c r="FP5" s="146"/>
      <c r="FQ5" s="146"/>
      <c r="FR5" s="146"/>
      <c r="FS5" s="146"/>
      <c r="FT5" s="146"/>
      <c r="FU5" s="146"/>
      <c r="FV5" s="146"/>
      <c r="FW5" s="146"/>
      <c r="FX5" s="146"/>
      <c r="FY5" s="146"/>
      <c r="FZ5" s="146"/>
    </row>
    <row r="6" spans="1:182" x14ac:dyDescent="0.25">
      <c r="A6" s="33" t="s">
        <v>261</v>
      </c>
      <c r="B6" s="147">
        <f>IF(B$3=0,-'10_CAPEX-INGRESOS-PAGOS'!$H$16,0)</f>
        <v>-1183546</v>
      </c>
      <c r="C6" s="147">
        <f>IF(C$3=0,-'10_CAPEX-INGRESOS-PAGOS'!$H$16,0)</f>
        <v>0</v>
      </c>
      <c r="D6" s="147">
        <f>IF(D$3=0,-'10_CAPEX-INGRESOS-PAGOS'!$H$16,0)</f>
        <v>0</v>
      </c>
      <c r="E6" s="147">
        <f>IF(E$3=0,-'10_CAPEX-INGRESOS-PAGOS'!$H$16,0)</f>
        <v>0</v>
      </c>
      <c r="F6" s="147">
        <f>IF(F$3=0,-'10_CAPEX-INGRESOS-PAGOS'!$H$16,0)</f>
        <v>0</v>
      </c>
      <c r="G6" s="147">
        <f>IF(G$3=0,-'10_CAPEX-INGRESOS-PAGOS'!$H$16,0)</f>
        <v>0</v>
      </c>
      <c r="H6" s="147">
        <f>IF(H$3=0,-'10_CAPEX-INGRESOS-PAGOS'!$H$16,0)</f>
        <v>0</v>
      </c>
      <c r="I6" s="147">
        <f>IF(I$3=0,-'10_CAPEX-INGRESOS-PAGOS'!$H$16,0)</f>
        <v>0</v>
      </c>
      <c r="J6" s="147">
        <f>IF(J$3=0,-'10_CAPEX-INGRESOS-PAGOS'!$H$16,0)</f>
        <v>0</v>
      </c>
      <c r="K6" s="147">
        <f>IF(K$3=0,-'10_CAPEX-INGRESOS-PAGOS'!$H$16,0)</f>
        <v>0</v>
      </c>
      <c r="L6" s="147">
        <f>IF(L$3=0,-'10_CAPEX-INGRESOS-PAGOS'!$H$16,0)</f>
        <v>0</v>
      </c>
      <c r="M6" s="147">
        <f>IF(M$3=0,-'10_CAPEX-INGRESOS-PAGOS'!$H$16,0)</f>
        <v>0</v>
      </c>
      <c r="N6" s="147">
        <f>IF(N$3=0,-'10_CAPEX-INGRESOS-PAGOS'!$H$16,0)</f>
        <v>0</v>
      </c>
      <c r="O6" s="147">
        <f>IF(O$3=0,-'10_CAPEX-INGRESOS-PAGOS'!$H$16,0)</f>
        <v>0</v>
      </c>
      <c r="P6" s="147">
        <f>IF(P$3=0,-'10_CAPEX-INGRESOS-PAGOS'!$H$16,0)</f>
        <v>0</v>
      </c>
      <c r="Q6" s="147">
        <f>IF(Q$3=0,-'10_CAPEX-INGRESOS-PAGOS'!$H$16,0)</f>
        <v>0</v>
      </c>
      <c r="R6" s="147">
        <f>IF(R$3=0,-'10_CAPEX-INGRESOS-PAGOS'!$H$16,0)</f>
        <v>0</v>
      </c>
      <c r="S6" s="147">
        <f>IF(S$3=0,-'10_CAPEX-INGRESOS-PAGOS'!$H$16,0)</f>
        <v>0</v>
      </c>
      <c r="T6" s="147">
        <f>IF(T$3=0,-'10_CAPEX-INGRESOS-PAGOS'!$H$16,0)</f>
        <v>0</v>
      </c>
      <c r="U6" s="147">
        <f>IF(U$3=0,-'10_CAPEX-INGRESOS-PAGOS'!$H$16,0)</f>
        <v>0</v>
      </c>
      <c r="V6" s="147">
        <f>IF(V$3=0,-'10_CAPEX-INGRESOS-PAGOS'!$H$16,0)</f>
        <v>0</v>
      </c>
      <c r="W6" s="147">
        <f>IF(W$3=0,-'10_CAPEX-INGRESOS-PAGOS'!$H$16,0)</f>
        <v>0</v>
      </c>
      <c r="X6" s="147">
        <f>IF(X$3=0,-'10_CAPEX-INGRESOS-PAGOS'!$H$16,0)</f>
        <v>0</v>
      </c>
      <c r="Y6" s="147">
        <f>IF(Y$3=0,-'10_CAPEX-INGRESOS-PAGOS'!$H$16,0)</f>
        <v>0</v>
      </c>
      <c r="Z6" s="147">
        <f>IF(Z$3=0,-'10_CAPEX-INGRESOS-PAGOS'!$H$16,0)</f>
        <v>0</v>
      </c>
      <c r="AA6" s="147">
        <f>IF(AA$3=0,-'10_CAPEX-INGRESOS-PAGOS'!$H$16,0)</f>
        <v>0</v>
      </c>
      <c r="AB6" s="147">
        <f>IF(AB$3=0,-'10_CAPEX-INGRESOS-PAGOS'!$H$16,0)</f>
        <v>0</v>
      </c>
      <c r="AC6" s="147">
        <f>IF(AC$3=0,-'10_CAPEX-INGRESOS-PAGOS'!$H$16,0)</f>
        <v>0</v>
      </c>
      <c r="AD6" s="147">
        <f>IF(AD$3=0,-'10_CAPEX-INGRESOS-PAGOS'!$H$16,0)</f>
        <v>0</v>
      </c>
      <c r="AE6" s="147">
        <f>IF(AE$3=0,-'10_CAPEX-INGRESOS-PAGOS'!$H$16,0)</f>
        <v>0</v>
      </c>
      <c r="AF6" s="147">
        <f>IF(AF$3=0,-'10_CAPEX-INGRESOS-PAGOS'!$H$16,0)</f>
        <v>0</v>
      </c>
      <c r="AG6" s="147">
        <f>IF(AG$3=0,-'10_CAPEX-INGRESOS-PAGOS'!$H$16,0)</f>
        <v>0</v>
      </c>
      <c r="AH6" s="147">
        <f>IF(AH$3=0,-'10_CAPEX-INGRESOS-PAGOS'!$H$16,0)</f>
        <v>0</v>
      </c>
      <c r="AI6" s="147">
        <f>IF(AI$3=0,-'10_CAPEX-INGRESOS-PAGOS'!$H$16,0)</f>
        <v>0</v>
      </c>
      <c r="AJ6" s="147">
        <f>IF(AJ$3=0,-'10_CAPEX-INGRESOS-PAGOS'!$H$16,0)</f>
        <v>0</v>
      </c>
      <c r="AK6" s="147">
        <f>IF(AK$3=0,-'10_CAPEX-INGRESOS-PAGOS'!$H$16,0)</f>
        <v>0</v>
      </c>
      <c r="AL6" s="147">
        <f>IF(AL$3=0,-'10_CAPEX-INGRESOS-PAGOS'!$H$16,0)</f>
        <v>0</v>
      </c>
      <c r="AM6" s="147">
        <f>IF(AM$3=0,-'10_CAPEX-INGRESOS-PAGOS'!$H$16,0)</f>
        <v>0</v>
      </c>
      <c r="AN6" s="147">
        <f>IF(AN$3=0,-'10_CAPEX-INGRESOS-PAGOS'!$H$16,0)</f>
        <v>0</v>
      </c>
      <c r="AO6" s="147">
        <f>IF(AO$3=0,-'10_CAPEX-INGRESOS-PAGOS'!$H$16,0)</f>
        <v>0</v>
      </c>
      <c r="AP6" s="147">
        <f>IF(AP$3=0,-'10_CAPEX-INGRESOS-PAGOS'!$H$16,0)</f>
        <v>0</v>
      </c>
      <c r="AQ6" s="147">
        <f>IF(AQ$3=0,-'10_CAPEX-INGRESOS-PAGOS'!$H$16,0)</f>
        <v>0</v>
      </c>
      <c r="AR6" s="147">
        <f>IF(AR$3=0,-'10_CAPEX-INGRESOS-PAGOS'!$H$16,0)</f>
        <v>0</v>
      </c>
      <c r="AS6" s="147">
        <f>IF(AS$3=0,-'10_CAPEX-INGRESOS-PAGOS'!$H$16,0)</f>
        <v>0</v>
      </c>
      <c r="AT6" s="147">
        <f>IF(AT$3=0,-'10_CAPEX-INGRESOS-PAGOS'!$H$16,0)</f>
        <v>0</v>
      </c>
      <c r="AU6" s="147">
        <f>IF(AU$3=0,-'10_CAPEX-INGRESOS-PAGOS'!$H$16,0)</f>
        <v>0</v>
      </c>
      <c r="AV6" s="147">
        <f>IF(AV$3=0,-'10_CAPEX-INGRESOS-PAGOS'!$H$16,0)</f>
        <v>0</v>
      </c>
      <c r="AW6" s="147">
        <f>IF(AW$3=0,-'10_CAPEX-INGRESOS-PAGOS'!$H$16,0)</f>
        <v>0</v>
      </c>
      <c r="AX6" s="147">
        <f>IF(AX$3=0,-'10_CAPEX-INGRESOS-PAGOS'!$H$16,0)</f>
        <v>0</v>
      </c>
      <c r="AY6" s="147">
        <f>IF(AY$3=0,-'10_CAPEX-INGRESOS-PAGOS'!$H$16,0)</f>
        <v>0</v>
      </c>
      <c r="AZ6" s="147">
        <f>IF(AZ$3=0,-'10_CAPEX-INGRESOS-PAGOS'!$H$16,0)</f>
        <v>0</v>
      </c>
      <c r="BA6" s="147">
        <f>IF(BA$3=0,-'10_CAPEX-INGRESOS-PAGOS'!$H$16,0)</f>
        <v>0</v>
      </c>
      <c r="BB6" s="147">
        <f>IF(BB$3=0,-'10_CAPEX-INGRESOS-PAGOS'!$H$16,0)</f>
        <v>0</v>
      </c>
      <c r="BC6" s="147">
        <f>IF(BC$3=0,-'10_CAPEX-INGRESOS-PAGOS'!$H$16,0)</f>
        <v>0</v>
      </c>
      <c r="BD6" s="147">
        <f>IF(BD$3=0,-'10_CAPEX-INGRESOS-PAGOS'!$H$16,0)</f>
        <v>0</v>
      </c>
      <c r="BE6" s="147">
        <f>IF(BE$3=0,-'10_CAPEX-INGRESOS-PAGOS'!$H$16,0)</f>
        <v>0</v>
      </c>
      <c r="BF6" s="147">
        <f>IF(BF$3=0,-'10_CAPEX-INGRESOS-PAGOS'!$H$16,0)</f>
        <v>0</v>
      </c>
      <c r="BG6" s="147">
        <f>IF(BG$3=0,-'10_CAPEX-INGRESOS-PAGOS'!$H$16,0)</f>
        <v>0</v>
      </c>
      <c r="BH6" s="147">
        <f>IF(BH$3=0,-'10_CAPEX-INGRESOS-PAGOS'!$H$16,0)</f>
        <v>0</v>
      </c>
      <c r="BI6" s="147">
        <f>IF(BI$3=0,-'10_CAPEX-INGRESOS-PAGOS'!$H$16,0)</f>
        <v>0</v>
      </c>
      <c r="BJ6" s="147">
        <f>IF(BJ$3=0,-'10_CAPEX-INGRESOS-PAGOS'!$H$16,0)</f>
        <v>0</v>
      </c>
      <c r="BK6" s="147">
        <f>IF(BK$3=0,-'10_CAPEX-INGRESOS-PAGOS'!$H$16,0)</f>
        <v>0</v>
      </c>
      <c r="BL6" s="147">
        <f>IF(BL$3=0,-'10_CAPEX-INGRESOS-PAGOS'!$H$16,0)</f>
        <v>0</v>
      </c>
      <c r="BM6" s="147">
        <f>IF(BM$3=0,-'10_CAPEX-INGRESOS-PAGOS'!$H$16,0)</f>
        <v>0</v>
      </c>
      <c r="BN6" s="147">
        <f>IF(BN$3=0,-'10_CAPEX-INGRESOS-PAGOS'!$H$16,0)</f>
        <v>0</v>
      </c>
      <c r="BO6" s="147">
        <f>IF(BO$3=0,-'10_CAPEX-INGRESOS-PAGOS'!$H$16,0)</f>
        <v>0</v>
      </c>
      <c r="BP6" s="147">
        <f>IF(BP$3=0,-'10_CAPEX-INGRESOS-PAGOS'!$H$16,0)</f>
        <v>0</v>
      </c>
      <c r="BQ6" s="147">
        <f>IF(BQ$3=0,-'10_CAPEX-INGRESOS-PAGOS'!$H$16,0)</f>
        <v>0</v>
      </c>
      <c r="BR6" s="147">
        <f>IF(BR$3=0,-'10_CAPEX-INGRESOS-PAGOS'!$H$16,0)</f>
        <v>0</v>
      </c>
      <c r="BS6" s="147">
        <f>IF(BS$3=0,-'10_CAPEX-INGRESOS-PAGOS'!$H$16,0)</f>
        <v>0</v>
      </c>
      <c r="BT6" s="147">
        <f>IF(BT$3=0,-'10_CAPEX-INGRESOS-PAGOS'!$H$16,0)</f>
        <v>0</v>
      </c>
      <c r="BU6" s="147">
        <f>IF(BU$3=0,-'10_CAPEX-INGRESOS-PAGOS'!$H$16,0)</f>
        <v>0</v>
      </c>
      <c r="BV6" s="147">
        <f>IF(BV$3=0,-'10_CAPEX-INGRESOS-PAGOS'!$H$16,0)</f>
        <v>0</v>
      </c>
      <c r="BW6" s="147">
        <f>IF(BW$3=0,-'10_CAPEX-INGRESOS-PAGOS'!$H$16,0)</f>
        <v>0</v>
      </c>
      <c r="BX6" s="147">
        <f>IF(BX$3=0,-'10_CAPEX-INGRESOS-PAGOS'!$H$16,0)</f>
        <v>0</v>
      </c>
      <c r="BY6" s="147">
        <f>IF(BY$3=0,-'10_CAPEX-INGRESOS-PAGOS'!$H$16,0)</f>
        <v>0</v>
      </c>
      <c r="BZ6" s="147">
        <f>IF(BZ$3=0,-'10_CAPEX-INGRESOS-PAGOS'!$H$16,0)</f>
        <v>0</v>
      </c>
      <c r="CA6" s="147">
        <f>IF(CA$3=0,-'10_CAPEX-INGRESOS-PAGOS'!$H$16,0)</f>
        <v>0</v>
      </c>
      <c r="CB6" s="147">
        <f>IF(CB$3=0,-'10_CAPEX-INGRESOS-PAGOS'!$H$16,0)</f>
        <v>0</v>
      </c>
      <c r="CC6" s="147">
        <f>IF(CC$3=0,-'10_CAPEX-INGRESOS-PAGOS'!$H$16,0)</f>
        <v>0</v>
      </c>
      <c r="CD6" s="147">
        <f>IF(CD$3=0,-'10_CAPEX-INGRESOS-PAGOS'!$H$16,0)</f>
        <v>0</v>
      </c>
      <c r="CE6" s="147">
        <f>IF(CE$3=0,-'10_CAPEX-INGRESOS-PAGOS'!$H$16,0)</f>
        <v>0</v>
      </c>
      <c r="CF6" s="147">
        <f>IF(CF$3=0,-'10_CAPEX-INGRESOS-PAGOS'!$H$16,0)</f>
        <v>0</v>
      </c>
      <c r="CG6" s="147">
        <f>IF(CG$3=0,-'10_CAPEX-INGRESOS-PAGOS'!$H$16,0)</f>
        <v>0</v>
      </c>
      <c r="CH6" s="147">
        <f>IF(CH$3=0,-'10_CAPEX-INGRESOS-PAGOS'!$H$16,0)</f>
        <v>0</v>
      </c>
      <c r="CI6" s="147">
        <f>IF(CI$3=0,-'10_CAPEX-INGRESOS-PAGOS'!$H$16,0)</f>
        <v>0</v>
      </c>
      <c r="CJ6" s="147">
        <f>IF(CJ$3=0,-'10_CAPEX-INGRESOS-PAGOS'!$H$16,0)</f>
        <v>0</v>
      </c>
      <c r="CK6" s="147">
        <f>IF(CK$3=0,-'10_CAPEX-INGRESOS-PAGOS'!$H$16,0)</f>
        <v>0</v>
      </c>
      <c r="CL6" s="147">
        <f>IF(CL$3=0,-'10_CAPEX-INGRESOS-PAGOS'!$H$16,0)</f>
        <v>0</v>
      </c>
      <c r="CM6" s="147">
        <f>IF(CM$3=0,-'10_CAPEX-INGRESOS-PAGOS'!$H$16,0)</f>
        <v>0</v>
      </c>
      <c r="CN6" s="147">
        <f>IF(CN$3=0,-'10_CAPEX-INGRESOS-PAGOS'!$H$16,0)</f>
        <v>0</v>
      </c>
      <c r="CO6" s="147">
        <f>IF(CO$3=0,-'10_CAPEX-INGRESOS-PAGOS'!$H$16,0)</f>
        <v>0</v>
      </c>
      <c r="CP6" s="147">
        <f>IF(CP$3=0,-'10_CAPEX-INGRESOS-PAGOS'!$H$16,0)</f>
        <v>0</v>
      </c>
      <c r="CQ6" s="147">
        <f>IF(CQ$3=0,-'10_CAPEX-INGRESOS-PAGOS'!$H$16,0)</f>
        <v>0</v>
      </c>
      <c r="CR6" s="147">
        <f>IF(CR$3=0,-'10_CAPEX-INGRESOS-PAGOS'!$H$16,0)</f>
        <v>0</v>
      </c>
      <c r="CS6" s="147">
        <f>IF(CS$3=0,-'10_CAPEX-INGRESOS-PAGOS'!$H$16,0)</f>
        <v>0</v>
      </c>
      <c r="CT6" s="147">
        <f>IF(CT$3=0,-'10_CAPEX-INGRESOS-PAGOS'!$H$16,0)</f>
        <v>0</v>
      </c>
      <c r="CU6" s="147">
        <f>IF(CU$3=0,-'10_CAPEX-INGRESOS-PAGOS'!$H$16,0)</f>
        <v>0</v>
      </c>
      <c r="CV6" s="147">
        <f>IF(CV$3=0,-'10_CAPEX-INGRESOS-PAGOS'!$H$16,0)</f>
        <v>0</v>
      </c>
      <c r="CW6" s="147">
        <f>IF(CW$3=0,-'10_CAPEX-INGRESOS-PAGOS'!$H$16,0)</f>
        <v>0</v>
      </c>
      <c r="CX6" s="147">
        <f>IF(CX$3=0,-'10_CAPEX-INGRESOS-PAGOS'!$H$16,0)</f>
        <v>0</v>
      </c>
      <c r="CY6" s="147">
        <f>IF(CY$3=0,-'10_CAPEX-INGRESOS-PAGOS'!$H$16,0)</f>
        <v>0</v>
      </c>
      <c r="CZ6" s="147">
        <f>IF(CZ$3=0,-'10_CAPEX-INGRESOS-PAGOS'!$H$16,0)</f>
        <v>0</v>
      </c>
      <c r="DA6" s="147">
        <f>IF(DA$3=0,-'10_CAPEX-INGRESOS-PAGOS'!$H$16,0)</f>
        <v>0</v>
      </c>
      <c r="DB6" s="147">
        <f>IF(DB$3=0,-'10_CAPEX-INGRESOS-PAGOS'!$H$16,0)</f>
        <v>0</v>
      </c>
      <c r="DC6" s="147">
        <f>IF(DC$3=0,-'10_CAPEX-INGRESOS-PAGOS'!$H$16,0)</f>
        <v>0</v>
      </c>
      <c r="DD6" s="147">
        <f>IF(DD$3=0,-'10_CAPEX-INGRESOS-PAGOS'!$H$16,0)</f>
        <v>0</v>
      </c>
      <c r="DE6" s="147">
        <f>IF(DE$3=0,-'10_CAPEX-INGRESOS-PAGOS'!$H$16,0)</f>
        <v>0</v>
      </c>
      <c r="DF6" s="147">
        <f>IF(DF$3=0,-'10_CAPEX-INGRESOS-PAGOS'!$H$16,0)</f>
        <v>0</v>
      </c>
      <c r="DG6" s="147">
        <f>IF(DG$3=0,-'10_CAPEX-INGRESOS-PAGOS'!$H$16,0)</f>
        <v>0</v>
      </c>
      <c r="DH6" s="147">
        <f>IF(DH$3=0,-'10_CAPEX-INGRESOS-PAGOS'!$H$16,0)</f>
        <v>0</v>
      </c>
      <c r="DI6" s="147">
        <f>IF(DI$3=0,-'10_CAPEX-INGRESOS-PAGOS'!$H$16,0)</f>
        <v>0</v>
      </c>
      <c r="DJ6" s="147">
        <f>IF(DJ$3=0,-'10_CAPEX-INGRESOS-PAGOS'!$H$16,0)</f>
        <v>0</v>
      </c>
      <c r="DK6" s="147">
        <f>IF(DK$3=0,-'10_CAPEX-INGRESOS-PAGOS'!$H$16,0)</f>
        <v>0</v>
      </c>
      <c r="DL6" s="147">
        <f>IF(DL$3=0,-'10_CAPEX-INGRESOS-PAGOS'!$H$16,0)</f>
        <v>0</v>
      </c>
      <c r="DM6" s="147">
        <f>IF(DM$3=0,-'10_CAPEX-INGRESOS-PAGOS'!$H$16,0)</f>
        <v>0</v>
      </c>
      <c r="DN6" s="147">
        <f>IF(DN$3=0,-'10_CAPEX-INGRESOS-PAGOS'!$H$16,0)</f>
        <v>0</v>
      </c>
      <c r="DO6" s="147">
        <f>IF(DO$3=0,-'10_CAPEX-INGRESOS-PAGOS'!$H$16,0)</f>
        <v>0</v>
      </c>
      <c r="DP6" s="147">
        <f>IF(DP$3=0,-'10_CAPEX-INGRESOS-PAGOS'!$H$16,0)</f>
        <v>0</v>
      </c>
      <c r="DQ6" s="147">
        <f>IF(DQ$3=0,-'10_CAPEX-INGRESOS-PAGOS'!$H$16,0)</f>
        <v>0</v>
      </c>
      <c r="DR6" s="147">
        <f>IF(DR$3=0,-'10_CAPEX-INGRESOS-PAGOS'!$H$16,0)</f>
        <v>0</v>
      </c>
      <c r="DS6" s="147">
        <f>IF(DS$3=0,-'10_CAPEX-INGRESOS-PAGOS'!$H$16,0)</f>
        <v>0</v>
      </c>
      <c r="DT6" s="147">
        <f>IF(DT$3=0,-'10_CAPEX-INGRESOS-PAGOS'!$H$16,0)</f>
        <v>0</v>
      </c>
      <c r="DU6" s="147">
        <f>IF(DU$3=0,-'10_CAPEX-INGRESOS-PAGOS'!$H$16,0)</f>
        <v>0</v>
      </c>
      <c r="DV6" s="147">
        <f>IF(DV$3=0,-'10_CAPEX-INGRESOS-PAGOS'!$H$16,0)</f>
        <v>0</v>
      </c>
      <c r="DW6" s="147">
        <f>IF(DW$3=0,-'10_CAPEX-INGRESOS-PAGOS'!$H$16,0)</f>
        <v>0</v>
      </c>
      <c r="DX6" s="147">
        <f>IF(DX$3=0,-'10_CAPEX-INGRESOS-PAGOS'!$H$16,0)</f>
        <v>0</v>
      </c>
      <c r="DY6" s="147">
        <f>IF(DY$3=0,-'10_CAPEX-INGRESOS-PAGOS'!$H$16,0)</f>
        <v>0</v>
      </c>
      <c r="DZ6" s="147">
        <f>IF(DZ$3=0,-'10_CAPEX-INGRESOS-PAGOS'!$H$16,0)</f>
        <v>0</v>
      </c>
      <c r="EA6" s="147">
        <f>IF(EA$3=0,-'10_CAPEX-INGRESOS-PAGOS'!$H$16,0)</f>
        <v>0</v>
      </c>
      <c r="EB6" s="147">
        <f>IF(EB$3=0,-'10_CAPEX-INGRESOS-PAGOS'!$H$16,0)</f>
        <v>0</v>
      </c>
      <c r="EC6" s="147">
        <f>IF(EC$3=0,-'10_CAPEX-INGRESOS-PAGOS'!$H$16,0)</f>
        <v>0</v>
      </c>
      <c r="ED6" s="147">
        <f>IF(ED$3=0,-'10_CAPEX-INGRESOS-PAGOS'!$H$16,0)</f>
        <v>0</v>
      </c>
      <c r="EE6" s="147">
        <f>IF(EE$3=0,-'10_CAPEX-INGRESOS-PAGOS'!$H$16,0)</f>
        <v>0</v>
      </c>
      <c r="EF6" s="147">
        <f>IF(EF$3=0,-'10_CAPEX-INGRESOS-PAGOS'!$H$16,0)</f>
        <v>0</v>
      </c>
      <c r="EG6" s="147">
        <f>IF(EG$3=0,-'10_CAPEX-INGRESOS-PAGOS'!$H$16,0)</f>
        <v>0</v>
      </c>
      <c r="EH6" s="147">
        <f>IF(EH$3=0,-'10_CAPEX-INGRESOS-PAGOS'!$H$16,0)</f>
        <v>0</v>
      </c>
      <c r="EI6" s="147">
        <f>IF(EI$3=0,-'10_CAPEX-INGRESOS-PAGOS'!$H$16,0)</f>
        <v>0</v>
      </c>
      <c r="EJ6" s="147">
        <f>IF(EJ$3=0,-'10_CAPEX-INGRESOS-PAGOS'!$H$16,0)</f>
        <v>0</v>
      </c>
      <c r="EK6" s="147">
        <f>IF(EK$3=0,-'10_CAPEX-INGRESOS-PAGOS'!$H$16,0)</f>
        <v>0</v>
      </c>
      <c r="EL6" s="147">
        <f>IF(EL$3=0,-'10_CAPEX-INGRESOS-PAGOS'!$H$16,0)</f>
        <v>0</v>
      </c>
      <c r="EM6" s="147">
        <f>IF(EM$3=0,-'10_CAPEX-INGRESOS-PAGOS'!$H$16,0)</f>
        <v>0</v>
      </c>
      <c r="EN6" s="147">
        <f>IF(EN$3=0,-'10_CAPEX-INGRESOS-PAGOS'!$H$16,0)</f>
        <v>0</v>
      </c>
      <c r="EO6" s="147">
        <f>IF(EO$3=0,-'10_CAPEX-INGRESOS-PAGOS'!$H$16,0)</f>
        <v>0</v>
      </c>
      <c r="EP6" s="147">
        <f>IF(EP$3=0,-'10_CAPEX-INGRESOS-PAGOS'!$H$16,0)</f>
        <v>0</v>
      </c>
      <c r="EQ6" s="147">
        <f>IF(EQ$3=0,-'10_CAPEX-INGRESOS-PAGOS'!$H$16,0)</f>
        <v>0</v>
      </c>
      <c r="ER6" s="147">
        <f>IF(ER$3=0,-'10_CAPEX-INGRESOS-PAGOS'!$H$16,0)</f>
        <v>0</v>
      </c>
      <c r="ES6" s="147">
        <f>IF(ES$3=0,-'10_CAPEX-INGRESOS-PAGOS'!$H$16,0)</f>
        <v>0</v>
      </c>
      <c r="ET6" s="147">
        <f>IF(ET$3=0,-'10_CAPEX-INGRESOS-PAGOS'!$H$16,0)</f>
        <v>0</v>
      </c>
      <c r="EU6" s="147">
        <f>IF(EU$3=0,-'10_CAPEX-INGRESOS-PAGOS'!$H$16,0)</f>
        <v>0</v>
      </c>
      <c r="EV6" s="147">
        <f>IF(EV$3=0,-'10_CAPEX-INGRESOS-PAGOS'!$H$16,0)</f>
        <v>0</v>
      </c>
      <c r="EW6" s="147">
        <f>IF(EW$3=0,-'10_CAPEX-INGRESOS-PAGOS'!$H$16,0)</f>
        <v>0</v>
      </c>
      <c r="EX6" s="147">
        <f>IF(EX$3=0,-'10_CAPEX-INGRESOS-PAGOS'!$H$16,0)</f>
        <v>0</v>
      </c>
      <c r="EY6" s="147">
        <f>IF(EY$3=0,-'10_CAPEX-INGRESOS-PAGOS'!$H$16,0)</f>
        <v>0</v>
      </c>
      <c r="EZ6" s="147">
        <f>IF(EZ$3=0,-'10_CAPEX-INGRESOS-PAGOS'!$H$16,0)</f>
        <v>0</v>
      </c>
      <c r="FA6" s="147">
        <f>IF(FA$3=0,-'10_CAPEX-INGRESOS-PAGOS'!$H$16,0)</f>
        <v>0</v>
      </c>
      <c r="FB6" s="147">
        <f>IF(FB$3=0,-'10_CAPEX-INGRESOS-PAGOS'!$H$16,0)</f>
        <v>0</v>
      </c>
      <c r="FC6" s="147">
        <f>IF(FC$3=0,-'10_CAPEX-INGRESOS-PAGOS'!$H$16,0)</f>
        <v>0</v>
      </c>
      <c r="FD6" s="147">
        <f>IF(FD$3=0,-'10_CAPEX-INGRESOS-PAGOS'!$H$16,0)</f>
        <v>0</v>
      </c>
      <c r="FE6" s="147">
        <f>IF(FE$3=0,-'10_CAPEX-INGRESOS-PAGOS'!$H$16,0)</f>
        <v>0</v>
      </c>
      <c r="FF6" s="147">
        <f>IF(FF$3=0,-'10_CAPEX-INGRESOS-PAGOS'!$H$16,0)</f>
        <v>0</v>
      </c>
      <c r="FG6" s="147">
        <f>IF(FG$3=0,-'10_CAPEX-INGRESOS-PAGOS'!$H$16,0)</f>
        <v>0</v>
      </c>
      <c r="FH6" s="147">
        <f>IF(FH$3=0,-'10_CAPEX-INGRESOS-PAGOS'!$H$16,0)</f>
        <v>0</v>
      </c>
      <c r="FI6" s="147">
        <f>IF(FI$3=0,-'10_CAPEX-INGRESOS-PAGOS'!$H$16,0)</f>
        <v>0</v>
      </c>
      <c r="FJ6" s="147">
        <f>IF(FJ$3=0,-'10_CAPEX-INGRESOS-PAGOS'!$H$16,0)</f>
        <v>0</v>
      </c>
      <c r="FK6" s="147">
        <f>IF(FK$3=0,-'10_CAPEX-INGRESOS-PAGOS'!$H$16,0)</f>
        <v>0</v>
      </c>
      <c r="FL6" s="147">
        <f>IF(FL$3=0,-'10_CAPEX-INGRESOS-PAGOS'!$H$16,0)</f>
        <v>0</v>
      </c>
      <c r="FM6" s="147">
        <f>IF(FM$3=0,-'10_CAPEX-INGRESOS-PAGOS'!$H$16,0)</f>
        <v>0</v>
      </c>
      <c r="FN6" s="147">
        <f>IF(FN$3=0,-'10_CAPEX-INGRESOS-PAGOS'!$H$16,0)</f>
        <v>0</v>
      </c>
      <c r="FO6" s="147">
        <f>IF(FO$3=0,-'10_CAPEX-INGRESOS-PAGOS'!$H$16,0)</f>
        <v>0</v>
      </c>
      <c r="FP6" s="147">
        <f>IF(FP$3=0,-'10_CAPEX-INGRESOS-PAGOS'!$H$16,0)</f>
        <v>0</v>
      </c>
      <c r="FQ6" s="147">
        <f>IF(FQ$3=0,-'10_CAPEX-INGRESOS-PAGOS'!$H$16,0)</f>
        <v>0</v>
      </c>
      <c r="FR6" s="147">
        <f>IF(FR$3=0,-'10_CAPEX-INGRESOS-PAGOS'!$H$16,0)</f>
        <v>0</v>
      </c>
      <c r="FS6" s="147">
        <f>IF(FS$3=0,-'10_CAPEX-INGRESOS-PAGOS'!$H$16,0)</f>
        <v>0</v>
      </c>
      <c r="FT6" s="147">
        <f>IF(FT$3=0,-'10_CAPEX-INGRESOS-PAGOS'!$H$16,0)</f>
        <v>0</v>
      </c>
      <c r="FU6" s="147">
        <f>IF(FU$3=0,-'10_CAPEX-INGRESOS-PAGOS'!$H$16,0)</f>
        <v>0</v>
      </c>
      <c r="FV6" s="147">
        <f>IF(FV$3=0,-'10_CAPEX-INGRESOS-PAGOS'!$H$16,0)</f>
        <v>0</v>
      </c>
      <c r="FW6" s="147">
        <f>IF(FW$3=0,-'10_CAPEX-INGRESOS-PAGOS'!$H$16,0)</f>
        <v>0</v>
      </c>
      <c r="FX6" s="147">
        <f>IF(FX$3=0,-'10_CAPEX-INGRESOS-PAGOS'!$H$16,0)</f>
        <v>0</v>
      </c>
      <c r="FY6" s="147">
        <f>IF(FY$3=0,-'10_CAPEX-INGRESOS-PAGOS'!$H$16,0)</f>
        <v>0</v>
      </c>
      <c r="FZ6" s="147">
        <f>IF(FZ$3=0,-'10_CAPEX-INGRESOS-PAGOS'!$H$16,0)</f>
        <v>0</v>
      </c>
    </row>
    <row r="7" spans="1:182" x14ac:dyDescent="0.25">
      <c r="A7" s="33" t="s">
        <v>262</v>
      </c>
      <c r="B7" s="147">
        <f>-'10_CAPEX-INGRESOS-PAGOS'!$H$12*MAX(0,MIN(B$3+1,'01_MODELO'!$I$37)-MAX(B$3,'01_MODELO'!$I$35))/('01_MODELO'!$I$37-'01_MODELO'!$I$35)</f>
        <v>0</v>
      </c>
      <c r="C7" s="147">
        <f>-'10_CAPEX-INGRESOS-PAGOS'!$H$12*MAX(0,MIN(C$3+1,'01_MODELO'!$I$37)-MAX(C$3,'01_MODELO'!$I$35))/('01_MODELO'!$I$37-'01_MODELO'!$I$35)</f>
        <v>0</v>
      </c>
      <c r="D7" s="147">
        <f>-'10_CAPEX-INGRESOS-PAGOS'!$H$12*MAX(0,MIN(D$3+1,'01_MODELO'!$I$37)-MAX(D$3,'01_MODELO'!$I$35))/('01_MODELO'!$I$37-'01_MODELO'!$I$35)</f>
        <v>0</v>
      </c>
      <c r="E7" s="147">
        <f>-'10_CAPEX-INGRESOS-PAGOS'!$H$12*MAX(0,MIN(E$3+1,'01_MODELO'!$I$37)-MAX(E$3,'01_MODELO'!$I$35))/('01_MODELO'!$I$37-'01_MODELO'!$I$35)</f>
        <v>0</v>
      </c>
      <c r="F7" s="147">
        <f>-'10_CAPEX-INGRESOS-PAGOS'!$H$12*MAX(0,MIN(F$3+1,'01_MODELO'!$I$37)-MAX(F$3,'01_MODELO'!$I$35))/('01_MODELO'!$I$37-'01_MODELO'!$I$35)</f>
        <v>0</v>
      </c>
      <c r="G7" s="147">
        <f>-'10_CAPEX-INGRESOS-PAGOS'!$H$12*MAX(0,MIN(G$3+1,'01_MODELO'!$I$37)-MAX(G$3,'01_MODELO'!$I$35))/('01_MODELO'!$I$37-'01_MODELO'!$I$35)</f>
        <v>0</v>
      </c>
      <c r="H7" s="147">
        <f>-'10_CAPEX-INGRESOS-PAGOS'!$H$12*MAX(0,MIN(H$3+1,'01_MODELO'!$I$37)-MAX(H$3,'01_MODELO'!$I$35))/('01_MODELO'!$I$37-'01_MODELO'!$I$35)</f>
        <v>0</v>
      </c>
      <c r="I7" s="147">
        <f>-'10_CAPEX-INGRESOS-PAGOS'!$H$12*MAX(0,MIN(I$3+1,'01_MODELO'!$I$37)-MAX(I$3,'01_MODELO'!$I$35))/('01_MODELO'!$I$37-'01_MODELO'!$I$35)</f>
        <v>0</v>
      </c>
      <c r="J7" s="147">
        <f>-'10_CAPEX-INGRESOS-PAGOS'!$H$12*MAX(0,MIN(J$3+1,'01_MODELO'!$I$37)-MAX(J$3,'01_MODELO'!$I$35))/('01_MODELO'!$I$37-'01_MODELO'!$I$35)</f>
        <v>0</v>
      </c>
      <c r="K7" s="147">
        <f>-'10_CAPEX-INGRESOS-PAGOS'!$H$12*MAX(0,MIN(K$3+1,'01_MODELO'!$I$37)-MAX(K$3,'01_MODELO'!$I$35))/('01_MODELO'!$I$37-'01_MODELO'!$I$35)</f>
        <v>0</v>
      </c>
      <c r="L7" s="147">
        <f>-'10_CAPEX-INGRESOS-PAGOS'!$H$12*MAX(0,MIN(L$3+1,'01_MODELO'!$I$37)-MAX(L$3,'01_MODELO'!$I$35))/('01_MODELO'!$I$37-'01_MODELO'!$I$35)</f>
        <v>0</v>
      </c>
      <c r="M7" s="147">
        <f>-'10_CAPEX-INGRESOS-PAGOS'!$H$12*MAX(0,MIN(M$3+1,'01_MODELO'!$I$37)-MAX(M$3,'01_MODELO'!$I$35))/('01_MODELO'!$I$37-'01_MODELO'!$I$35)</f>
        <v>-269680.32000000007</v>
      </c>
      <c r="N7" s="147">
        <f>-'10_CAPEX-INGRESOS-PAGOS'!$H$12*MAX(0,MIN(N$3+1,'01_MODELO'!$I$37)-MAX(N$3,'01_MODELO'!$I$35))/('01_MODELO'!$I$37-'01_MODELO'!$I$35)</f>
        <v>-269680.32000000007</v>
      </c>
      <c r="O7" s="147">
        <f>-'10_CAPEX-INGRESOS-PAGOS'!$H$12*MAX(0,MIN(O$3+1,'01_MODELO'!$I$37)-MAX(O$3,'01_MODELO'!$I$35))/('01_MODELO'!$I$37-'01_MODELO'!$I$35)</f>
        <v>-269680.32000000007</v>
      </c>
      <c r="P7" s="147">
        <f>-'10_CAPEX-INGRESOS-PAGOS'!$H$12*MAX(0,MIN(P$3+1,'01_MODELO'!$I$37)-MAX(P$3,'01_MODELO'!$I$35))/('01_MODELO'!$I$37-'01_MODELO'!$I$35)</f>
        <v>-269680.32000000007</v>
      </c>
      <c r="Q7" s="147">
        <f>-'10_CAPEX-INGRESOS-PAGOS'!$H$12*MAX(0,MIN(Q$3+1,'01_MODELO'!$I$37)-MAX(Q$3,'01_MODELO'!$I$35))/('01_MODELO'!$I$37-'01_MODELO'!$I$35)</f>
        <v>-269680.32000000007</v>
      </c>
      <c r="R7" s="147">
        <f>-'10_CAPEX-INGRESOS-PAGOS'!$H$12*MAX(0,MIN(R$3+1,'01_MODELO'!$I$37)-MAX(R$3,'01_MODELO'!$I$35))/('01_MODELO'!$I$37-'01_MODELO'!$I$35)</f>
        <v>-269680.32000000007</v>
      </c>
      <c r="S7" s="147">
        <f>-'10_CAPEX-INGRESOS-PAGOS'!$H$12*MAX(0,MIN(S$3+1,'01_MODELO'!$I$37)-MAX(S$3,'01_MODELO'!$I$35))/('01_MODELO'!$I$37-'01_MODELO'!$I$35)</f>
        <v>-269680.32000000007</v>
      </c>
      <c r="T7" s="147">
        <f>-'10_CAPEX-INGRESOS-PAGOS'!$H$12*MAX(0,MIN(T$3+1,'01_MODELO'!$I$37)-MAX(T$3,'01_MODELO'!$I$35))/('01_MODELO'!$I$37-'01_MODELO'!$I$35)</f>
        <v>-269680.32000000007</v>
      </c>
      <c r="U7" s="147">
        <f>-'10_CAPEX-INGRESOS-PAGOS'!$H$12*MAX(0,MIN(U$3+1,'01_MODELO'!$I$37)-MAX(U$3,'01_MODELO'!$I$35))/('01_MODELO'!$I$37-'01_MODELO'!$I$35)</f>
        <v>-269680.32000000007</v>
      </c>
      <c r="V7" s="147">
        <f>-'10_CAPEX-INGRESOS-PAGOS'!$H$12*MAX(0,MIN(V$3+1,'01_MODELO'!$I$37)-MAX(V$3,'01_MODELO'!$I$35))/('01_MODELO'!$I$37-'01_MODELO'!$I$35)</f>
        <v>-269680.32000000007</v>
      </c>
      <c r="W7" s="147">
        <f>-'10_CAPEX-INGRESOS-PAGOS'!$H$12*MAX(0,MIN(W$3+1,'01_MODELO'!$I$37)-MAX(W$3,'01_MODELO'!$I$35))/('01_MODELO'!$I$37-'01_MODELO'!$I$35)</f>
        <v>-269680.32000000007</v>
      </c>
      <c r="X7" s="147">
        <f>-'10_CAPEX-INGRESOS-PAGOS'!$H$12*MAX(0,MIN(X$3+1,'01_MODELO'!$I$37)-MAX(X$3,'01_MODELO'!$I$35))/('01_MODELO'!$I$37-'01_MODELO'!$I$35)</f>
        <v>-269680.32000000007</v>
      </c>
      <c r="Y7" s="147">
        <f>-'10_CAPEX-INGRESOS-PAGOS'!$H$12*MAX(0,MIN(Y$3+1,'01_MODELO'!$I$37)-MAX(Y$3,'01_MODELO'!$I$35))/('01_MODELO'!$I$37-'01_MODELO'!$I$35)</f>
        <v>-269680.32000000007</v>
      </c>
      <c r="Z7" s="147">
        <f>-'10_CAPEX-INGRESOS-PAGOS'!$H$12*MAX(0,MIN(Z$3+1,'01_MODELO'!$I$37)-MAX(Z$3,'01_MODELO'!$I$35))/('01_MODELO'!$I$37-'01_MODELO'!$I$35)</f>
        <v>-269680.32000000007</v>
      </c>
      <c r="AA7" s="147">
        <f>-'10_CAPEX-INGRESOS-PAGOS'!$H$12*MAX(0,MIN(AA$3+1,'01_MODELO'!$I$37)-MAX(AA$3,'01_MODELO'!$I$35))/('01_MODELO'!$I$37-'01_MODELO'!$I$35)</f>
        <v>-269680.32000000007</v>
      </c>
      <c r="AB7" s="147">
        <f>-'10_CAPEX-INGRESOS-PAGOS'!$H$12*MAX(0,MIN(AB$3+1,'01_MODELO'!$I$37)-MAX(AB$3,'01_MODELO'!$I$35))/('01_MODELO'!$I$37-'01_MODELO'!$I$35)</f>
        <v>-269680.32000000007</v>
      </c>
      <c r="AC7" s="147">
        <f>-'10_CAPEX-INGRESOS-PAGOS'!$H$12*MAX(0,MIN(AC$3+1,'01_MODELO'!$I$37)-MAX(AC$3,'01_MODELO'!$I$35))/('01_MODELO'!$I$37-'01_MODELO'!$I$35)</f>
        <v>-269680.32000000007</v>
      </c>
      <c r="AD7" s="147">
        <f>-'10_CAPEX-INGRESOS-PAGOS'!$H$12*MAX(0,MIN(AD$3+1,'01_MODELO'!$I$37)-MAX(AD$3,'01_MODELO'!$I$35))/('01_MODELO'!$I$37-'01_MODELO'!$I$35)</f>
        <v>-269680.32000000007</v>
      </c>
      <c r="AE7" s="147">
        <f>-'10_CAPEX-INGRESOS-PAGOS'!$H$12*MAX(0,MIN(AE$3+1,'01_MODELO'!$I$37)-MAX(AE$3,'01_MODELO'!$I$35))/('01_MODELO'!$I$37-'01_MODELO'!$I$35)</f>
        <v>-269680.32000000007</v>
      </c>
      <c r="AF7" s="147">
        <f>-'10_CAPEX-INGRESOS-PAGOS'!$H$12*MAX(0,MIN(AF$3+1,'01_MODELO'!$I$37)-MAX(AF$3,'01_MODELO'!$I$35))/('01_MODELO'!$I$37-'01_MODELO'!$I$35)</f>
        <v>-269680.32000000007</v>
      </c>
      <c r="AG7" s="147">
        <f>-'10_CAPEX-INGRESOS-PAGOS'!$H$12*MAX(0,MIN(AG$3+1,'01_MODELO'!$I$37)-MAX(AG$3,'01_MODELO'!$I$35))/('01_MODELO'!$I$37-'01_MODELO'!$I$35)</f>
        <v>-269680.32000000007</v>
      </c>
      <c r="AH7" s="147">
        <f>-'10_CAPEX-INGRESOS-PAGOS'!$H$12*MAX(0,MIN(AH$3+1,'01_MODELO'!$I$37)-MAX(AH$3,'01_MODELO'!$I$35))/('01_MODELO'!$I$37-'01_MODELO'!$I$35)</f>
        <v>-269680.32000000007</v>
      </c>
      <c r="AI7" s="147">
        <f>-'10_CAPEX-INGRESOS-PAGOS'!$H$12*MAX(0,MIN(AI$3+1,'01_MODELO'!$I$37)-MAX(AI$3,'01_MODELO'!$I$35))/('01_MODELO'!$I$37-'01_MODELO'!$I$35)</f>
        <v>-269680.32000000007</v>
      </c>
      <c r="AJ7" s="147">
        <f>-'10_CAPEX-INGRESOS-PAGOS'!$H$12*MAX(0,MIN(AJ$3+1,'01_MODELO'!$I$37)-MAX(AJ$3,'01_MODELO'!$I$35))/('01_MODELO'!$I$37-'01_MODELO'!$I$35)</f>
        <v>-269680.32000000007</v>
      </c>
      <c r="AK7" s="147">
        <f>-'10_CAPEX-INGRESOS-PAGOS'!$H$12*MAX(0,MIN(AK$3+1,'01_MODELO'!$I$37)-MAX(AK$3,'01_MODELO'!$I$35))/('01_MODELO'!$I$37-'01_MODELO'!$I$35)</f>
        <v>0</v>
      </c>
      <c r="AL7" s="147">
        <f>-'10_CAPEX-INGRESOS-PAGOS'!$H$12*MAX(0,MIN(AL$3+1,'01_MODELO'!$I$37)-MAX(AL$3,'01_MODELO'!$I$35))/('01_MODELO'!$I$37-'01_MODELO'!$I$35)</f>
        <v>0</v>
      </c>
      <c r="AM7" s="147">
        <f>-'10_CAPEX-INGRESOS-PAGOS'!$H$12*MAX(0,MIN(AM$3+1,'01_MODELO'!$I$37)-MAX(AM$3,'01_MODELO'!$I$35))/('01_MODELO'!$I$37-'01_MODELO'!$I$35)</f>
        <v>0</v>
      </c>
      <c r="AN7" s="147">
        <f>-'10_CAPEX-INGRESOS-PAGOS'!$H$12*MAX(0,MIN(AN$3+1,'01_MODELO'!$I$37)-MAX(AN$3,'01_MODELO'!$I$35))/('01_MODELO'!$I$37-'01_MODELO'!$I$35)</f>
        <v>0</v>
      </c>
      <c r="AO7" s="147">
        <f>-'10_CAPEX-INGRESOS-PAGOS'!$H$12*MAX(0,MIN(AO$3+1,'01_MODELO'!$I$37)-MAX(AO$3,'01_MODELO'!$I$35))/('01_MODELO'!$I$37-'01_MODELO'!$I$35)</f>
        <v>0</v>
      </c>
      <c r="AP7" s="147">
        <f>-'10_CAPEX-INGRESOS-PAGOS'!$H$12*MAX(0,MIN(AP$3+1,'01_MODELO'!$I$37)-MAX(AP$3,'01_MODELO'!$I$35))/('01_MODELO'!$I$37-'01_MODELO'!$I$35)</f>
        <v>0</v>
      </c>
      <c r="AQ7" s="147">
        <f>-'10_CAPEX-INGRESOS-PAGOS'!$H$12*MAX(0,MIN(AQ$3+1,'01_MODELO'!$I$37)-MAX(AQ$3,'01_MODELO'!$I$35))/('01_MODELO'!$I$37-'01_MODELO'!$I$35)</f>
        <v>0</v>
      </c>
      <c r="AR7" s="147">
        <f>-'10_CAPEX-INGRESOS-PAGOS'!$H$12*MAX(0,MIN(AR$3+1,'01_MODELO'!$I$37)-MAX(AR$3,'01_MODELO'!$I$35))/('01_MODELO'!$I$37-'01_MODELO'!$I$35)</f>
        <v>0</v>
      </c>
      <c r="AS7" s="147">
        <f>-'10_CAPEX-INGRESOS-PAGOS'!$H$12*MAX(0,MIN(AS$3+1,'01_MODELO'!$I$37)-MAX(AS$3,'01_MODELO'!$I$35))/('01_MODELO'!$I$37-'01_MODELO'!$I$35)</f>
        <v>0</v>
      </c>
      <c r="AT7" s="147">
        <f>-'10_CAPEX-INGRESOS-PAGOS'!$H$12*MAX(0,MIN(AT$3+1,'01_MODELO'!$I$37)-MAX(AT$3,'01_MODELO'!$I$35))/('01_MODELO'!$I$37-'01_MODELO'!$I$35)</f>
        <v>0</v>
      </c>
      <c r="AU7" s="147">
        <f>-'10_CAPEX-INGRESOS-PAGOS'!$H$12*MAX(0,MIN(AU$3+1,'01_MODELO'!$I$37)-MAX(AU$3,'01_MODELO'!$I$35))/('01_MODELO'!$I$37-'01_MODELO'!$I$35)</f>
        <v>0</v>
      </c>
      <c r="AV7" s="147">
        <f>-'10_CAPEX-INGRESOS-PAGOS'!$H$12*MAX(0,MIN(AV$3+1,'01_MODELO'!$I$37)-MAX(AV$3,'01_MODELO'!$I$35))/('01_MODELO'!$I$37-'01_MODELO'!$I$35)</f>
        <v>0</v>
      </c>
      <c r="AW7" s="147">
        <f>-'10_CAPEX-INGRESOS-PAGOS'!$H$12*MAX(0,MIN(AW$3+1,'01_MODELO'!$I$37)-MAX(AW$3,'01_MODELO'!$I$35))/('01_MODELO'!$I$37-'01_MODELO'!$I$35)</f>
        <v>0</v>
      </c>
      <c r="AX7" s="147">
        <f>-'10_CAPEX-INGRESOS-PAGOS'!$H$12*MAX(0,MIN(AX$3+1,'01_MODELO'!$I$37)-MAX(AX$3,'01_MODELO'!$I$35))/('01_MODELO'!$I$37-'01_MODELO'!$I$35)</f>
        <v>0</v>
      </c>
      <c r="AY7" s="147">
        <f>-'10_CAPEX-INGRESOS-PAGOS'!$H$12*MAX(0,MIN(AY$3+1,'01_MODELO'!$I$37)-MAX(AY$3,'01_MODELO'!$I$35))/('01_MODELO'!$I$37-'01_MODELO'!$I$35)</f>
        <v>0</v>
      </c>
      <c r="AZ7" s="147">
        <f>-'10_CAPEX-INGRESOS-PAGOS'!$H$12*MAX(0,MIN(AZ$3+1,'01_MODELO'!$I$37)-MAX(AZ$3,'01_MODELO'!$I$35))/('01_MODELO'!$I$37-'01_MODELO'!$I$35)</f>
        <v>0</v>
      </c>
      <c r="BA7" s="147">
        <f>-'10_CAPEX-INGRESOS-PAGOS'!$H$12*MAX(0,MIN(BA$3+1,'01_MODELO'!$I$37)-MAX(BA$3,'01_MODELO'!$I$35))/('01_MODELO'!$I$37-'01_MODELO'!$I$35)</f>
        <v>0</v>
      </c>
      <c r="BB7" s="147">
        <f>-'10_CAPEX-INGRESOS-PAGOS'!$H$12*MAX(0,MIN(BB$3+1,'01_MODELO'!$I$37)-MAX(BB$3,'01_MODELO'!$I$35))/('01_MODELO'!$I$37-'01_MODELO'!$I$35)</f>
        <v>0</v>
      </c>
      <c r="BC7" s="147">
        <f>-'10_CAPEX-INGRESOS-PAGOS'!$H$12*MAX(0,MIN(BC$3+1,'01_MODELO'!$I$37)-MAX(BC$3,'01_MODELO'!$I$35))/('01_MODELO'!$I$37-'01_MODELO'!$I$35)</f>
        <v>0</v>
      </c>
      <c r="BD7" s="147">
        <f>-'10_CAPEX-INGRESOS-PAGOS'!$H$12*MAX(0,MIN(BD$3+1,'01_MODELO'!$I$37)-MAX(BD$3,'01_MODELO'!$I$35))/('01_MODELO'!$I$37-'01_MODELO'!$I$35)</f>
        <v>0</v>
      </c>
      <c r="BE7" s="147">
        <f>-'10_CAPEX-INGRESOS-PAGOS'!$H$12*MAX(0,MIN(BE$3+1,'01_MODELO'!$I$37)-MAX(BE$3,'01_MODELO'!$I$35))/('01_MODELO'!$I$37-'01_MODELO'!$I$35)</f>
        <v>0</v>
      </c>
      <c r="BF7" s="147">
        <f>-'10_CAPEX-INGRESOS-PAGOS'!$H$12*MAX(0,MIN(BF$3+1,'01_MODELO'!$I$37)-MAX(BF$3,'01_MODELO'!$I$35))/('01_MODELO'!$I$37-'01_MODELO'!$I$35)</f>
        <v>0</v>
      </c>
      <c r="BG7" s="147">
        <f>-'10_CAPEX-INGRESOS-PAGOS'!$H$12*MAX(0,MIN(BG$3+1,'01_MODELO'!$I$37)-MAX(BG$3,'01_MODELO'!$I$35))/('01_MODELO'!$I$37-'01_MODELO'!$I$35)</f>
        <v>0</v>
      </c>
      <c r="BH7" s="147">
        <f>-'10_CAPEX-INGRESOS-PAGOS'!$H$12*MAX(0,MIN(BH$3+1,'01_MODELO'!$I$37)-MAX(BH$3,'01_MODELO'!$I$35))/('01_MODELO'!$I$37-'01_MODELO'!$I$35)</f>
        <v>0</v>
      </c>
      <c r="BI7" s="147">
        <f>-'10_CAPEX-INGRESOS-PAGOS'!$H$12*MAX(0,MIN(BI$3+1,'01_MODELO'!$I$37)-MAX(BI$3,'01_MODELO'!$I$35))/('01_MODELO'!$I$37-'01_MODELO'!$I$35)</f>
        <v>0</v>
      </c>
      <c r="BJ7" s="147">
        <f>-'10_CAPEX-INGRESOS-PAGOS'!$H$12*MAX(0,MIN(BJ$3+1,'01_MODELO'!$I$37)-MAX(BJ$3,'01_MODELO'!$I$35))/('01_MODELO'!$I$37-'01_MODELO'!$I$35)</f>
        <v>0</v>
      </c>
      <c r="BK7" s="147">
        <f>-'10_CAPEX-INGRESOS-PAGOS'!$H$12*MAX(0,MIN(BK$3+1,'01_MODELO'!$I$37)-MAX(BK$3,'01_MODELO'!$I$35))/('01_MODELO'!$I$37-'01_MODELO'!$I$35)</f>
        <v>0</v>
      </c>
      <c r="BL7" s="147">
        <f>-'10_CAPEX-INGRESOS-PAGOS'!$H$12*MAX(0,MIN(BL$3+1,'01_MODELO'!$I$37)-MAX(BL$3,'01_MODELO'!$I$35))/('01_MODELO'!$I$37-'01_MODELO'!$I$35)</f>
        <v>0</v>
      </c>
      <c r="BM7" s="147">
        <f>-'10_CAPEX-INGRESOS-PAGOS'!$H$12*MAX(0,MIN(BM$3+1,'01_MODELO'!$I$37)-MAX(BM$3,'01_MODELO'!$I$35))/('01_MODELO'!$I$37-'01_MODELO'!$I$35)</f>
        <v>0</v>
      </c>
      <c r="BN7" s="147">
        <f>-'10_CAPEX-INGRESOS-PAGOS'!$H$12*MAX(0,MIN(BN$3+1,'01_MODELO'!$I$37)-MAX(BN$3,'01_MODELO'!$I$35))/('01_MODELO'!$I$37-'01_MODELO'!$I$35)</f>
        <v>0</v>
      </c>
      <c r="BO7" s="147">
        <f>-'10_CAPEX-INGRESOS-PAGOS'!$H$12*MAX(0,MIN(BO$3+1,'01_MODELO'!$I$37)-MAX(BO$3,'01_MODELO'!$I$35))/('01_MODELO'!$I$37-'01_MODELO'!$I$35)</f>
        <v>0</v>
      </c>
      <c r="BP7" s="147">
        <f>-'10_CAPEX-INGRESOS-PAGOS'!$H$12*MAX(0,MIN(BP$3+1,'01_MODELO'!$I$37)-MAX(BP$3,'01_MODELO'!$I$35))/('01_MODELO'!$I$37-'01_MODELO'!$I$35)</f>
        <v>0</v>
      </c>
      <c r="BQ7" s="147">
        <f>-'10_CAPEX-INGRESOS-PAGOS'!$H$12*MAX(0,MIN(BQ$3+1,'01_MODELO'!$I$37)-MAX(BQ$3,'01_MODELO'!$I$35))/('01_MODELO'!$I$37-'01_MODELO'!$I$35)</f>
        <v>0</v>
      </c>
      <c r="BR7" s="147">
        <f>-'10_CAPEX-INGRESOS-PAGOS'!$H$12*MAX(0,MIN(BR$3+1,'01_MODELO'!$I$37)-MAX(BR$3,'01_MODELO'!$I$35))/('01_MODELO'!$I$37-'01_MODELO'!$I$35)</f>
        <v>0</v>
      </c>
      <c r="BS7" s="147">
        <f>-'10_CAPEX-INGRESOS-PAGOS'!$H$12*MAX(0,MIN(BS$3+1,'01_MODELO'!$I$37)-MAX(BS$3,'01_MODELO'!$I$35))/('01_MODELO'!$I$37-'01_MODELO'!$I$35)</f>
        <v>0</v>
      </c>
      <c r="BT7" s="147">
        <f>-'10_CAPEX-INGRESOS-PAGOS'!$H$12*MAX(0,MIN(BT$3+1,'01_MODELO'!$I$37)-MAX(BT$3,'01_MODELO'!$I$35))/('01_MODELO'!$I$37-'01_MODELO'!$I$35)</f>
        <v>0</v>
      </c>
      <c r="BU7" s="147">
        <f>-'10_CAPEX-INGRESOS-PAGOS'!$H$12*MAX(0,MIN(BU$3+1,'01_MODELO'!$I$37)-MAX(BU$3,'01_MODELO'!$I$35))/('01_MODELO'!$I$37-'01_MODELO'!$I$35)</f>
        <v>0</v>
      </c>
      <c r="BV7" s="147">
        <f>-'10_CAPEX-INGRESOS-PAGOS'!$H$12*MAX(0,MIN(BV$3+1,'01_MODELO'!$I$37)-MAX(BV$3,'01_MODELO'!$I$35))/('01_MODELO'!$I$37-'01_MODELO'!$I$35)</f>
        <v>0</v>
      </c>
      <c r="BW7" s="147">
        <f>-'10_CAPEX-INGRESOS-PAGOS'!$H$12*MAX(0,MIN(BW$3+1,'01_MODELO'!$I$37)-MAX(BW$3,'01_MODELO'!$I$35))/('01_MODELO'!$I$37-'01_MODELO'!$I$35)</f>
        <v>0</v>
      </c>
      <c r="BX7" s="147">
        <f>-'10_CAPEX-INGRESOS-PAGOS'!$H$12*MAX(0,MIN(BX$3+1,'01_MODELO'!$I$37)-MAX(BX$3,'01_MODELO'!$I$35))/('01_MODELO'!$I$37-'01_MODELO'!$I$35)</f>
        <v>0</v>
      </c>
      <c r="BY7" s="147">
        <f>-'10_CAPEX-INGRESOS-PAGOS'!$H$12*MAX(0,MIN(BY$3+1,'01_MODELO'!$I$37)-MAX(BY$3,'01_MODELO'!$I$35))/('01_MODELO'!$I$37-'01_MODELO'!$I$35)</f>
        <v>0</v>
      </c>
      <c r="BZ7" s="147">
        <f>-'10_CAPEX-INGRESOS-PAGOS'!$H$12*MAX(0,MIN(BZ$3+1,'01_MODELO'!$I$37)-MAX(BZ$3,'01_MODELO'!$I$35))/('01_MODELO'!$I$37-'01_MODELO'!$I$35)</f>
        <v>0</v>
      </c>
      <c r="CA7" s="147">
        <f>-'10_CAPEX-INGRESOS-PAGOS'!$H$12*MAX(0,MIN(CA$3+1,'01_MODELO'!$I$37)-MAX(CA$3,'01_MODELO'!$I$35))/('01_MODELO'!$I$37-'01_MODELO'!$I$35)</f>
        <v>0</v>
      </c>
      <c r="CB7" s="147">
        <f>-'10_CAPEX-INGRESOS-PAGOS'!$H$12*MAX(0,MIN(CB$3+1,'01_MODELO'!$I$37)-MAX(CB$3,'01_MODELO'!$I$35))/('01_MODELO'!$I$37-'01_MODELO'!$I$35)</f>
        <v>0</v>
      </c>
      <c r="CC7" s="147">
        <f>-'10_CAPEX-INGRESOS-PAGOS'!$H$12*MAX(0,MIN(CC$3+1,'01_MODELO'!$I$37)-MAX(CC$3,'01_MODELO'!$I$35))/('01_MODELO'!$I$37-'01_MODELO'!$I$35)</f>
        <v>0</v>
      </c>
      <c r="CD7" s="147">
        <f>-'10_CAPEX-INGRESOS-PAGOS'!$H$12*MAX(0,MIN(CD$3+1,'01_MODELO'!$I$37)-MAX(CD$3,'01_MODELO'!$I$35))/('01_MODELO'!$I$37-'01_MODELO'!$I$35)</f>
        <v>0</v>
      </c>
      <c r="CE7" s="147">
        <f>-'10_CAPEX-INGRESOS-PAGOS'!$H$12*MAX(0,MIN(CE$3+1,'01_MODELO'!$I$37)-MAX(CE$3,'01_MODELO'!$I$35))/('01_MODELO'!$I$37-'01_MODELO'!$I$35)</f>
        <v>0</v>
      </c>
      <c r="CF7" s="147">
        <f>-'10_CAPEX-INGRESOS-PAGOS'!$H$12*MAX(0,MIN(CF$3+1,'01_MODELO'!$I$37)-MAX(CF$3,'01_MODELO'!$I$35))/('01_MODELO'!$I$37-'01_MODELO'!$I$35)</f>
        <v>0</v>
      </c>
      <c r="CG7" s="147">
        <f>-'10_CAPEX-INGRESOS-PAGOS'!$H$12*MAX(0,MIN(CG$3+1,'01_MODELO'!$I$37)-MAX(CG$3,'01_MODELO'!$I$35))/('01_MODELO'!$I$37-'01_MODELO'!$I$35)</f>
        <v>0</v>
      </c>
      <c r="CH7" s="147">
        <f>-'10_CAPEX-INGRESOS-PAGOS'!$H$12*MAX(0,MIN(CH$3+1,'01_MODELO'!$I$37)-MAX(CH$3,'01_MODELO'!$I$35))/('01_MODELO'!$I$37-'01_MODELO'!$I$35)</f>
        <v>0</v>
      </c>
      <c r="CI7" s="147">
        <f>-'10_CAPEX-INGRESOS-PAGOS'!$H$12*MAX(0,MIN(CI$3+1,'01_MODELO'!$I$37)-MAX(CI$3,'01_MODELO'!$I$35))/('01_MODELO'!$I$37-'01_MODELO'!$I$35)</f>
        <v>0</v>
      </c>
      <c r="CJ7" s="147">
        <f>-'10_CAPEX-INGRESOS-PAGOS'!$H$12*MAX(0,MIN(CJ$3+1,'01_MODELO'!$I$37)-MAX(CJ$3,'01_MODELO'!$I$35))/('01_MODELO'!$I$37-'01_MODELO'!$I$35)</f>
        <v>0</v>
      </c>
      <c r="CK7" s="147">
        <f>-'10_CAPEX-INGRESOS-PAGOS'!$H$12*MAX(0,MIN(CK$3+1,'01_MODELO'!$I$37)-MAX(CK$3,'01_MODELO'!$I$35))/('01_MODELO'!$I$37-'01_MODELO'!$I$35)</f>
        <v>0</v>
      </c>
      <c r="CL7" s="147">
        <f>-'10_CAPEX-INGRESOS-PAGOS'!$H$12*MAX(0,MIN(CL$3+1,'01_MODELO'!$I$37)-MAX(CL$3,'01_MODELO'!$I$35))/('01_MODELO'!$I$37-'01_MODELO'!$I$35)</f>
        <v>0</v>
      </c>
      <c r="CM7" s="147">
        <f>-'10_CAPEX-INGRESOS-PAGOS'!$H$12*MAX(0,MIN(CM$3+1,'01_MODELO'!$I$37)-MAX(CM$3,'01_MODELO'!$I$35))/('01_MODELO'!$I$37-'01_MODELO'!$I$35)</f>
        <v>0</v>
      </c>
      <c r="CN7" s="147">
        <f>-'10_CAPEX-INGRESOS-PAGOS'!$H$12*MAX(0,MIN(CN$3+1,'01_MODELO'!$I$37)-MAX(CN$3,'01_MODELO'!$I$35))/('01_MODELO'!$I$37-'01_MODELO'!$I$35)</f>
        <v>0</v>
      </c>
      <c r="CO7" s="147">
        <f>-'10_CAPEX-INGRESOS-PAGOS'!$H$12*MAX(0,MIN(CO$3+1,'01_MODELO'!$I$37)-MAX(CO$3,'01_MODELO'!$I$35))/('01_MODELO'!$I$37-'01_MODELO'!$I$35)</f>
        <v>0</v>
      </c>
      <c r="CP7" s="147">
        <f>-'10_CAPEX-INGRESOS-PAGOS'!$H$12*MAX(0,MIN(CP$3+1,'01_MODELO'!$I$37)-MAX(CP$3,'01_MODELO'!$I$35))/('01_MODELO'!$I$37-'01_MODELO'!$I$35)</f>
        <v>0</v>
      </c>
      <c r="CQ7" s="147">
        <f>-'10_CAPEX-INGRESOS-PAGOS'!$H$12*MAX(0,MIN(CQ$3+1,'01_MODELO'!$I$37)-MAX(CQ$3,'01_MODELO'!$I$35))/('01_MODELO'!$I$37-'01_MODELO'!$I$35)</f>
        <v>0</v>
      </c>
      <c r="CR7" s="147">
        <f>-'10_CAPEX-INGRESOS-PAGOS'!$H$12*MAX(0,MIN(CR$3+1,'01_MODELO'!$I$37)-MAX(CR$3,'01_MODELO'!$I$35))/('01_MODELO'!$I$37-'01_MODELO'!$I$35)</f>
        <v>0</v>
      </c>
      <c r="CS7" s="147">
        <f>-'10_CAPEX-INGRESOS-PAGOS'!$H$12*MAX(0,MIN(CS$3+1,'01_MODELO'!$I$37)-MAX(CS$3,'01_MODELO'!$I$35))/('01_MODELO'!$I$37-'01_MODELO'!$I$35)</f>
        <v>0</v>
      </c>
      <c r="CT7" s="147">
        <f>-'10_CAPEX-INGRESOS-PAGOS'!$H$12*MAX(0,MIN(CT$3+1,'01_MODELO'!$I$37)-MAX(CT$3,'01_MODELO'!$I$35))/('01_MODELO'!$I$37-'01_MODELO'!$I$35)</f>
        <v>0</v>
      </c>
      <c r="CU7" s="147">
        <f>-'10_CAPEX-INGRESOS-PAGOS'!$H$12*MAX(0,MIN(CU$3+1,'01_MODELO'!$I$37)-MAX(CU$3,'01_MODELO'!$I$35))/('01_MODELO'!$I$37-'01_MODELO'!$I$35)</f>
        <v>0</v>
      </c>
      <c r="CV7" s="147">
        <f>-'10_CAPEX-INGRESOS-PAGOS'!$H$12*MAX(0,MIN(CV$3+1,'01_MODELO'!$I$37)-MAX(CV$3,'01_MODELO'!$I$35))/('01_MODELO'!$I$37-'01_MODELO'!$I$35)</f>
        <v>0</v>
      </c>
      <c r="CW7" s="147">
        <f>-'10_CAPEX-INGRESOS-PAGOS'!$H$12*MAX(0,MIN(CW$3+1,'01_MODELO'!$I$37)-MAX(CW$3,'01_MODELO'!$I$35))/('01_MODELO'!$I$37-'01_MODELO'!$I$35)</f>
        <v>0</v>
      </c>
      <c r="CX7" s="147">
        <f>-'10_CAPEX-INGRESOS-PAGOS'!$H$12*MAX(0,MIN(CX$3+1,'01_MODELO'!$I$37)-MAX(CX$3,'01_MODELO'!$I$35))/('01_MODELO'!$I$37-'01_MODELO'!$I$35)</f>
        <v>0</v>
      </c>
      <c r="CY7" s="147">
        <f>-'10_CAPEX-INGRESOS-PAGOS'!$H$12*MAX(0,MIN(CY$3+1,'01_MODELO'!$I$37)-MAX(CY$3,'01_MODELO'!$I$35))/('01_MODELO'!$I$37-'01_MODELO'!$I$35)</f>
        <v>0</v>
      </c>
      <c r="CZ7" s="147">
        <f>-'10_CAPEX-INGRESOS-PAGOS'!$H$12*MAX(0,MIN(CZ$3+1,'01_MODELO'!$I$37)-MAX(CZ$3,'01_MODELO'!$I$35))/('01_MODELO'!$I$37-'01_MODELO'!$I$35)</f>
        <v>0</v>
      </c>
      <c r="DA7" s="147">
        <f>-'10_CAPEX-INGRESOS-PAGOS'!$H$12*MAX(0,MIN(DA$3+1,'01_MODELO'!$I$37)-MAX(DA$3,'01_MODELO'!$I$35))/('01_MODELO'!$I$37-'01_MODELO'!$I$35)</f>
        <v>0</v>
      </c>
      <c r="DB7" s="147">
        <f>-'10_CAPEX-INGRESOS-PAGOS'!$H$12*MAX(0,MIN(DB$3+1,'01_MODELO'!$I$37)-MAX(DB$3,'01_MODELO'!$I$35))/('01_MODELO'!$I$37-'01_MODELO'!$I$35)</f>
        <v>0</v>
      </c>
      <c r="DC7" s="147">
        <f>-'10_CAPEX-INGRESOS-PAGOS'!$H$12*MAX(0,MIN(DC$3+1,'01_MODELO'!$I$37)-MAX(DC$3,'01_MODELO'!$I$35))/('01_MODELO'!$I$37-'01_MODELO'!$I$35)</f>
        <v>0</v>
      </c>
      <c r="DD7" s="147">
        <f>-'10_CAPEX-INGRESOS-PAGOS'!$H$12*MAX(0,MIN(DD$3+1,'01_MODELO'!$I$37)-MAX(DD$3,'01_MODELO'!$I$35))/('01_MODELO'!$I$37-'01_MODELO'!$I$35)</f>
        <v>0</v>
      </c>
      <c r="DE7" s="147">
        <f>-'10_CAPEX-INGRESOS-PAGOS'!$H$12*MAX(0,MIN(DE$3+1,'01_MODELO'!$I$37)-MAX(DE$3,'01_MODELO'!$I$35))/('01_MODELO'!$I$37-'01_MODELO'!$I$35)</f>
        <v>0</v>
      </c>
      <c r="DF7" s="147">
        <f>-'10_CAPEX-INGRESOS-PAGOS'!$H$12*MAX(0,MIN(DF$3+1,'01_MODELO'!$I$37)-MAX(DF$3,'01_MODELO'!$I$35))/('01_MODELO'!$I$37-'01_MODELO'!$I$35)</f>
        <v>0</v>
      </c>
      <c r="DG7" s="147">
        <f>-'10_CAPEX-INGRESOS-PAGOS'!$H$12*MAX(0,MIN(DG$3+1,'01_MODELO'!$I$37)-MAX(DG$3,'01_MODELO'!$I$35))/('01_MODELO'!$I$37-'01_MODELO'!$I$35)</f>
        <v>0</v>
      </c>
      <c r="DH7" s="147">
        <f>-'10_CAPEX-INGRESOS-PAGOS'!$H$12*MAX(0,MIN(DH$3+1,'01_MODELO'!$I$37)-MAX(DH$3,'01_MODELO'!$I$35))/('01_MODELO'!$I$37-'01_MODELO'!$I$35)</f>
        <v>0</v>
      </c>
      <c r="DI7" s="147">
        <f>-'10_CAPEX-INGRESOS-PAGOS'!$H$12*MAX(0,MIN(DI$3+1,'01_MODELO'!$I$37)-MAX(DI$3,'01_MODELO'!$I$35))/('01_MODELO'!$I$37-'01_MODELO'!$I$35)</f>
        <v>0</v>
      </c>
      <c r="DJ7" s="147">
        <f>-'10_CAPEX-INGRESOS-PAGOS'!$H$12*MAX(0,MIN(DJ$3+1,'01_MODELO'!$I$37)-MAX(DJ$3,'01_MODELO'!$I$35))/('01_MODELO'!$I$37-'01_MODELO'!$I$35)</f>
        <v>0</v>
      </c>
      <c r="DK7" s="147">
        <f>-'10_CAPEX-INGRESOS-PAGOS'!$H$12*MAX(0,MIN(DK$3+1,'01_MODELO'!$I$37)-MAX(DK$3,'01_MODELO'!$I$35))/('01_MODELO'!$I$37-'01_MODELO'!$I$35)</f>
        <v>0</v>
      </c>
      <c r="DL7" s="147">
        <f>-'10_CAPEX-INGRESOS-PAGOS'!$H$12*MAX(0,MIN(DL$3+1,'01_MODELO'!$I$37)-MAX(DL$3,'01_MODELO'!$I$35))/('01_MODELO'!$I$37-'01_MODELO'!$I$35)</f>
        <v>0</v>
      </c>
      <c r="DM7" s="147">
        <f>-'10_CAPEX-INGRESOS-PAGOS'!$H$12*MAX(0,MIN(DM$3+1,'01_MODELO'!$I$37)-MAX(DM$3,'01_MODELO'!$I$35))/('01_MODELO'!$I$37-'01_MODELO'!$I$35)</f>
        <v>0</v>
      </c>
      <c r="DN7" s="147">
        <f>-'10_CAPEX-INGRESOS-PAGOS'!$H$12*MAX(0,MIN(DN$3+1,'01_MODELO'!$I$37)-MAX(DN$3,'01_MODELO'!$I$35))/('01_MODELO'!$I$37-'01_MODELO'!$I$35)</f>
        <v>0</v>
      </c>
      <c r="DO7" s="147">
        <f>-'10_CAPEX-INGRESOS-PAGOS'!$H$12*MAX(0,MIN(DO$3+1,'01_MODELO'!$I$37)-MAX(DO$3,'01_MODELO'!$I$35))/('01_MODELO'!$I$37-'01_MODELO'!$I$35)</f>
        <v>0</v>
      </c>
      <c r="DP7" s="147">
        <f>-'10_CAPEX-INGRESOS-PAGOS'!$H$12*MAX(0,MIN(DP$3+1,'01_MODELO'!$I$37)-MAX(DP$3,'01_MODELO'!$I$35))/('01_MODELO'!$I$37-'01_MODELO'!$I$35)</f>
        <v>0</v>
      </c>
      <c r="DQ7" s="147">
        <f>-'10_CAPEX-INGRESOS-PAGOS'!$H$12*MAX(0,MIN(DQ$3+1,'01_MODELO'!$I$37)-MAX(DQ$3,'01_MODELO'!$I$35))/('01_MODELO'!$I$37-'01_MODELO'!$I$35)</f>
        <v>0</v>
      </c>
      <c r="DR7" s="147">
        <f>-'10_CAPEX-INGRESOS-PAGOS'!$H$12*MAX(0,MIN(DR$3+1,'01_MODELO'!$I$37)-MAX(DR$3,'01_MODELO'!$I$35))/('01_MODELO'!$I$37-'01_MODELO'!$I$35)</f>
        <v>0</v>
      </c>
      <c r="DS7" s="147">
        <f>-'10_CAPEX-INGRESOS-PAGOS'!$H$12*MAX(0,MIN(DS$3+1,'01_MODELO'!$I$37)-MAX(DS$3,'01_MODELO'!$I$35))/('01_MODELO'!$I$37-'01_MODELO'!$I$35)</f>
        <v>0</v>
      </c>
      <c r="DT7" s="147">
        <f>-'10_CAPEX-INGRESOS-PAGOS'!$H$12*MAX(0,MIN(DT$3+1,'01_MODELO'!$I$37)-MAX(DT$3,'01_MODELO'!$I$35))/('01_MODELO'!$I$37-'01_MODELO'!$I$35)</f>
        <v>0</v>
      </c>
      <c r="DU7" s="147">
        <f>-'10_CAPEX-INGRESOS-PAGOS'!$H$12*MAX(0,MIN(DU$3+1,'01_MODELO'!$I$37)-MAX(DU$3,'01_MODELO'!$I$35))/('01_MODELO'!$I$37-'01_MODELO'!$I$35)</f>
        <v>0</v>
      </c>
      <c r="DV7" s="147">
        <f>-'10_CAPEX-INGRESOS-PAGOS'!$H$12*MAX(0,MIN(DV$3+1,'01_MODELO'!$I$37)-MAX(DV$3,'01_MODELO'!$I$35))/('01_MODELO'!$I$37-'01_MODELO'!$I$35)</f>
        <v>0</v>
      </c>
      <c r="DW7" s="147">
        <f>-'10_CAPEX-INGRESOS-PAGOS'!$H$12*MAX(0,MIN(DW$3+1,'01_MODELO'!$I$37)-MAX(DW$3,'01_MODELO'!$I$35))/('01_MODELO'!$I$37-'01_MODELO'!$I$35)</f>
        <v>0</v>
      </c>
      <c r="DX7" s="147">
        <f>-'10_CAPEX-INGRESOS-PAGOS'!$H$12*MAX(0,MIN(DX$3+1,'01_MODELO'!$I$37)-MAX(DX$3,'01_MODELO'!$I$35))/('01_MODELO'!$I$37-'01_MODELO'!$I$35)</f>
        <v>0</v>
      </c>
      <c r="DY7" s="147">
        <f>-'10_CAPEX-INGRESOS-PAGOS'!$H$12*MAX(0,MIN(DY$3+1,'01_MODELO'!$I$37)-MAX(DY$3,'01_MODELO'!$I$35))/('01_MODELO'!$I$37-'01_MODELO'!$I$35)</f>
        <v>0</v>
      </c>
      <c r="DZ7" s="147">
        <f>-'10_CAPEX-INGRESOS-PAGOS'!$H$12*MAX(0,MIN(DZ$3+1,'01_MODELO'!$I$37)-MAX(DZ$3,'01_MODELO'!$I$35))/('01_MODELO'!$I$37-'01_MODELO'!$I$35)</f>
        <v>0</v>
      </c>
      <c r="EA7" s="147">
        <f>-'10_CAPEX-INGRESOS-PAGOS'!$H$12*MAX(0,MIN(EA$3+1,'01_MODELO'!$I$37)-MAX(EA$3,'01_MODELO'!$I$35))/('01_MODELO'!$I$37-'01_MODELO'!$I$35)</f>
        <v>0</v>
      </c>
      <c r="EB7" s="147">
        <f>-'10_CAPEX-INGRESOS-PAGOS'!$H$12*MAX(0,MIN(EB$3+1,'01_MODELO'!$I$37)-MAX(EB$3,'01_MODELO'!$I$35))/('01_MODELO'!$I$37-'01_MODELO'!$I$35)</f>
        <v>0</v>
      </c>
      <c r="EC7" s="147">
        <f>-'10_CAPEX-INGRESOS-PAGOS'!$H$12*MAX(0,MIN(EC$3+1,'01_MODELO'!$I$37)-MAX(EC$3,'01_MODELO'!$I$35))/('01_MODELO'!$I$37-'01_MODELO'!$I$35)</f>
        <v>0</v>
      </c>
      <c r="ED7" s="147">
        <f>-'10_CAPEX-INGRESOS-PAGOS'!$H$12*MAX(0,MIN(ED$3+1,'01_MODELO'!$I$37)-MAX(ED$3,'01_MODELO'!$I$35))/('01_MODELO'!$I$37-'01_MODELO'!$I$35)</f>
        <v>0</v>
      </c>
      <c r="EE7" s="147">
        <f>-'10_CAPEX-INGRESOS-PAGOS'!$H$12*MAX(0,MIN(EE$3+1,'01_MODELO'!$I$37)-MAX(EE$3,'01_MODELO'!$I$35))/('01_MODELO'!$I$37-'01_MODELO'!$I$35)</f>
        <v>0</v>
      </c>
      <c r="EF7" s="147">
        <f>-'10_CAPEX-INGRESOS-PAGOS'!$H$12*MAX(0,MIN(EF$3+1,'01_MODELO'!$I$37)-MAX(EF$3,'01_MODELO'!$I$35))/('01_MODELO'!$I$37-'01_MODELO'!$I$35)</f>
        <v>0</v>
      </c>
      <c r="EG7" s="147">
        <f>-'10_CAPEX-INGRESOS-PAGOS'!$H$12*MAX(0,MIN(EG$3+1,'01_MODELO'!$I$37)-MAX(EG$3,'01_MODELO'!$I$35))/('01_MODELO'!$I$37-'01_MODELO'!$I$35)</f>
        <v>0</v>
      </c>
      <c r="EH7" s="147">
        <f>-'10_CAPEX-INGRESOS-PAGOS'!$H$12*MAX(0,MIN(EH$3+1,'01_MODELO'!$I$37)-MAX(EH$3,'01_MODELO'!$I$35))/('01_MODELO'!$I$37-'01_MODELO'!$I$35)</f>
        <v>0</v>
      </c>
      <c r="EI7" s="147">
        <f>-'10_CAPEX-INGRESOS-PAGOS'!$H$12*MAX(0,MIN(EI$3+1,'01_MODELO'!$I$37)-MAX(EI$3,'01_MODELO'!$I$35))/('01_MODELO'!$I$37-'01_MODELO'!$I$35)</f>
        <v>0</v>
      </c>
      <c r="EJ7" s="147">
        <f>-'10_CAPEX-INGRESOS-PAGOS'!$H$12*MAX(0,MIN(EJ$3+1,'01_MODELO'!$I$37)-MAX(EJ$3,'01_MODELO'!$I$35))/('01_MODELO'!$I$37-'01_MODELO'!$I$35)</f>
        <v>0</v>
      </c>
      <c r="EK7" s="147">
        <f>-'10_CAPEX-INGRESOS-PAGOS'!$H$12*MAX(0,MIN(EK$3+1,'01_MODELO'!$I$37)-MAX(EK$3,'01_MODELO'!$I$35))/('01_MODELO'!$I$37-'01_MODELO'!$I$35)</f>
        <v>0</v>
      </c>
      <c r="EL7" s="147">
        <f>-'10_CAPEX-INGRESOS-PAGOS'!$H$12*MAX(0,MIN(EL$3+1,'01_MODELO'!$I$37)-MAX(EL$3,'01_MODELO'!$I$35))/('01_MODELO'!$I$37-'01_MODELO'!$I$35)</f>
        <v>0</v>
      </c>
      <c r="EM7" s="147">
        <f>-'10_CAPEX-INGRESOS-PAGOS'!$H$12*MAX(0,MIN(EM$3+1,'01_MODELO'!$I$37)-MAX(EM$3,'01_MODELO'!$I$35))/('01_MODELO'!$I$37-'01_MODELO'!$I$35)</f>
        <v>0</v>
      </c>
      <c r="EN7" s="147">
        <f>-'10_CAPEX-INGRESOS-PAGOS'!$H$12*MAX(0,MIN(EN$3+1,'01_MODELO'!$I$37)-MAX(EN$3,'01_MODELO'!$I$35))/('01_MODELO'!$I$37-'01_MODELO'!$I$35)</f>
        <v>0</v>
      </c>
      <c r="EO7" s="147">
        <f>-'10_CAPEX-INGRESOS-PAGOS'!$H$12*MAX(0,MIN(EO$3+1,'01_MODELO'!$I$37)-MAX(EO$3,'01_MODELO'!$I$35))/('01_MODELO'!$I$37-'01_MODELO'!$I$35)</f>
        <v>0</v>
      </c>
      <c r="EP7" s="147">
        <f>-'10_CAPEX-INGRESOS-PAGOS'!$H$12*MAX(0,MIN(EP$3+1,'01_MODELO'!$I$37)-MAX(EP$3,'01_MODELO'!$I$35))/('01_MODELO'!$I$37-'01_MODELO'!$I$35)</f>
        <v>0</v>
      </c>
      <c r="EQ7" s="147">
        <f>-'10_CAPEX-INGRESOS-PAGOS'!$H$12*MAX(0,MIN(EQ$3+1,'01_MODELO'!$I$37)-MAX(EQ$3,'01_MODELO'!$I$35))/('01_MODELO'!$I$37-'01_MODELO'!$I$35)</f>
        <v>0</v>
      </c>
      <c r="ER7" s="147">
        <f>-'10_CAPEX-INGRESOS-PAGOS'!$H$12*MAX(0,MIN(ER$3+1,'01_MODELO'!$I$37)-MAX(ER$3,'01_MODELO'!$I$35))/('01_MODELO'!$I$37-'01_MODELO'!$I$35)</f>
        <v>0</v>
      </c>
      <c r="ES7" s="147">
        <f>-'10_CAPEX-INGRESOS-PAGOS'!$H$12*MAX(0,MIN(ES$3+1,'01_MODELO'!$I$37)-MAX(ES$3,'01_MODELO'!$I$35))/('01_MODELO'!$I$37-'01_MODELO'!$I$35)</f>
        <v>0</v>
      </c>
      <c r="ET7" s="147">
        <f>-'10_CAPEX-INGRESOS-PAGOS'!$H$12*MAX(0,MIN(ET$3+1,'01_MODELO'!$I$37)-MAX(ET$3,'01_MODELO'!$I$35))/('01_MODELO'!$I$37-'01_MODELO'!$I$35)</f>
        <v>0</v>
      </c>
      <c r="EU7" s="147">
        <f>-'10_CAPEX-INGRESOS-PAGOS'!$H$12*MAX(0,MIN(EU$3+1,'01_MODELO'!$I$37)-MAX(EU$3,'01_MODELO'!$I$35))/('01_MODELO'!$I$37-'01_MODELO'!$I$35)</f>
        <v>0</v>
      </c>
      <c r="EV7" s="147">
        <f>-'10_CAPEX-INGRESOS-PAGOS'!$H$12*MAX(0,MIN(EV$3+1,'01_MODELO'!$I$37)-MAX(EV$3,'01_MODELO'!$I$35))/('01_MODELO'!$I$37-'01_MODELO'!$I$35)</f>
        <v>0</v>
      </c>
      <c r="EW7" s="147">
        <f>-'10_CAPEX-INGRESOS-PAGOS'!$H$12*MAX(0,MIN(EW$3+1,'01_MODELO'!$I$37)-MAX(EW$3,'01_MODELO'!$I$35))/('01_MODELO'!$I$37-'01_MODELO'!$I$35)</f>
        <v>0</v>
      </c>
      <c r="EX7" s="147">
        <f>-'10_CAPEX-INGRESOS-PAGOS'!$H$12*MAX(0,MIN(EX$3+1,'01_MODELO'!$I$37)-MAX(EX$3,'01_MODELO'!$I$35))/('01_MODELO'!$I$37-'01_MODELO'!$I$35)</f>
        <v>0</v>
      </c>
      <c r="EY7" s="147">
        <f>-'10_CAPEX-INGRESOS-PAGOS'!$H$12*MAX(0,MIN(EY$3+1,'01_MODELO'!$I$37)-MAX(EY$3,'01_MODELO'!$I$35))/('01_MODELO'!$I$37-'01_MODELO'!$I$35)</f>
        <v>0</v>
      </c>
      <c r="EZ7" s="147">
        <f>-'10_CAPEX-INGRESOS-PAGOS'!$H$12*MAX(0,MIN(EZ$3+1,'01_MODELO'!$I$37)-MAX(EZ$3,'01_MODELO'!$I$35))/('01_MODELO'!$I$37-'01_MODELO'!$I$35)</f>
        <v>0</v>
      </c>
      <c r="FA7" s="147">
        <f>-'10_CAPEX-INGRESOS-PAGOS'!$H$12*MAX(0,MIN(FA$3+1,'01_MODELO'!$I$37)-MAX(FA$3,'01_MODELO'!$I$35))/('01_MODELO'!$I$37-'01_MODELO'!$I$35)</f>
        <v>0</v>
      </c>
      <c r="FB7" s="147">
        <f>-'10_CAPEX-INGRESOS-PAGOS'!$H$12*MAX(0,MIN(FB$3+1,'01_MODELO'!$I$37)-MAX(FB$3,'01_MODELO'!$I$35))/('01_MODELO'!$I$37-'01_MODELO'!$I$35)</f>
        <v>0</v>
      </c>
      <c r="FC7" s="147">
        <f>-'10_CAPEX-INGRESOS-PAGOS'!$H$12*MAX(0,MIN(FC$3+1,'01_MODELO'!$I$37)-MAX(FC$3,'01_MODELO'!$I$35))/('01_MODELO'!$I$37-'01_MODELO'!$I$35)</f>
        <v>0</v>
      </c>
      <c r="FD7" s="147">
        <f>-'10_CAPEX-INGRESOS-PAGOS'!$H$12*MAX(0,MIN(FD$3+1,'01_MODELO'!$I$37)-MAX(FD$3,'01_MODELO'!$I$35))/('01_MODELO'!$I$37-'01_MODELO'!$I$35)</f>
        <v>0</v>
      </c>
      <c r="FE7" s="147">
        <f>-'10_CAPEX-INGRESOS-PAGOS'!$H$12*MAX(0,MIN(FE$3+1,'01_MODELO'!$I$37)-MAX(FE$3,'01_MODELO'!$I$35))/('01_MODELO'!$I$37-'01_MODELO'!$I$35)</f>
        <v>0</v>
      </c>
      <c r="FF7" s="147">
        <f>-'10_CAPEX-INGRESOS-PAGOS'!$H$12*MAX(0,MIN(FF$3+1,'01_MODELO'!$I$37)-MAX(FF$3,'01_MODELO'!$I$35))/('01_MODELO'!$I$37-'01_MODELO'!$I$35)</f>
        <v>0</v>
      </c>
      <c r="FG7" s="147">
        <f>-'10_CAPEX-INGRESOS-PAGOS'!$H$12*MAX(0,MIN(FG$3+1,'01_MODELO'!$I$37)-MAX(FG$3,'01_MODELO'!$I$35))/('01_MODELO'!$I$37-'01_MODELO'!$I$35)</f>
        <v>0</v>
      </c>
      <c r="FH7" s="147">
        <f>-'10_CAPEX-INGRESOS-PAGOS'!$H$12*MAX(0,MIN(FH$3+1,'01_MODELO'!$I$37)-MAX(FH$3,'01_MODELO'!$I$35))/('01_MODELO'!$I$37-'01_MODELO'!$I$35)</f>
        <v>0</v>
      </c>
      <c r="FI7" s="147">
        <f>-'10_CAPEX-INGRESOS-PAGOS'!$H$12*MAX(0,MIN(FI$3+1,'01_MODELO'!$I$37)-MAX(FI$3,'01_MODELO'!$I$35))/('01_MODELO'!$I$37-'01_MODELO'!$I$35)</f>
        <v>0</v>
      </c>
      <c r="FJ7" s="147">
        <f>-'10_CAPEX-INGRESOS-PAGOS'!$H$12*MAX(0,MIN(FJ$3+1,'01_MODELO'!$I$37)-MAX(FJ$3,'01_MODELO'!$I$35))/('01_MODELO'!$I$37-'01_MODELO'!$I$35)</f>
        <v>0</v>
      </c>
      <c r="FK7" s="147">
        <f>-'10_CAPEX-INGRESOS-PAGOS'!$H$12*MAX(0,MIN(FK$3+1,'01_MODELO'!$I$37)-MAX(FK$3,'01_MODELO'!$I$35))/('01_MODELO'!$I$37-'01_MODELO'!$I$35)</f>
        <v>0</v>
      </c>
      <c r="FL7" s="147">
        <f>-'10_CAPEX-INGRESOS-PAGOS'!$H$12*MAX(0,MIN(FL$3+1,'01_MODELO'!$I$37)-MAX(FL$3,'01_MODELO'!$I$35))/('01_MODELO'!$I$37-'01_MODELO'!$I$35)</f>
        <v>0</v>
      </c>
      <c r="FM7" s="147">
        <f>-'10_CAPEX-INGRESOS-PAGOS'!$H$12*MAX(0,MIN(FM$3+1,'01_MODELO'!$I$37)-MAX(FM$3,'01_MODELO'!$I$35))/('01_MODELO'!$I$37-'01_MODELO'!$I$35)</f>
        <v>0</v>
      </c>
      <c r="FN7" s="147">
        <f>-'10_CAPEX-INGRESOS-PAGOS'!$H$12*MAX(0,MIN(FN$3+1,'01_MODELO'!$I$37)-MAX(FN$3,'01_MODELO'!$I$35))/('01_MODELO'!$I$37-'01_MODELO'!$I$35)</f>
        <v>0</v>
      </c>
      <c r="FO7" s="147">
        <f>-'10_CAPEX-INGRESOS-PAGOS'!$H$12*MAX(0,MIN(FO$3+1,'01_MODELO'!$I$37)-MAX(FO$3,'01_MODELO'!$I$35))/('01_MODELO'!$I$37-'01_MODELO'!$I$35)</f>
        <v>0</v>
      </c>
      <c r="FP7" s="147">
        <f>-'10_CAPEX-INGRESOS-PAGOS'!$H$12*MAX(0,MIN(FP$3+1,'01_MODELO'!$I$37)-MAX(FP$3,'01_MODELO'!$I$35))/('01_MODELO'!$I$37-'01_MODELO'!$I$35)</f>
        <v>0</v>
      </c>
      <c r="FQ7" s="147">
        <f>-'10_CAPEX-INGRESOS-PAGOS'!$H$12*MAX(0,MIN(FQ$3+1,'01_MODELO'!$I$37)-MAX(FQ$3,'01_MODELO'!$I$35))/('01_MODELO'!$I$37-'01_MODELO'!$I$35)</f>
        <v>0</v>
      </c>
      <c r="FR7" s="147">
        <f>-'10_CAPEX-INGRESOS-PAGOS'!$H$12*MAX(0,MIN(FR$3+1,'01_MODELO'!$I$37)-MAX(FR$3,'01_MODELO'!$I$35))/('01_MODELO'!$I$37-'01_MODELO'!$I$35)</f>
        <v>0</v>
      </c>
      <c r="FS7" s="147">
        <f>-'10_CAPEX-INGRESOS-PAGOS'!$H$12*MAX(0,MIN(FS$3+1,'01_MODELO'!$I$37)-MAX(FS$3,'01_MODELO'!$I$35))/('01_MODELO'!$I$37-'01_MODELO'!$I$35)</f>
        <v>0</v>
      </c>
      <c r="FT7" s="147">
        <f>-'10_CAPEX-INGRESOS-PAGOS'!$H$12*MAX(0,MIN(FT$3+1,'01_MODELO'!$I$37)-MAX(FT$3,'01_MODELO'!$I$35))/('01_MODELO'!$I$37-'01_MODELO'!$I$35)</f>
        <v>0</v>
      </c>
      <c r="FU7" s="147">
        <f>-'10_CAPEX-INGRESOS-PAGOS'!$H$12*MAX(0,MIN(FU$3+1,'01_MODELO'!$I$37)-MAX(FU$3,'01_MODELO'!$I$35))/('01_MODELO'!$I$37-'01_MODELO'!$I$35)</f>
        <v>0</v>
      </c>
      <c r="FV7" s="147">
        <f>-'10_CAPEX-INGRESOS-PAGOS'!$H$12*MAX(0,MIN(FV$3+1,'01_MODELO'!$I$37)-MAX(FV$3,'01_MODELO'!$I$35))/('01_MODELO'!$I$37-'01_MODELO'!$I$35)</f>
        <v>0</v>
      </c>
      <c r="FW7" s="147">
        <f>-'10_CAPEX-INGRESOS-PAGOS'!$H$12*MAX(0,MIN(FW$3+1,'01_MODELO'!$I$37)-MAX(FW$3,'01_MODELO'!$I$35))/('01_MODELO'!$I$37-'01_MODELO'!$I$35)</f>
        <v>0</v>
      </c>
      <c r="FX7" s="147">
        <f>-'10_CAPEX-INGRESOS-PAGOS'!$H$12*MAX(0,MIN(FX$3+1,'01_MODELO'!$I$37)-MAX(FX$3,'01_MODELO'!$I$35))/('01_MODELO'!$I$37-'01_MODELO'!$I$35)</f>
        <v>0</v>
      </c>
      <c r="FY7" s="147">
        <f>-'10_CAPEX-INGRESOS-PAGOS'!$H$12*MAX(0,MIN(FY$3+1,'01_MODELO'!$I$37)-MAX(FY$3,'01_MODELO'!$I$35))/('01_MODELO'!$I$37-'01_MODELO'!$I$35)</f>
        <v>0</v>
      </c>
      <c r="FZ7" s="147">
        <f>-'10_CAPEX-INGRESOS-PAGOS'!$H$12*MAX(0,MIN(FZ$3+1,'01_MODELO'!$I$37)-MAX(FZ$3,'01_MODELO'!$I$35))/('01_MODELO'!$I$37-'01_MODELO'!$I$35)</f>
        <v>0</v>
      </c>
    </row>
    <row r="8" spans="1:182" s="150" customFormat="1" ht="15.75" customHeight="1" thickBot="1" x14ac:dyDescent="0.3">
      <c r="A8" s="148" t="s">
        <v>263</v>
      </c>
      <c r="B8" s="149">
        <f t="shared" ref="B8:AG8" si="0">SUM(B6,B7)</f>
        <v>-1183546</v>
      </c>
      <c r="C8" s="149">
        <f t="shared" si="0"/>
        <v>0</v>
      </c>
      <c r="D8" s="149">
        <f t="shared" si="0"/>
        <v>0</v>
      </c>
      <c r="E8" s="149">
        <f t="shared" si="0"/>
        <v>0</v>
      </c>
      <c r="F8" s="149">
        <f t="shared" si="0"/>
        <v>0</v>
      </c>
      <c r="G8" s="149">
        <f t="shared" si="0"/>
        <v>0</v>
      </c>
      <c r="H8" s="149">
        <f t="shared" si="0"/>
        <v>0</v>
      </c>
      <c r="I8" s="149">
        <f t="shared" si="0"/>
        <v>0</v>
      </c>
      <c r="J8" s="149">
        <f t="shared" si="0"/>
        <v>0</v>
      </c>
      <c r="K8" s="149">
        <f t="shared" si="0"/>
        <v>0</v>
      </c>
      <c r="L8" s="149">
        <f t="shared" si="0"/>
        <v>0</v>
      </c>
      <c r="M8" s="149">
        <f t="shared" si="0"/>
        <v>-269680.32000000007</v>
      </c>
      <c r="N8" s="149">
        <f t="shared" si="0"/>
        <v>-269680.32000000007</v>
      </c>
      <c r="O8" s="149">
        <f t="shared" si="0"/>
        <v>-269680.32000000007</v>
      </c>
      <c r="P8" s="149">
        <f t="shared" si="0"/>
        <v>-269680.32000000007</v>
      </c>
      <c r="Q8" s="149">
        <f t="shared" si="0"/>
        <v>-269680.32000000007</v>
      </c>
      <c r="R8" s="149">
        <f t="shared" si="0"/>
        <v>-269680.32000000007</v>
      </c>
      <c r="S8" s="149">
        <f t="shared" si="0"/>
        <v>-269680.32000000007</v>
      </c>
      <c r="T8" s="149">
        <f t="shared" si="0"/>
        <v>-269680.32000000007</v>
      </c>
      <c r="U8" s="149">
        <f t="shared" si="0"/>
        <v>-269680.32000000007</v>
      </c>
      <c r="V8" s="149">
        <f t="shared" si="0"/>
        <v>-269680.32000000007</v>
      </c>
      <c r="W8" s="149">
        <f t="shared" si="0"/>
        <v>-269680.32000000007</v>
      </c>
      <c r="X8" s="149">
        <f t="shared" si="0"/>
        <v>-269680.32000000007</v>
      </c>
      <c r="Y8" s="149">
        <f t="shared" si="0"/>
        <v>-269680.32000000007</v>
      </c>
      <c r="Z8" s="149">
        <f t="shared" si="0"/>
        <v>-269680.32000000007</v>
      </c>
      <c r="AA8" s="149">
        <f t="shared" si="0"/>
        <v>-269680.32000000007</v>
      </c>
      <c r="AB8" s="149">
        <f t="shared" si="0"/>
        <v>-269680.32000000007</v>
      </c>
      <c r="AC8" s="149">
        <f t="shared" si="0"/>
        <v>-269680.32000000007</v>
      </c>
      <c r="AD8" s="149">
        <f t="shared" si="0"/>
        <v>-269680.32000000007</v>
      </c>
      <c r="AE8" s="149">
        <f t="shared" si="0"/>
        <v>-269680.32000000007</v>
      </c>
      <c r="AF8" s="149">
        <f t="shared" si="0"/>
        <v>-269680.32000000007</v>
      </c>
      <c r="AG8" s="149">
        <f t="shared" si="0"/>
        <v>-269680.32000000007</v>
      </c>
      <c r="AH8" s="149">
        <f t="shared" ref="AH8:BM8" si="1">SUM(AH6,AH7)</f>
        <v>-269680.32000000007</v>
      </c>
      <c r="AI8" s="149">
        <f t="shared" si="1"/>
        <v>-269680.32000000007</v>
      </c>
      <c r="AJ8" s="149">
        <f t="shared" si="1"/>
        <v>-269680.32000000007</v>
      </c>
      <c r="AK8" s="149">
        <f t="shared" si="1"/>
        <v>0</v>
      </c>
      <c r="AL8" s="149">
        <f t="shared" si="1"/>
        <v>0</v>
      </c>
      <c r="AM8" s="149">
        <f t="shared" si="1"/>
        <v>0</v>
      </c>
      <c r="AN8" s="149">
        <f t="shared" si="1"/>
        <v>0</v>
      </c>
      <c r="AO8" s="149">
        <f t="shared" si="1"/>
        <v>0</v>
      </c>
      <c r="AP8" s="149">
        <f t="shared" si="1"/>
        <v>0</v>
      </c>
      <c r="AQ8" s="149">
        <f t="shared" si="1"/>
        <v>0</v>
      </c>
      <c r="AR8" s="149">
        <f t="shared" si="1"/>
        <v>0</v>
      </c>
      <c r="AS8" s="149">
        <f t="shared" si="1"/>
        <v>0</v>
      </c>
      <c r="AT8" s="149">
        <f t="shared" si="1"/>
        <v>0</v>
      </c>
      <c r="AU8" s="149">
        <f t="shared" si="1"/>
        <v>0</v>
      </c>
      <c r="AV8" s="149">
        <f t="shared" si="1"/>
        <v>0</v>
      </c>
      <c r="AW8" s="149">
        <f t="shared" si="1"/>
        <v>0</v>
      </c>
      <c r="AX8" s="149">
        <f t="shared" si="1"/>
        <v>0</v>
      </c>
      <c r="AY8" s="149">
        <f t="shared" si="1"/>
        <v>0</v>
      </c>
      <c r="AZ8" s="149">
        <f t="shared" si="1"/>
        <v>0</v>
      </c>
      <c r="BA8" s="149">
        <f t="shared" si="1"/>
        <v>0</v>
      </c>
      <c r="BB8" s="149">
        <f t="shared" si="1"/>
        <v>0</v>
      </c>
      <c r="BC8" s="149">
        <f t="shared" si="1"/>
        <v>0</v>
      </c>
      <c r="BD8" s="149">
        <f t="shared" si="1"/>
        <v>0</v>
      </c>
      <c r="BE8" s="149">
        <f t="shared" si="1"/>
        <v>0</v>
      </c>
      <c r="BF8" s="149">
        <f t="shared" si="1"/>
        <v>0</v>
      </c>
      <c r="BG8" s="149">
        <f t="shared" si="1"/>
        <v>0</v>
      </c>
      <c r="BH8" s="149">
        <f t="shared" si="1"/>
        <v>0</v>
      </c>
      <c r="BI8" s="149">
        <f t="shared" si="1"/>
        <v>0</v>
      </c>
      <c r="BJ8" s="149">
        <f t="shared" si="1"/>
        <v>0</v>
      </c>
      <c r="BK8" s="149">
        <f t="shared" si="1"/>
        <v>0</v>
      </c>
      <c r="BL8" s="149">
        <f t="shared" si="1"/>
        <v>0</v>
      </c>
      <c r="BM8" s="149">
        <f t="shared" si="1"/>
        <v>0</v>
      </c>
      <c r="BN8" s="149">
        <f t="shared" ref="BN8:CS8" si="2">SUM(BN6,BN7)</f>
        <v>0</v>
      </c>
      <c r="BO8" s="149">
        <f t="shared" si="2"/>
        <v>0</v>
      </c>
      <c r="BP8" s="149">
        <f t="shared" si="2"/>
        <v>0</v>
      </c>
      <c r="BQ8" s="149">
        <f t="shared" si="2"/>
        <v>0</v>
      </c>
      <c r="BR8" s="149">
        <f t="shared" si="2"/>
        <v>0</v>
      </c>
      <c r="BS8" s="149">
        <f t="shared" si="2"/>
        <v>0</v>
      </c>
      <c r="BT8" s="149">
        <f t="shared" si="2"/>
        <v>0</v>
      </c>
      <c r="BU8" s="149">
        <f t="shared" si="2"/>
        <v>0</v>
      </c>
      <c r="BV8" s="149">
        <f t="shared" si="2"/>
        <v>0</v>
      </c>
      <c r="BW8" s="149">
        <f t="shared" si="2"/>
        <v>0</v>
      </c>
      <c r="BX8" s="149">
        <f t="shared" si="2"/>
        <v>0</v>
      </c>
      <c r="BY8" s="149">
        <f t="shared" si="2"/>
        <v>0</v>
      </c>
      <c r="BZ8" s="149">
        <f t="shared" si="2"/>
        <v>0</v>
      </c>
      <c r="CA8" s="149">
        <f t="shared" si="2"/>
        <v>0</v>
      </c>
      <c r="CB8" s="149">
        <f t="shared" si="2"/>
        <v>0</v>
      </c>
      <c r="CC8" s="149">
        <f t="shared" si="2"/>
        <v>0</v>
      </c>
      <c r="CD8" s="149">
        <f t="shared" si="2"/>
        <v>0</v>
      </c>
      <c r="CE8" s="149">
        <f t="shared" si="2"/>
        <v>0</v>
      </c>
      <c r="CF8" s="149">
        <f t="shared" si="2"/>
        <v>0</v>
      </c>
      <c r="CG8" s="149">
        <f t="shared" si="2"/>
        <v>0</v>
      </c>
      <c r="CH8" s="149">
        <f t="shared" si="2"/>
        <v>0</v>
      </c>
      <c r="CI8" s="149">
        <f t="shared" si="2"/>
        <v>0</v>
      </c>
      <c r="CJ8" s="149">
        <f t="shared" si="2"/>
        <v>0</v>
      </c>
      <c r="CK8" s="149">
        <f t="shared" si="2"/>
        <v>0</v>
      </c>
      <c r="CL8" s="149">
        <f t="shared" si="2"/>
        <v>0</v>
      </c>
      <c r="CM8" s="149">
        <f t="shared" si="2"/>
        <v>0</v>
      </c>
      <c r="CN8" s="149">
        <f t="shared" si="2"/>
        <v>0</v>
      </c>
      <c r="CO8" s="149">
        <f t="shared" si="2"/>
        <v>0</v>
      </c>
      <c r="CP8" s="149">
        <f t="shared" si="2"/>
        <v>0</v>
      </c>
      <c r="CQ8" s="149">
        <f t="shared" si="2"/>
        <v>0</v>
      </c>
      <c r="CR8" s="149">
        <f t="shared" si="2"/>
        <v>0</v>
      </c>
      <c r="CS8" s="149">
        <f t="shared" si="2"/>
        <v>0</v>
      </c>
      <c r="CT8" s="149">
        <f t="shared" ref="CT8:DY8" si="3">SUM(CT6,CT7)</f>
        <v>0</v>
      </c>
      <c r="CU8" s="149">
        <f t="shared" si="3"/>
        <v>0</v>
      </c>
      <c r="CV8" s="149">
        <f t="shared" si="3"/>
        <v>0</v>
      </c>
      <c r="CW8" s="149">
        <f t="shared" si="3"/>
        <v>0</v>
      </c>
      <c r="CX8" s="149">
        <f t="shared" si="3"/>
        <v>0</v>
      </c>
      <c r="CY8" s="149">
        <f t="shared" si="3"/>
        <v>0</v>
      </c>
      <c r="CZ8" s="149">
        <f t="shared" si="3"/>
        <v>0</v>
      </c>
      <c r="DA8" s="149">
        <f t="shared" si="3"/>
        <v>0</v>
      </c>
      <c r="DB8" s="149">
        <f t="shared" si="3"/>
        <v>0</v>
      </c>
      <c r="DC8" s="149">
        <f t="shared" si="3"/>
        <v>0</v>
      </c>
      <c r="DD8" s="149">
        <f t="shared" si="3"/>
        <v>0</v>
      </c>
      <c r="DE8" s="149">
        <f t="shared" si="3"/>
        <v>0</v>
      </c>
      <c r="DF8" s="149">
        <f t="shared" si="3"/>
        <v>0</v>
      </c>
      <c r="DG8" s="149">
        <f t="shared" si="3"/>
        <v>0</v>
      </c>
      <c r="DH8" s="149">
        <f t="shared" si="3"/>
        <v>0</v>
      </c>
      <c r="DI8" s="149">
        <f t="shared" si="3"/>
        <v>0</v>
      </c>
      <c r="DJ8" s="149">
        <f t="shared" si="3"/>
        <v>0</v>
      </c>
      <c r="DK8" s="149">
        <f t="shared" si="3"/>
        <v>0</v>
      </c>
      <c r="DL8" s="149">
        <f t="shared" si="3"/>
        <v>0</v>
      </c>
      <c r="DM8" s="149">
        <f t="shared" si="3"/>
        <v>0</v>
      </c>
      <c r="DN8" s="149">
        <f t="shared" si="3"/>
        <v>0</v>
      </c>
      <c r="DO8" s="149">
        <f t="shared" si="3"/>
        <v>0</v>
      </c>
      <c r="DP8" s="149">
        <f t="shared" si="3"/>
        <v>0</v>
      </c>
      <c r="DQ8" s="149">
        <f t="shared" si="3"/>
        <v>0</v>
      </c>
      <c r="DR8" s="149">
        <f t="shared" si="3"/>
        <v>0</v>
      </c>
      <c r="DS8" s="149">
        <f t="shared" si="3"/>
        <v>0</v>
      </c>
      <c r="DT8" s="149">
        <f t="shared" si="3"/>
        <v>0</v>
      </c>
      <c r="DU8" s="149">
        <f t="shared" si="3"/>
        <v>0</v>
      </c>
      <c r="DV8" s="149">
        <f t="shared" si="3"/>
        <v>0</v>
      </c>
      <c r="DW8" s="149">
        <f t="shared" si="3"/>
        <v>0</v>
      </c>
      <c r="DX8" s="149">
        <f t="shared" si="3"/>
        <v>0</v>
      </c>
      <c r="DY8" s="149">
        <f t="shared" si="3"/>
        <v>0</v>
      </c>
      <c r="DZ8" s="149">
        <f t="shared" ref="DZ8:FE8" si="4">SUM(DZ6,DZ7)</f>
        <v>0</v>
      </c>
      <c r="EA8" s="149">
        <f t="shared" si="4"/>
        <v>0</v>
      </c>
      <c r="EB8" s="149">
        <f t="shared" si="4"/>
        <v>0</v>
      </c>
      <c r="EC8" s="149">
        <f t="shared" si="4"/>
        <v>0</v>
      </c>
      <c r="ED8" s="149">
        <f t="shared" si="4"/>
        <v>0</v>
      </c>
      <c r="EE8" s="149">
        <f t="shared" si="4"/>
        <v>0</v>
      </c>
      <c r="EF8" s="149">
        <f t="shared" si="4"/>
        <v>0</v>
      </c>
      <c r="EG8" s="149">
        <f t="shared" si="4"/>
        <v>0</v>
      </c>
      <c r="EH8" s="149">
        <f t="shared" si="4"/>
        <v>0</v>
      </c>
      <c r="EI8" s="149">
        <f t="shared" si="4"/>
        <v>0</v>
      </c>
      <c r="EJ8" s="149">
        <f t="shared" si="4"/>
        <v>0</v>
      </c>
      <c r="EK8" s="149">
        <f t="shared" si="4"/>
        <v>0</v>
      </c>
      <c r="EL8" s="149">
        <f t="shared" si="4"/>
        <v>0</v>
      </c>
      <c r="EM8" s="149">
        <f t="shared" si="4"/>
        <v>0</v>
      </c>
      <c r="EN8" s="149">
        <f t="shared" si="4"/>
        <v>0</v>
      </c>
      <c r="EO8" s="149">
        <f t="shared" si="4"/>
        <v>0</v>
      </c>
      <c r="EP8" s="149">
        <f t="shared" si="4"/>
        <v>0</v>
      </c>
      <c r="EQ8" s="149">
        <f t="shared" si="4"/>
        <v>0</v>
      </c>
      <c r="ER8" s="149">
        <f t="shared" si="4"/>
        <v>0</v>
      </c>
      <c r="ES8" s="149">
        <f t="shared" si="4"/>
        <v>0</v>
      </c>
      <c r="ET8" s="149">
        <f t="shared" si="4"/>
        <v>0</v>
      </c>
      <c r="EU8" s="149">
        <f t="shared" si="4"/>
        <v>0</v>
      </c>
      <c r="EV8" s="149">
        <f t="shared" si="4"/>
        <v>0</v>
      </c>
      <c r="EW8" s="149">
        <f t="shared" si="4"/>
        <v>0</v>
      </c>
      <c r="EX8" s="149">
        <f t="shared" si="4"/>
        <v>0</v>
      </c>
      <c r="EY8" s="149">
        <f t="shared" si="4"/>
        <v>0</v>
      </c>
      <c r="EZ8" s="149">
        <f t="shared" si="4"/>
        <v>0</v>
      </c>
      <c r="FA8" s="149">
        <f t="shared" si="4"/>
        <v>0</v>
      </c>
      <c r="FB8" s="149">
        <f t="shared" si="4"/>
        <v>0</v>
      </c>
      <c r="FC8" s="149">
        <f t="shared" si="4"/>
        <v>0</v>
      </c>
      <c r="FD8" s="149">
        <f t="shared" si="4"/>
        <v>0</v>
      </c>
      <c r="FE8" s="149">
        <f t="shared" si="4"/>
        <v>0</v>
      </c>
      <c r="FF8" s="149">
        <f t="shared" ref="FF8:FZ8" si="5">SUM(FF6,FF7)</f>
        <v>0</v>
      </c>
      <c r="FG8" s="149">
        <f t="shared" si="5"/>
        <v>0</v>
      </c>
      <c r="FH8" s="149">
        <f t="shared" si="5"/>
        <v>0</v>
      </c>
      <c r="FI8" s="149">
        <f t="shared" si="5"/>
        <v>0</v>
      </c>
      <c r="FJ8" s="149">
        <f t="shared" si="5"/>
        <v>0</v>
      </c>
      <c r="FK8" s="149">
        <f t="shared" si="5"/>
        <v>0</v>
      </c>
      <c r="FL8" s="149">
        <f t="shared" si="5"/>
        <v>0</v>
      </c>
      <c r="FM8" s="149">
        <f t="shared" si="5"/>
        <v>0</v>
      </c>
      <c r="FN8" s="149">
        <f t="shared" si="5"/>
        <v>0</v>
      </c>
      <c r="FO8" s="149">
        <f t="shared" si="5"/>
        <v>0</v>
      </c>
      <c r="FP8" s="149">
        <f t="shared" si="5"/>
        <v>0</v>
      </c>
      <c r="FQ8" s="149">
        <f t="shared" si="5"/>
        <v>0</v>
      </c>
      <c r="FR8" s="149">
        <f t="shared" si="5"/>
        <v>0</v>
      </c>
      <c r="FS8" s="149">
        <f t="shared" si="5"/>
        <v>0</v>
      </c>
      <c r="FT8" s="149">
        <f t="shared" si="5"/>
        <v>0</v>
      </c>
      <c r="FU8" s="149">
        <f t="shared" si="5"/>
        <v>0</v>
      </c>
      <c r="FV8" s="149">
        <f t="shared" si="5"/>
        <v>0</v>
      </c>
      <c r="FW8" s="149">
        <f t="shared" si="5"/>
        <v>0</v>
      </c>
      <c r="FX8" s="149">
        <f t="shared" si="5"/>
        <v>0</v>
      </c>
      <c r="FY8" s="149">
        <f t="shared" si="5"/>
        <v>0</v>
      </c>
      <c r="FZ8" s="149">
        <f t="shared" si="5"/>
        <v>0</v>
      </c>
    </row>
    <row r="9" spans="1:182" ht="15.75" customHeight="1" thickTop="1" x14ac:dyDescent="0.25">
      <c r="A9" s="250" t="s">
        <v>411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  <c r="BG9" s="152"/>
      <c r="BH9" s="152"/>
      <c r="BI9" s="152"/>
      <c r="BJ9" s="152"/>
      <c r="BK9" s="152"/>
      <c r="BL9" s="152"/>
      <c r="BM9" s="152"/>
      <c r="BN9" s="152"/>
      <c r="BO9" s="152"/>
      <c r="BP9" s="152"/>
      <c r="BQ9" s="152"/>
      <c r="BR9" s="152"/>
      <c r="BS9" s="152"/>
      <c r="BT9" s="152"/>
      <c r="BU9" s="152"/>
      <c r="BV9" s="152"/>
      <c r="BW9" s="152"/>
      <c r="BX9" s="152"/>
      <c r="BY9" s="152"/>
      <c r="BZ9" s="152"/>
      <c r="CA9" s="152"/>
      <c r="CB9" s="152"/>
      <c r="CC9" s="152"/>
      <c r="CD9" s="152"/>
      <c r="CE9" s="152"/>
      <c r="CF9" s="152"/>
      <c r="CG9" s="152"/>
      <c r="CH9" s="152"/>
      <c r="CI9" s="152"/>
      <c r="CJ9" s="152"/>
      <c r="CK9" s="152"/>
      <c r="CL9" s="152"/>
      <c r="CM9" s="152"/>
      <c r="CN9" s="152"/>
      <c r="CO9" s="152"/>
      <c r="CP9" s="152"/>
      <c r="CQ9" s="152"/>
      <c r="CR9" s="152"/>
      <c r="CS9" s="152"/>
      <c r="CT9" s="152"/>
      <c r="CU9" s="152"/>
      <c r="CV9" s="152"/>
      <c r="CW9" s="152"/>
      <c r="CX9" s="152"/>
      <c r="CY9" s="152"/>
      <c r="CZ9" s="152"/>
      <c r="DA9" s="152"/>
      <c r="DB9" s="152"/>
      <c r="DC9" s="152"/>
      <c r="DD9" s="152"/>
      <c r="DE9" s="152"/>
      <c r="DF9" s="152"/>
      <c r="DG9" s="152"/>
      <c r="DH9" s="152"/>
      <c r="DI9" s="152"/>
      <c r="DJ9" s="152"/>
      <c r="DK9" s="152"/>
      <c r="DL9" s="152"/>
      <c r="DM9" s="152"/>
      <c r="DN9" s="152"/>
      <c r="DO9" s="152"/>
      <c r="DP9" s="152"/>
      <c r="DQ9" s="152"/>
      <c r="DR9" s="152"/>
      <c r="DS9" s="152"/>
      <c r="DT9" s="152"/>
      <c r="DU9" s="152"/>
      <c r="DV9" s="152"/>
      <c r="DW9" s="152"/>
      <c r="DX9" s="152"/>
      <c r="DY9" s="152"/>
      <c r="DZ9" s="152"/>
      <c r="EA9" s="152"/>
      <c r="EB9" s="152"/>
      <c r="EC9" s="152"/>
      <c r="ED9" s="152"/>
      <c r="EE9" s="152"/>
      <c r="EF9" s="152"/>
      <c r="EG9" s="152"/>
      <c r="EH9" s="152"/>
      <c r="EI9" s="152"/>
      <c r="EJ9" s="152"/>
      <c r="EK9" s="152"/>
      <c r="EL9" s="152"/>
      <c r="EM9" s="152"/>
      <c r="EN9" s="152"/>
      <c r="EO9" s="152"/>
      <c r="EP9" s="152"/>
      <c r="EQ9" s="152"/>
      <c r="ER9" s="152"/>
      <c r="ES9" s="152"/>
      <c r="ET9" s="152"/>
      <c r="EU9" s="152"/>
      <c r="EV9" s="152"/>
      <c r="EW9" s="152"/>
      <c r="EX9" s="152"/>
      <c r="EY9" s="152"/>
      <c r="EZ9" s="152"/>
      <c r="FA9" s="152"/>
      <c r="FB9" s="152"/>
      <c r="FC9" s="152"/>
      <c r="FD9" s="152"/>
      <c r="FE9" s="152"/>
      <c r="FF9" s="152"/>
      <c r="FG9" s="152"/>
      <c r="FH9" s="152"/>
      <c r="FI9" s="152"/>
      <c r="FJ9" s="152"/>
      <c r="FK9" s="152"/>
      <c r="FL9" s="152"/>
      <c r="FM9" s="152"/>
      <c r="FN9" s="152"/>
      <c r="FO9" s="152"/>
      <c r="FP9" s="152"/>
      <c r="FQ9" s="152"/>
      <c r="FR9" s="152"/>
      <c r="FS9" s="152"/>
      <c r="FT9" s="152"/>
      <c r="FU9" s="152"/>
      <c r="FV9" s="152"/>
      <c r="FW9" s="152"/>
      <c r="FX9" s="152"/>
      <c r="FY9" s="152"/>
      <c r="FZ9" s="152"/>
    </row>
    <row r="10" spans="1:182" x14ac:dyDescent="0.25">
      <c r="A10" s="33" t="s">
        <v>264</v>
      </c>
      <c r="B10" s="147">
        <f>IF(B$3&lt;'01_MODELO'!$I$66,0,MAX(0,MIN('01_MODELO'!$I$64,'10_CAPEX-INGRESOS-PAGOS'!$H$3-IF(COLUMN()=COLUMN($B$10),0,SUM($B$10:INDEX($10:$10,COLUMN()-1))))))</f>
        <v>0</v>
      </c>
      <c r="C10" s="147">
        <f>IF(C$3&lt;'01_MODELO'!$I$66,0,MAX(0,MIN('01_MODELO'!$I$64,'10_CAPEX-INGRESOS-PAGOS'!$H$3-IF(COLUMN()=COLUMN($B$10),0,SUM($B$10:INDEX($10:$10,COLUMN()-1))))))</f>
        <v>0</v>
      </c>
      <c r="D10" s="147">
        <f>IF(D$3&lt;'01_MODELO'!$I$66,0,MAX(0,MIN('01_MODELO'!$I$64,'10_CAPEX-INGRESOS-PAGOS'!$H$3-IF(COLUMN()=COLUMN($B$10),0,SUM($B$10:INDEX($10:$10,COLUMN()-1))))))</f>
        <v>0</v>
      </c>
      <c r="E10" s="147">
        <f>IF(E$3&lt;'01_MODELO'!$I$66,0,MAX(0,MIN('01_MODELO'!$I$64,'10_CAPEX-INGRESOS-PAGOS'!$H$3-IF(COLUMN()=COLUMN($B$10),0,SUM($B$10:INDEX($10:$10,COLUMN()-1))))))</f>
        <v>0</v>
      </c>
      <c r="F10" s="147">
        <f>IF(F$3&lt;'01_MODELO'!$I$66,0,MAX(0,MIN('01_MODELO'!$I$64,'10_CAPEX-INGRESOS-PAGOS'!$H$3-IF(COLUMN()=COLUMN($B$10),0,SUM($B$10:INDEX($10:$10,COLUMN()-1))))))</f>
        <v>0</v>
      </c>
      <c r="G10" s="147">
        <f>IF(G$3&lt;'01_MODELO'!$I$66,0,MAX(0,MIN('01_MODELO'!$I$64,'10_CAPEX-INGRESOS-PAGOS'!$H$3-IF(COLUMN()=COLUMN($B$10),0,SUM($B$10:INDEX($10:$10,COLUMN()-1))))))</f>
        <v>0</v>
      </c>
      <c r="H10" s="147">
        <f>IF(H$3&lt;'01_MODELO'!$I$66,0,MAX(0,MIN('01_MODELO'!$I$64,'10_CAPEX-INGRESOS-PAGOS'!$H$3-IF(COLUMN()=COLUMN($B$10),0,SUM($B$10:INDEX($10:$10,COLUMN()-1))))))</f>
        <v>0</v>
      </c>
      <c r="I10" s="147">
        <f>IF(I$3&lt;'01_MODELO'!$I$66,0,MAX(0,MIN('01_MODELO'!$I$64,'10_CAPEX-INGRESOS-PAGOS'!$H$3-IF(COLUMN()=COLUMN($B$10),0,SUM($B$10:INDEX($10:$10,COLUMN()-1))))))</f>
        <v>0</v>
      </c>
      <c r="J10" s="147">
        <f>IF(J$3&lt;'01_MODELO'!$I$66,0,MAX(0,MIN('01_MODELO'!$I$64,'10_CAPEX-INGRESOS-PAGOS'!$H$3-IF(COLUMN()=COLUMN($B$10),0,SUM($B$10:INDEX($10:$10,COLUMN()-1))))))</f>
        <v>0</v>
      </c>
      <c r="K10" s="147">
        <f>IF(K$3&lt;'01_MODELO'!$I$66,0,MAX(0,MIN('01_MODELO'!$I$64,'10_CAPEX-INGRESOS-PAGOS'!$H$3-IF(COLUMN()=COLUMN($B$10),0,SUM($B$10:INDEX($10:$10,COLUMN()-1))))))</f>
        <v>0</v>
      </c>
      <c r="L10" s="147">
        <f>IF(L$3&lt;'01_MODELO'!$I$66,0,MAX(0,MIN('01_MODELO'!$I$64,'10_CAPEX-INGRESOS-PAGOS'!$H$3-IF(COLUMN()=COLUMN($B$10),0,SUM($B$10:INDEX($10:$10,COLUMN()-1))))))</f>
        <v>0</v>
      </c>
      <c r="M10" s="147">
        <f>IF(M$3&lt;'01_MODELO'!$I$66,0,MAX(0,MIN('01_MODELO'!$I$64,'10_CAPEX-INGRESOS-PAGOS'!$H$3-IF(COLUMN()=COLUMN($B$10),0,SUM($B$10:INDEX($10:$10,COLUMN()-1))))))</f>
        <v>0</v>
      </c>
      <c r="N10" s="147">
        <f>IF(N$3&lt;'01_MODELO'!$I$66,0,MAX(0,MIN('01_MODELO'!$I$64,'10_CAPEX-INGRESOS-PAGOS'!$H$3-IF(COLUMN()=COLUMN($B$10),0,SUM($B$10:INDEX($10:$10,COLUMN()-1))))))</f>
        <v>0</v>
      </c>
      <c r="O10" s="147">
        <f>IF(O$3&lt;'01_MODELO'!$I$66,0,MAX(0,MIN('01_MODELO'!$I$64,'10_CAPEX-INGRESOS-PAGOS'!$H$3-IF(COLUMN()=COLUMN($B$10),0,SUM($B$10:INDEX($10:$10,COLUMN()-1))))))</f>
        <v>0</v>
      </c>
      <c r="P10" s="147">
        <f>IF(P$3&lt;'01_MODELO'!$I$66,0,MAX(0,MIN('01_MODELO'!$I$64,'10_CAPEX-INGRESOS-PAGOS'!$H$3-IF(COLUMN()=COLUMN($B$10),0,SUM($B$10:INDEX($10:$10,COLUMN()-1))))))</f>
        <v>0</v>
      </c>
      <c r="Q10" s="147">
        <f>IF(Q$3&lt;'01_MODELO'!$I$66,0,MAX(0,MIN('01_MODELO'!$I$64,'10_CAPEX-INGRESOS-PAGOS'!$H$3-IF(COLUMN()=COLUMN($B$10),0,SUM($B$10:INDEX($10:$10,COLUMN()-1))))))</f>
        <v>0</v>
      </c>
      <c r="R10" s="147">
        <f>IF(R$3&lt;'01_MODELO'!$I$66,0,MAX(0,MIN('01_MODELO'!$I$64,'10_CAPEX-INGRESOS-PAGOS'!$H$3-IF(COLUMN()=COLUMN($B$10),0,SUM($B$10:INDEX($10:$10,COLUMN()-1))))))</f>
        <v>0</v>
      </c>
      <c r="S10" s="147">
        <f>IF(S$3&lt;'01_MODELO'!$I$66,0,MAX(0,MIN('01_MODELO'!$I$64,'10_CAPEX-INGRESOS-PAGOS'!$H$3-IF(COLUMN()=COLUMN($B$10),0,SUM($B$10:INDEX($10:$10,COLUMN()-1))))))</f>
        <v>0</v>
      </c>
      <c r="T10" s="147">
        <f>IF(T$3&lt;'01_MODELO'!$I$66,0,MAX(0,MIN('01_MODELO'!$I$64,'10_CAPEX-INGRESOS-PAGOS'!$H$3-IF(COLUMN()=COLUMN($B$10),0,SUM($B$10:INDEX($10:$10,COLUMN()-1))))))</f>
        <v>0</v>
      </c>
      <c r="U10" s="147">
        <f>IF(U$3&lt;'01_MODELO'!$I$66,0,MAX(0,MIN('01_MODELO'!$I$64,'10_CAPEX-INGRESOS-PAGOS'!$H$3-IF(COLUMN()=COLUMN($B$10),0,SUM($B$10:INDEX($10:$10,COLUMN()-1))))))</f>
        <v>0</v>
      </c>
      <c r="V10" s="147">
        <f>IF(V$3&lt;'01_MODELO'!$I$66,0,MAX(0,MIN('01_MODELO'!$I$64,'10_CAPEX-INGRESOS-PAGOS'!$H$3-IF(COLUMN()=COLUMN($B$10),0,SUM($B$10:INDEX($10:$10,COLUMN()-1))))))</f>
        <v>0</v>
      </c>
      <c r="W10" s="147">
        <f>IF(W$3&lt;'01_MODELO'!$I$66,0,MAX(0,MIN('01_MODELO'!$I$64,'10_CAPEX-INGRESOS-PAGOS'!$H$3-IF(COLUMN()=COLUMN($B$10),0,SUM($B$10:INDEX($10:$10,COLUMN()-1))))))</f>
        <v>0</v>
      </c>
      <c r="X10" s="147">
        <f>IF(X$3&lt;'01_MODELO'!$I$66,0,MAX(0,MIN('01_MODELO'!$I$64,'10_CAPEX-INGRESOS-PAGOS'!$H$3-IF(COLUMN()=COLUMN($B$10),0,SUM($B$10:INDEX($10:$10,COLUMN()-1))))))</f>
        <v>0</v>
      </c>
      <c r="Y10" s="147">
        <f>IF(Y$3&lt;'01_MODELO'!$I$66,0,MAX(0,MIN('01_MODELO'!$I$64,'10_CAPEX-INGRESOS-PAGOS'!$H$3-IF(COLUMN()=COLUMN($B$10),0,SUM($B$10:INDEX($10:$10,COLUMN()-1))))))</f>
        <v>1.25</v>
      </c>
      <c r="Z10" s="147">
        <f>IF(Z$3&lt;'01_MODELO'!$I$66,0,MAX(0,MIN('01_MODELO'!$I$64,'10_CAPEX-INGRESOS-PAGOS'!$H$3-IF(COLUMN()=COLUMN($B$10),0,SUM($B$10:INDEX($10:$10,COLUMN()-1))))))</f>
        <v>1.25</v>
      </c>
      <c r="AA10" s="147">
        <f>IF(AA$3&lt;'01_MODELO'!$I$66,0,MAX(0,MIN('01_MODELO'!$I$64,'10_CAPEX-INGRESOS-PAGOS'!$H$3-IF(COLUMN()=COLUMN($B$10),0,SUM($B$10:INDEX($10:$10,COLUMN()-1))))))</f>
        <v>1.25</v>
      </c>
      <c r="AB10" s="147">
        <f>IF(AB$3&lt;'01_MODELO'!$I$66,0,MAX(0,MIN('01_MODELO'!$I$64,'10_CAPEX-INGRESOS-PAGOS'!$H$3-IF(COLUMN()=COLUMN($B$10),0,SUM($B$10:INDEX($10:$10,COLUMN()-1))))))</f>
        <v>1.25</v>
      </c>
      <c r="AC10" s="147">
        <f>IF(AC$3&lt;'01_MODELO'!$I$66,0,MAX(0,MIN('01_MODELO'!$I$64,'10_CAPEX-INGRESOS-PAGOS'!$H$3-IF(COLUMN()=COLUMN($B$10),0,SUM($B$10:INDEX($10:$10,COLUMN()-1))))))</f>
        <v>1.25</v>
      </c>
      <c r="AD10" s="147">
        <f>IF(AD$3&lt;'01_MODELO'!$I$66,0,MAX(0,MIN('01_MODELO'!$I$64,'10_CAPEX-INGRESOS-PAGOS'!$H$3-IF(COLUMN()=COLUMN($B$10),0,SUM($B$10:INDEX($10:$10,COLUMN()-1))))))</f>
        <v>1.25</v>
      </c>
      <c r="AE10" s="147">
        <f>IF(AE$3&lt;'01_MODELO'!$I$66,0,MAX(0,MIN('01_MODELO'!$I$64,'10_CAPEX-INGRESOS-PAGOS'!$H$3-IF(COLUMN()=COLUMN($B$10),0,SUM($B$10:INDEX($10:$10,COLUMN()-1))))))</f>
        <v>1.25</v>
      </c>
      <c r="AF10" s="147">
        <f>IF(AF$3&lt;'01_MODELO'!$I$66,0,MAX(0,MIN('01_MODELO'!$I$64,'10_CAPEX-INGRESOS-PAGOS'!$H$3-IF(COLUMN()=COLUMN($B$10),0,SUM($B$10:INDEX($10:$10,COLUMN()-1))))))</f>
        <v>1.25</v>
      </c>
      <c r="AG10" s="147">
        <f>IF(AG$3&lt;'01_MODELO'!$I$66,0,MAX(0,MIN('01_MODELO'!$I$64,'10_CAPEX-INGRESOS-PAGOS'!$H$3-IF(COLUMN()=COLUMN($B$10),0,SUM($B$10:INDEX($10:$10,COLUMN()-1))))))</f>
        <v>1.25</v>
      </c>
      <c r="AH10" s="147">
        <f>IF(AH$3&lt;'01_MODELO'!$I$66,0,MAX(0,MIN('01_MODELO'!$I$64,'10_CAPEX-INGRESOS-PAGOS'!$H$3-IF(COLUMN()=COLUMN($B$10),0,SUM($B$10:INDEX($10:$10,COLUMN()-1))))))</f>
        <v>1.25</v>
      </c>
      <c r="AI10" s="147">
        <f>IF(AI$3&lt;'01_MODELO'!$I$66,0,MAX(0,MIN('01_MODELO'!$I$64,'10_CAPEX-INGRESOS-PAGOS'!$H$3-IF(COLUMN()=COLUMN($B$10),0,SUM($B$10:INDEX($10:$10,COLUMN()-1))))))</f>
        <v>0.5</v>
      </c>
      <c r="AJ10" s="147">
        <f>IF(AJ$3&lt;'01_MODELO'!$I$66,0,MAX(0,MIN('01_MODELO'!$I$64,'10_CAPEX-INGRESOS-PAGOS'!$H$3-IF(COLUMN()=COLUMN($B$10),0,SUM($B$10:INDEX($10:$10,COLUMN()-1))))))</f>
        <v>0</v>
      </c>
      <c r="AK10" s="147">
        <f>IF(AK$3&lt;'01_MODELO'!$I$66,0,MAX(0,MIN('01_MODELO'!$I$64,'10_CAPEX-INGRESOS-PAGOS'!$H$3-IF(COLUMN()=COLUMN($B$10),0,SUM($B$10:INDEX($10:$10,COLUMN()-1))))))</f>
        <v>0</v>
      </c>
      <c r="AL10" s="147">
        <f>IF(AL$3&lt;'01_MODELO'!$I$66,0,MAX(0,MIN('01_MODELO'!$I$64,'10_CAPEX-INGRESOS-PAGOS'!$H$3-IF(COLUMN()=COLUMN($B$10),0,SUM($B$10:INDEX($10:$10,COLUMN()-1))))))</f>
        <v>0</v>
      </c>
      <c r="AM10" s="147">
        <f>IF(AM$3&lt;'01_MODELO'!$I$66,0,MAX(0,MIN('01_MODELO'!$I$64,'10_CAPEX-INGRESOS-PAGOS'!$H$3-IF(COLUMN()=COLUMN($B$10),0,SUM($B$10:INDEX($10:$10,COLUMN()-1))))))</f>
        <v>0</v>
      </c>
      <c r="AN10" s="147">
        <f>IF(AN$3&lt;'01_MODELO'!$I$66,0,MAX(0,MIN('01_MODELO'!$I$64,'10_CAPEX-INGRESOS-PAGOS'!$H$3-IF(COLUMN()=COLUMN($B$10),0,SUM($B$10:INDEX($10:$10,COLUMN()-1))))))</f>
        <v>0</v>
      </c>
      <c r="AO10" s="147">
        <f>IF(AO$3&lt;'01_MODELO'!$I$66,0,MAX(0,MIN('01_MODELO'!$I$64,'10_CAPEX-INGRESOS-PAGOS'!$H$3-IF(COLUMN()=COLUMN($B$10),0,SUM($B$10:INDEX($10:$10,COLUMN()-1))))))</f>
        <v>0</v>
      </c>
      <c r="AP10" s="147">
        <f>IF(AP$3&lt;'01_MODELO'!$I$66,0,MAX(0,MIN('01_MODELO'!$I$64,'10_CAPEX-INGRESOS-PAGOS'!$H$3-IF(COLUMN()=COLUMN($B$10),0,SUM($B$10:INDEX($10:$10,COLUMN()-1))))))</f>
        <v>0</v>
      </c>
      <c r="AQ10" s="147">
        <f>IF(AQ$3&lt;'01_MODELO'!$I$66,0,MAX(0,MIN('01_MODELO'!$I$64,'10_CAPEX-INGRESOS-PAGOS'!$H$3-IF(COLUMN()=COLUMN($B$10),0,SUM($B$10:INDEX($10:$10,COLUMN()-1))))))</f>
        <v>0</v>
      </c>
      <c r="AR10" s="147">
        <f>IF(AR$3&lt;'01_MODELO'!$I$66,0,MAX(0,MIN('01_MODELO'!$I$64,'10_CAPEX-INGRESOS-PAGOS'!$H$3-IF(COLUMN()=COLUMN($B$10),0,SUM($B$10:INDEX($10:$10,COLUMN()-1))))))</f>
        <v>0</v>
      </c>
      <c r="AS10" s="147">
        <f>IF(AS$3&lt;'01_MODELO'!$I$66,0,MAX(0,MIN('01_MODELO'!$I$64,'10_CAPEX-INGRESOS-PAGOS'!$H$3-IF(COLUMN()=COLUMN($B$10),0,SUM($B$10:INDEX($10:$10,COLUMN()-1))))))</f>
        <v>0</v>
      </c>
      <c r="AT10" s="147">
        <f>IF(AT$3&lt;'01_MODELO'!$I$66,0,MAX(0,MIN('01_MODELO'!$I$64,'10_CAPEX-INGRESOS-PAGOS'!$H$3-IF(COLUMN()=COLUMN($B$10),0,SUM($B$10:INDEX($10:$10,COLUMN()-1))))))</f>
        <v>0</v>
      </c>
      <c r="AU10" s="147">
        <f>IF(AU$3&lt;'01_MODELO'!$I$66,0,MAX(0,MIN('01_MODELO'!$I$64,'10_CAPEX-INGRESOS-PAGOS'!$H$3-IF(COLUMN()=COLUMN($B$10),0,SUM($B$10:INDEX($10:$10,COLUMN()-1))))))</f>
        <v>0</v>
      </c>
      <c r="AV10" s="147">
        <f>IF(AV$3&lt;'01_MODELO'!$I$66,0,MAX(0,MIN('01_MODELO'!$I$64,'10_CAPEX-INGRESOS-PAGOS'!$H$3-IF(COLUMN()=COLUMN($B$10),0,SUM($B$10:INDEX($10:$10,COLUMN()-1))))))</f>
        <v>0</v>
      </c>
      <c r="AW10" s="147">
        <f>IF(AW$3&lt;'01_MODELO'!$I$66,0,MAX(0,MIN('01_MODELO'!$I$64,'10_CAPEX-INGRESOS-PAGOS'!$H$3-IF(COLUMN()=COLUMN($B$10),0,SUM($B$10:INDEX($10:$10,COLUMN()-1))))))</f>
        <v>0</v>
      </c>
      <c r="AX10" s="147">
        <f>IF(AX$3&lt;'01_MODELO'!$I$66,0,MAX(0,MIN('01_MODELO'!$I$64,'10_CAPEX-INGRESOS-PAGOS'!$H$3-IF(COLUMN()=COLUMN($B$10),0,SUM($B$10:INDEX($10:$10,COLUMN()-1))))))</f>
        <v>0</v>
      </c>
      <c r="AY10" s="147">
        <f>IF(AY$3&lt;'01_MODELO'!$I$66,0,MAX(0,MIN('01_MODELO'!$I$64,'10_CAPEX-INGRESOS-PAGOS'!$H$3-IF(COLUMN()=COLUMN($B$10),0,SUM($B$10:INDEX($10:$10,COLUMN()-1))))))</f>
        <v>0</v>
      </c>
      <c r="AZ10" s="147">
        <f>IF(AZ$3&lt;'01_MODELO'!$I$66,0,MAX(0,MIN('01_MODELO'!$I$64,'10_CAPEX-INGRESOS-PAGOS'!$H$3-IF(COLUMN()=COLUMN($B$10),0,SUM($B$10:INDEX($10:$10,COLUMN()-1))))))</f>
        <v>0</v>
      </c>
      <c r="BA10" s="147">
        <f>IF(BA$3&lt;'01_MODELO'!$I$66,0,MAX(0,MIN('01_MODELO'!$I$64,'10_CAPEX-INGRESOS-PAGOS'!$H$3-IF(COLUMN()=COLUMN($B$10),0,SUM($B$10:INDEX($10:$10,COLUMN()-1))))))</f>
        <v>0</v>
      </c>
      <c r="BB10" s="147">
        <f>IF(BB$3&lt;'01_MODELO'!$I$66,0,MAX(0,MIN('01_MODELO'!$I$64,'10_CAPEX-INGRESOS-PAGOS'!$H$3-IF(COLUMN()=COLUMN($B$10),0,SUM($B$10:INDEX($10:$10,COLUMN()-1))))))</f>
        <v>0</v>
      </c>
      <c r="BC10" s="147">
        <f>IF(BC$3&lt;'01_MODELO'!$I$66,0,MAX(0,MIN('01_MODELO'!$I$64,'10_CAPEX-INGRESOS-PAGOS'!$H$3-IF(COLUMN()=COLUMN($B$10),0,SUM($B$10:INDEX($10:$10,COLUMN()-1))))))</f>
        <v>0</v>
      </c>
      <c r="BD10" s="147">
        <f>IF(BD$3&lt;'01_MODELO'!$I$66,0,MAX(0,MIN('01_MODELO'!$I$64,'10_CAPEX-INGRESOS-PAGOS'!$H$3-IF(COLUMN()=COLUMN($B$10),0,SUM($B$10:INDEX($10:$10,COLUMN()-1))))))</f>
        <v>0</v>
      </c>
      <c r="BE10" s="147">
        <f>IF(BE$3&lt;'01_MODELO'!$I$66,0,MAX(0,MIN('01_MODELO'!$I$64,'10_CAPEX-INGRESOS-PAGOS'!$H$3-IF(COLUMN()=COLUMN($B$10),0,SUM($B$10:INDEX($10:$10,COLUMN()-1))))))</f>
        <v>0</v>
      </c>
      <c r="BF10" s="147">
        <f>IF(BF$3&lt;'01_MODELO'!$I$66,0,MAX(0,MIN('01_MODELO'!$I$64,'10_CAPEX-INGRESOS-PAGOS'!$H$3-IF(COLUMN()=COLUMN($B$10),0,SUM($B$10:INDEX($10:$10,COLUMN()-1))))))</f>
        <v>0</v>
      </c>
      <c r="BG10" s="147">
        <f>IF(BG$3&lt;'01_MODELO'!$I$66,0,MAX(0,MIN('01_MODELO'!$I$64,'10_CAPEX-INGRESOS-PAGOS'!$H$3-IF(COLUMN()=COLUMN($B$10),0,SUM($B$10:INDEX($10:$10,COLUMN()-1))))))</f>
        <v>0</v>
      </c>
      <c r="BH10" s="147">
        <f>IF(BH$3&lt;'01_MODELO'!$I$66,0,MAX(0,MIN('01_MODELO'!$I$64,'10_CAPEX-INGRESOS-PAGOS'!$H$3-IF(COLUMN()=COLUMN($B$10),0,SUM($B$10:INDEX($10:$10,COLUMN()-1))))))</f>
        <v>0</v>
      </c>
      <c r="BI10" s="147">
        <f>IF(BI$3&lt;'01_MODELO'!$I$66,0,MAX(0,MIN('01_MODELO'!$I$64,'10_CAPEX-INGRESOS-PAGOS'!$H$3-IF(COLUMN()=COLUMN($B$10),0,SUM($B$10:INDEX($10:$10,COLUMN()-1))))))</f>
        <v>0</v>
      </c>
      <c r="BJ10" s="147">
        <f>IF(BJ$3&lt;'01_MODELO'!$I$66,0,MAX(0,MIN('01_MODELO'!$I$64,'10_CAPEX-INGRESOS-PAGOS'!$H$3-IF(COLUMN()=COLUMN($B$10),0,SUM($B$10:INDEX($10:$10,COLUMN()-1))))))</f>
        <v>0</v>
      </c>
      <c r="BK10" s="147">
        <f>IF(BK$3&lt;'01_MODELO'!$I$66,0,MAX(0,MIN('01_MODELO'!$I$64,'10_CAPEX-INGRESOS-PAGOS'!$H$3-IF(COLUMN()=COLUMN($B$10),0,SUM($B$10:INDEX($10:$10,COLUMN()-1))))))</f>
        <v>0</v>
      </c>
      <c r="BL10" s="147">
        <f>IF(BL$3&lt;'01_MODELO'!$I$66,0,MAX(0,MIN('01_MODELO'!$I$64,'10_CAPEX-INGRESOS-PAGOS'!$H$3-IF(COLUMN()=COLUMN($B$10),0,SUM($B$10:INDEX($10:$10,COLUMN()-1))))))</f>
        <v>0</v>
      </c>
      <c r="BM10" s="147">
        <f>IF(BM$3&lt;'01_MODELO'!$I$66,0,MAX(0,MIN('01_MODELO'!$I$64,'10_CAPEX-INGRESOS-PAGOS'!$H$3-IF(COLUMN()=COLUMN($B$10),0,SUM($B$10:INDEX($10:$10,COLUMN()-1))))))</f>
        <v>0</v>
      </c>
      <c r="BN10" s="147">
        <f>IF(BN$3&lt;'01_MODELO'!$I$66,0,MAX(0,MIN('01_MODELO'!$I$64,'10_CAPEX-INGRESOS-PAGOS'!$H$3-IF(COLUMN()=COLUMN($B$10),0,SUM($B$10:INDEX($10:$10,COLUMN()-1))))))</f>
        <v>0</v>
      </c>
      <c r="BO10" s="147">
        <f>IF(BO$3&lt;'01_MODELO'!$I$66,0,MAX(0,MIN('01_MODELO'!$I$64,'10_CAPEX-INGRESOS-PAGOS'!$H$3-IF(COLUMN()=COLUMN($B$10),0,SUM($B$10:INDEX($10:$10,COLUMN()-1))))))</f>
        <v>0</v>
      </c>
      <c r="BP10" s="147">
        <f>IF(BP$3&lt;'01_MODELO'!$I$66,0,MAX(0,MIN('01_MODELO'!$I$64,'10_CAPEX-INGRESOS-PAGOS'!$H$3-IF(COLUMN()=COLUMN($B$10),0,SUM($B$10:INDEX($10:$10,COLUMN()-1))))))</f>
        <v>0</v>
      </c>
      <c r="BQ10" s="147">
        <f>IF(BQ$3&lt;'01_MODELO'!$I$66,0,MAX(0,MIN('01_MODELO'!$I$64,'10_CAPEX-INGRESOS-PAGOS'!$H$3-IF(COLUMN()=COLUMN($B$10),0,SUM($B$10:INDEX($10:$10,COLUMN()-1))))))</f>
        <v>0</v>
      </c>
      <c r="BR10" s="147">
        <f>IF(BR$3&lt;'01_MODELO'!$I$66,0,MAX(0,MIN('01_MODELO'!$I$64,'10_CAPEX-INGRESOS-PAGOS'!$H$3-IF(COLUMN()=COLUMN($B$10),0,SUM($B$10:INDEX($10:$10,COLUMN()-1))))))</f>
        <v>0</v>
      </c>
      <c r="BS10" s="147">
        <f>IF(BS$3&lt;'01_MODELO'!$I$66,0,MAX(0,MIN('01_MODELO'!$I$64,'10_CAPEX-INGRESOS-PAGOS'!$H$3-IF(COLUMN()=COLUMN($B$10),0,SUM($B$10:INDEX($10:$10,COLUMN()-1))))))</f>
        <v>0</v>
      </c>
      <c r="BT10" s="147">
        <f>IF(BT$3&lt;'01_MODELO'!$I$66,0,MAX(0,MIN('01_MODELO'!$I$64,'10_CAPEX-INGRESOS-PAGOS'!$H$3-IF(COLUMN()=COLUMN($B$10),0,SUM($B$10:INDEX($10:$10,COLUMN()-1))))))</f>
        <v>0</v>
      </c>
      <c r="BU10" s="147">
        <f>IF(BU$3&lt;'01_MODELO'!$I$66,0,MAX(0,MIN('01_MODELO'!$I$64,'10_CAPEX-INGRESOS-PAGOS'!$H$3-IF(COLUMN()=COLUMN($B$10),0,SUM($B$10:INDEX($10:$10,COLUMN()-1))))))</f>
        <v>0</v>
      </c>
      <c r="BV10" s="147">
        <f>IF(BV$3&lt;'01_MODELO'!$I$66,0,MAX(0,MIN('01_MODELO'!$I$64,'10_CAPEX-INGRESOS-PAGOS'!$H$3-IF(COLUMN()=COLUMN($B$10),0,SUM($B$10:INDEX($10:$10,COLUMN()-1))))))</f>
        <v>0</v>
      </c>
      <c r="BW10" s="147">
        <f>IF(BW$3&lt;'01_MODELO'!$I$66,0,MAX(0,MIN('01_MODELO'!$I$64,'10_CAPEX-INGRESOS-PAGOS'!$H$3-IF(COLUMN()=COLUMN($B$10),0,SUM($B$10:INDEX($10:$10,COLUMN()-1))))))</f>
        <v>0</v>
      </c>
      <c r="BX10" s="147">
        <f>IF(BX$3&lt;'01_MODELO'!$I$66,0,MAX(0,MIN('01_MODELO'!$I$64,'10_CAPEX-INGRESOS-PAGOS'!$H$3-IF(COLUMN()=COLUMN($B$10),0,SUM($B$10:INDEX($10:$10,COLUMN()-1))))))</f>
        <v>0</v>
      </c>
      <c r="BY10" s="147">
        <f>IF(BY$3&lt;'01_MODELO'!$I$66,0,MAX(0,MIN('01_MODELO'!$I$64,'10_CAPEX-INGRESOS-PAGOS'!$H$3-IF(COLUMN()=COLUMN($B$10),0,SUM($B$10:INDEX($10:$10,COLUMN()-1))))))</f>
        <v>0</v>
      </c>
      <c r="BZ10" s="147">
        <f>IF(BZ$3&lt;'01_MODELO'!$I$66,0,MAX(0,MIN('01_MODELO'!$I$64,'10_CAPEX-INGRESOS-PAGOS'!$H$3-IF(COLUMN()=COLUMN($B$10),0,SUM($B$10:INDEX($10:$10,COLUMN()-1))))))</f>
        <v>0</v>
      </c>
      <c r="CA10" s="147">
        <f>IF(CA$3&lt;'01_MODELO'!$I$66,0,MAX(0,MIN('01_MODELO'!$I$64,'10_CAPEX-INGRESOS-PAGOS'!$H$3-IF(COLUMN()=COLUMN($B$10),0,SUM($B$10:INDEX($10:$10,COLUMN()-1))))))</f>
        <v>0</v>
      </c>
      <c r="CB10" s="147">
        <f>IF(CB$3&lt;'01_MODELO'!$I$66,0,MAX(0,MIN('01_MODELO'!$I$64,'10_CAPEX-INGRESOS-PAGOS'!$H$3-IF(COLUMN()=COLUMN($B$10),0,SUM($B$10:INDEX($10:$10,COLUMN()-1))))))</f>
        <v>0</v>
      </c>
      <c r="CC10" s="147">
        <f>IF(CC$3&lt;'01_MODELO'!$I$66,0,MAX(0,MIN('01_MODELO'!$I$64,'10_CAPEX-INGRESOS-PAGOS'!$H$3-IF(COLUMN()=COLUMN($B$10),0,SUM($B$10:INDEX($10:$10,COLUMN()-1))))))</f>
        <v>0</v>
      </c>
      <c r="CD10" s="147">
        <f>IF(CD$3&lt;'01_MODELO'!$I$66,0,MAX(0,MIN('01_MODELO'!$I$64,'10_CAPEX-INGRESOS-PAGOS'!$H$3-IF(COLUMN()=COLUMN($B$10),0,SUM($B$10:INDEX($10:$10,COLUMN()-1))))))</f>
        <v>0</v>
      </c>
      <c r="CE10" s="147">
        <f>IF(CE$3&lt;'01_MODELO'!$I$66,0,MAX(0,MIN('01_MODELO'!$I$64,'10_CAPEX-INGRESOS-PAGOS'!$H$3-IF(COLUMN()=COLUMN($B$10),0,SUM($B$10:INDEX($10:$10,COLUMN()-1))))))</f>
        <v>0</v>
      </c>
      <c r="CF10" s="147">
        <f>IF(CF$3&lt;'01_MODELO'!$I$66,0,MAX(0,MIN('01_MODELO'!$I$64,'10_CAPEX-INGRESOS-PAGOS'!$H$3-IF(COLUMN()=COLUMN($B$10),0,SUM($B$10:INDEX($10:$10,COLUMN()-1))))))</f>
        <v>0</v>
      </c>
      <c r="CG10" s="147">
        <f>IF(CG$3&lt;'01_MODELO'!$I$66,0,MAX(0,MIN('01_MODELO'!$I$64,'10_CAPEX-INGRESOS-PAGOS'!$H$3-IF(COLUMN()=COLUMN($B$10),0,SUM($B$10:INDEX($10:$10,COLUMN()-1))))))</f>
        <v>0</v>
      </c>
      <c r="CH10" s="147">
        <f>IF(CH$3&lt;'01_MODELO'!$I$66,0,MAX(0,MIN('01_MODELO'!$I$64,'10_CAPEX-INGRESOS-PAGOS'!$H$3-IF(COLUMN()=COLUMN($B$10),0,SUM($B$10:INDEX($10:$10,COLUMN()-1))))))</f>
        <v>0</v>
      </c>
      <c r="CI10" s="147">
        <f>IF(CI$3&lt;'01_MODELO'!$I$66,0,MAX(0,MIN('01_MODELO'!$I$64,'10_CAPEX-INGRESOS-PAGOS'!$H$3-IF(COLUMN()=COLUMN($B$10),0,SUM($B$10:INDEX($10:$10,COLUMN()-1))))))</f>
        <v>0</v>
      </c>
      <c r="CJ10" s="147">
        <f>IF(CJ$3&lt;'01_MODELO'!$I$66,0,MAX(0,MIN('01_MODELO'!$I$64,'10_CAPEX-INGRESOS-PAGOS'!$H$3-IF(COLUMN()=COLUMN($B$10),0,SUM($B$10:INDEX($10:$10,COLUMN()-1))))))</f>
        <v>0</v>
      </c>
      <c r="CK10" s="147">
        <f>IF(CK$3&lt;'01_MODELO'!$I$66,0,MAX(0,MIN('01_MODELO'!$I$64,'10_CAPEX-INGRESOS-PAGOS'!$H$3-IF(COLUMN()=COLUMN($B$10),0,SUM($B$10:INDEX($10:$10,COLUMN()-1))))))</f>
        <v>0</v>
      </c>
      <c r="CL10" s="147">
        <f>IF(CL$3&lt;'01_MODELO'!$I$66,0,MAX(0,MIN('01_MODELO'!$I$64,'10_CAPEX-INGRESOS-PAGOS'!$H$3-IF(COLUMN()=COLUMN($B$10),0,SUM($B$10:INDEX($10:$10,COLUMN()-1))))))</f>
        <v>0</v>
      </c>
      <c r="CM10" s="147">
        <f>IF(CM$3&lt;'01_MODELO'!$I$66,0,MAX(0,MIN('01_MODELO'!$I$64,'10_CAPEX-INGRESOS-PAGOS'!$H$3-IF(COLUMN()=COLUMN($B$10),0,SUM($B$10:INDEX($10:$10,COLUMN()-1))))))</f>
        <v>0</v>
      </c>
      <c r="CN10" s="147">
        <f>IF(CN$3&lt;'01_MODELO'!$I$66,0,MAX(0,MIN('01_MODELO'!$I$64,'10_CAPEX-INGRESOS-PAGOS'!$H$3-IF(COLUMN()=COLUMN($B$10),0,SUM($B$10:INDEX($10:$10,COLUMN()-1))))))</f>
        <v>0</v>
      </c>
      <c r="CO10" s="147">
        <f>IF(CO$3&lt;'01_MODELO'!$I$66,0,MAX(0,MIN('01_MODELO'!$I$64,'10_CAPEX-INGRESOS-PAGOS'!$H$3-IF(COLUMN()=COLUMN($B$10),0,SUM($B$10:INDEX($10:$10,COLUMN()-1))))))</f>
        <v>0</v>
      </c>
      <c r="CP10" s="147">
        <f>IF(CP$3&lt;'01_MODELO'!$I$66,0,MAX(0,MIN('01_MODELO'!$I$64,'10_CAPEX-INGRESOS-PAGOS'!$H$3-IF(COLUMN()=COLUMN($B$10),0,SUM($B$10:INDEX($10:$10,COLUMN()-1))))))</f>
        <v>0</v>
      </c>
      <c r="CQ10" s="147">
        <f>IF(CQ$3&lt;'01_MODELO'!$I$66,0,MAX(0,MIN('01_MODELO'!$I$64,'10_CAPEX-INGRESOS-PAGOS'!$H$3-IF(COLUMN()=COLUMN($B$10),0,SUM($B$10:INDEX($10:$10,COLUMN()-1))))))</f>
        <v>0</v>
      </c>
      <c r="CR10" s="147">
        <f>IF(CR$3&lt;'01_MODELO'!$I$66,0,MAX(0,MIN('01_MODELO'!$I$64,'10_CAPEX-INGRESOS-PAGOS'!$H$3-IF(COLUMN()=COLUMN($B$10),0,SUM($B$10:INDEX($10:$10,COLUMN()-1))))))</f>
        <v>0</v>
      </c>
      <c r="CS10" s="147">
        <f>IF(CS$3&lt;'01_MODELO'!$I$66,0,MAX(0,MIN('01_MODELO'!$I$64,'10_CAPEX-INGRESOS-PAGOS'!$H$3-IF(COLUMN()=COLUMN($B$10),0,SUM($B$10:INDEX($10:$10,COLUMN()-1))))))</f>
        <v>0</v>
      </c>
      <c r="CT10" s="147">
        <f>IF(CT$3&lt;'01_MODELO'!$I$66,0,MAX(0,MIN('01_MODELO'!$I$64,'10_CAPEX-INGRESOS-PAGOS'!$H$3-IF(COLUMN()=COLUMN($B$10),0,SUM($B$10:INDEX($10:$10,COLUMN()-1))))))</f>
        <v>0</v>
      </c>
      <c r="CU10" s="147">
        <f>IF(CU$3&lt;'01_MODELO'!$I$66,0,MAX(0,MIN('01_MODELO'!$I$64,'10_CAPEX-INGRESOS-PAGOS'!$H$3-IF(COLUMN()=COLUMN($B$10),0,SUM($B$10:INDEX($10:$10,COLUMN()-1))))))</f>
        <v>0</v>
      </c>
      <c r="CV10" s="147">
        <f>IF(CV$3&lt;'01_MODELO'!$I$66,0,MAX(0,MIN('01_MODELO'!$I$64,'10_CAPEX-INGRESOS-PAGOS'!$H$3-IF(COLUMN()=COLUMN($B$10),0,SUM($B$10:INDEX($10:$10,COLUMN()-1))))))</f>
        <v>0</v>
      </c>
      <c r="CW10" s="147">
        <f>IF(CW$3&lt;'01_MODELO'!$I$66,0,MAX(0,MIN('01_MODELO'!$I$64,'10_CAPEX-INGRESOS-PAGOS'!$H$3-IF(COLUMN()=COLUMN($B$10),0,SUM($B$10:INDEX($10:$10,COLUMN()-1))))))</f>
        <v>0</v>
      </c>
      <c r="CX10" s="147">
        <f>IF(CX$3&lt;'01_MODELO'!$I$66,0,MAX(0,MIN('01_MODELO'!$I$64,'10_CAPEX-INGRESOS-PAGOS'!$H$3-IF(COLUMN()=COLUMN($B$10),0,SUM($B$10:INDEX($10:$10,COLUMN()-1))))))</f>
        <v>0</v>
      </c>
      <c r="CY10" s="147">
        <f>IF(CY$3&lt;'01_MODELO'!$I$66,0,MAX(0,MIN('01_MODELO'!$I$64,'10_CAPEX-INGRESOS-PAGOS'!$H$3-IF(COLUMN()=COLUMN($B$10),0,SUM($B$10:INDEX($10:$10,COLUMN()-1))))))</f>
        <v>0</v>
      </c>
      <c r="CZ10" s="147">
        <f>IF(CZ$3&lt;'01_MODELO'!$I$66,0,MAX(0,MIN('01_MODELO'!$I$64,'10_CAPEX-INGRESOS-PAGOS'!$H$3-IF(COLUMN()=COLUMN($B$10),0,SUM($B$10:INDEX($10:$10,COLUMN()-1))))))</f>
        <v>0</v>
      </c>
      <c r="DA10" s="147">
        <f>IF(DA$3&lt;'01_MODELO'!$I$66,0,MAX(0,MIN('01_MODELO'!$I$64,'10_CAPEX-INGRESOS-PAGOS'!$H$3-IF(COLUMN()=COLUMN($B$10),0,SUM($B$10:INDEX($10:$10,COLUMN()-1))))))</f>
        <v>0</v>
      </c>
      <c r="DB10" s="147">
        <f>IF(DB$3&lt;'01_MODELO'!$I$66,0,MAX(0,MIN('01_MODELO'!$I$64,'10_CAPEX-INGRESOS-PAGOS'!$H$3-IF(COLUMN()=COLUMN($B$10),0,SUM($B$10:INDEX($10:$10,COLUMN()-1))))))</f>
        <v>0</v>
      </c>
      <c r="DC10" s="147">
        <f>IF(DC$3&lt;'01_MODELO'!$I$66,0,MAX(0,MIN('01_MODELO'!$I$64,'10_CAPEX-INGRESOS-PAGOS'!$H$3-IF(COLUMN()=COLUMN($B$10),0,SUM($B$10:INDEX($10:$10,COLUMN()-1))))))</f>
        <v>0</v>
      </c>
      <c r="DD10" s="147">
        <f>IF(DD$3&lt;'01_MODELO'!$I$66,0,MAX(0,MIN('01_MODELO'!$I$64,'10_CAPEX-INGRESOS-PAGOS'!$H$3-IF(COLUMN()=COLUMN($B$10),0,SUM($B$10:INDEX($10:$10,COLUMN()-1))))))</f>
        <v>0</v>
      </c>
      <c r="DE10" s="147">
        <f>IF(DE$3&lt;'01_MODELO'!$I$66,0,MAX(0,MIN('01_MODELO'!$I$64,'10_CAPEX-INGRESOS-PAGOS'!$H$3-IF(COLUMN()=COLUMN($B$10),0,SUM($B$10:INDEX($10:$10,COLUMN()-1))))))</f>
        <v>0</v>
      </c>
      <c r="DF10" s="147">
        <f>IF(DF$3&lt;'01_MODELO'!$I$66,0,MAX(0,MIN('01_MODELO'!$I$64,'10_CAPEX-INGRESOS-PAGOS'!$H$3-IF(COLUMN()=COLUMN($B$10),0,SUM($B$10:INDEX($10:$10,COLUMN()-1))))))</f>
        <v>0</v>
      </c>
      <c r="DG10" s="147">
        <f>IF(DG$3&lt;'01_MODELO'!$I$66,0,MAX(0,MIN('01_MODELO'!$I$64,'10_CAPEX-INGRESOS-PAGOS'!$H$3-IF(COLUMN()=COLUMN($B$10),0,SUM($B$10:INDEX($10:$10,COLUMN()-1))))))</f>
        <v>0</v>
      </c>
      <c r="DH10" s="147">
        <f>IF(DH$3&lt;'01_MODELO'!$I$66,0,MAX(0,MIN('01_MODELO'!$I$64,'10_CAPEX-INGRESOS-PAGOS'!$H$3-IF(COLUMN()=COLUMN($B$10),0,SUM($B$10:INDEX($10:$10,COLUMN()-1))))))</f>
        <v>0</v>
      </c>
      <c r="DI10" s="147">
        <f>IF(DI$3&lt;'01_MODELO'!$I$66,0,MAX(0,MIN('01_MODELO'!$I$64,'10_CAPEX-INGRESOS-PAGOS'!$H$3-IF(COLUMN()=COLUMN($B$10),0,SUM($B$10:INDEX($10:$10,COLUMN()-1))))))</f>
        <v>0</v>
      </c>
      <c r="DJ10" s="147">
        <f>IF(DJ$3&lt;'01_MODELO'!$I$66,0,MAX(0,MIN('01_MODELO'!$I$64,'10_CAPEX-INGRESOS-PAGOS'!$H$3-IF(COLUMN()=COLUMN($B$10),0,SUM($B$10:INDEX($10:$10,COLUMN()-1))))))</f>
        <v>0</v>
      </c>
      <c r="DK10" s="147">
        <f>IF(DK$3&lt;'01_MODELO'!$I$66,0,MAX(0,MIN('01_MODELO'!$I$64,'10_CAPEX-INGRESOS-PAGOS'!$H$3-IF(COLUMN()=COLUMN($B$10),0,SUM($B$10:INDEX($10:$10,COLUMN()-1))))))</f>
        <v>0</v>
      </c>
      <c r="DL10" s="147">
        <f>IF(DL$3&lt;'01_MODELO'!$I$66,0,MAX(0,MIN('01_MODELO'!$I$64,'10_CAPEX-INGRESOS-PAGOS'!$H$3-IF(COLUMN()=COLUMN($B$10),0,SUM($B$10:INDEX($10:$10,COLUMN()-1))))))</f>
        <v>0</v>
      </c>
      <c r="DM10" s="147">
        <f>IF(DM$3&lt;'01_MODELO'!$I$66,0,MAX(0,MIN('01_MODELO'!$I$64,'10_CAPEX-INGRESOS-PAGOS'!$H$3-IF(COLUMN()=COLUMN($B$10),0,SUM($B$10:INDEX($10:$10,COLUMN()-1))))))</f>
        <v>0</v>
      </c>
      <c r="DN10" s="147">
        <f>IF(DN$3&lt;'01_MODELO'!$I$66,0,MAX(0,MIN('01_MODELO'!$I$64,'10_CAPEX-INGRESOS-PAGOS'!$H$3-IF(COLUMN()=COLUMN($B$10),0,SUM($B$10:INDEX($10:$10,COLUMN()-1))))))</f>
        <v>0</v>
      </c>
      <c r="DO10" s="147">
        <f>IF(DO$3&lt;'01_MODELO'!$I$66,0,MAX(0,MIN('01_MODELO'!$I$64,'10_CAPEX-INGRESOS-PAGOS'!$H$3-IF(COLUMN()=COLUMN($B$10),0,SUM($B$10:INDEX($10:$10,COLUMN()-1))))))</f>
        <v>0</v>
      </c>
      <c r="DP10" s="147">
        <f>IF(DP$3&lt;'01_MODELO'!$I$66,0,MAX(0,MIN('01_MODELO'!$I$64,'10_CAPEX-INGRESOS-PAGOS'!$H$3-IF(COLUMN()=COLUMN($B$10),0,SUM($B$10:INDEX($10:$10,COLUMN()-1))))))</f>
        <v>0</v>
      </c>
      <c r="DQ10" s="147">
        <f>IF(DQ$3&lt;'01_MODELO'!$I$66,0,MAX(0,MIN('01_MODELO'!$I$64,'10_CAPEX-INGRESOS-PAGOS'!$H$3-IF(COLUMN()=COLUMN($B$10),0,SUM($B$10:INDEX($10:$10,COLUMN()-1))))))</f>
        <v>0</v>
      </c>
      <c r="DR10" s="147">
        <f>IF(DR$3&lt;'01_MODELO'!$I$66,0,MAX(0,MIN('01_MODELO'!$I$64,'10_CAPEX-INGRESOS-PAGOS'!$H$3-IF(COLUMN()=COLUMN($B$10),0,SUM($B$10:INDEX($10:$10,COLUMN()-1))))))</f>
        <v>0</v>
      </c>
      <c r="DS10" s="147">
        <f>IF(DS$3&lt;'01_MODELO'!$I$66,0,MAX(0,MIN('01_MODELO'!$I$64,'10_CAPEX-INGRESOS-PAGOS'!$H$3-IF(COLUMN()=COLUMN($B$10),0,SUM($B$10:INDEX($10:$10,COLUMN()-1))))))</f>
        <v>0</v>
      </c>
      <c r="DT10" s="147">
        <f>IF(DT$3&lt;'01_MODELO'!$I$66,0,MAX(0,MIN('01_MODELO'!$I$64,'10_CAPEX-INGRESOS-PAGOS'!$H$3-IF(COLUMN()=COLUMN($B$10),0,SUM($B$10:INDEX($10:$10,COLUMN()-1))))))</f>
        <v>0</v>
      </c>
      <c r="DU10" s="147">
        <f>IF(DU$3&lt;'01_MODELO'!$I$66,0,MAX(0,MIN('01_MODELO'!$I$64,'10_CAPEX-INGRESOS-PAGOS'!$H$3-IF(COLUMN()=COLUMN($B$10),0,SUM($B$10:INDEX($10:$10,COLUMN()-1))))))</f>
        <v>0</v>
      </c>
      <c r="DV10" s="147">
        <f>IF(DV$3&lt;'01_MODELO'!$I$66,0,MAX(0,MIN('01_MODELO'!$I$64,'10_CAPEX-INGRESOS-PAGOS'!$H$3-IF(COLUMN()=COLUMN($B$10),0,SUM($B$10:INDEX($10:$10,COLUMN()-1))))))</f>
        <v>0</v>
      </c>
      <c r="DW10" s="147">
        <f>IF(DW$3&lt;'01_MODELO'!$I$66,0,MAX(0,MIN('01_MODELO'!$I$64,'10_CAPEX-INGRESOS-PAGOS'!$H$3-IF(COLUMN()=COLUMN($B$10),0,SUM($B$10:INDEX($10:$10,COLUMN()-1))))))</f>
        <v>0</v>
      </c>
      <c r="DX10" s="147">
        <f>IF(DX$3&lt;'01_MODELO'!$I$66,0,MAX(0,MIN('01_MODELO'!$I$64,'10_CAPEX-INGRESOS-PAGOS'!$H$3-IF(COLUMN()=COLUMN($B$10),0,SUM($B$10:INDEX($10:$10,COLUMN()-1))))))</f>
        <v>0</v>
      </c>
      <c r="DY10" s="147">
        <f>IF(DY$3&lt;'01_MODELO'!$I$66,0,MAX(0,MIN('01_MODELO'!$I$64,'10_CAPEX-INGRESOS-PAGOS'!$H$3-IF(COLUMN()=COLUMN($B$10),0,SUM($B$10:INDEX($10:$10,COLUMN()-1))))))</f>
        <v>0</v>
      </c>
      <c r="DZ10" s="147">
        <f>IF(DZ$3&lt;'01_MODELO'!$I$66,0,MAX(0,MIN('01_MODELO'!$I$64,'10_CAPEX-INGRESOS-PAGOS'!$H$3-IF(COLUMN()=COLUMN($B$10),0,SUM($B$10:INDEX($10:$10,COLUMN()-1))))))</f>
        <v>0</v>
      </c>
      <c r="EA10" s="147">
        <f>IF(EA$3&lt;'01_MODELO'!$I$66,0,MAX(0,MIN('01_MODELO'!$I$64,'10_CAPEX-INGRESOS-PAGOS'!$H$3-IF(COLUMN()=COLUMN($B$10),0,SUM($B$10:INDEX($10:$10,COLUMN()-1))))))</f>
        <v>0</v>
      </c>
      <c r="EB10" s="147">
        <f>IF(EB$3&lt;'01_MODELO'!$I$66,0,MAX(0,MIN('01_MODELO'!$I$64,'10_CAPEX-INGRESOS-PAGOS'!$H$3-IF(COLUMN()=COLUMN($B$10),0,SUM($B$10:INDEX($10:$10,COLUMN()-1))))))</f>
        <v>0</v>
      </c>
      <c r="EC10" s="147">
        <f>IF(EC$3&lt;'01_MODELO'!$I$66,0,MAX(0,MIN('01_MODELO'!$I$64,'10_CAPEX-INGRESOS-PAGOS'!$H$3-IF(COLUMN()=COLUMN($B$10),0,SUM($B$10:INDEX($10:$10,COLUMN()-1))))))</f>
        <v>0</v>
      </c>
      <c r="ED10" s="147">
        <f>IF(ED$3&lt;'01_MODELO'!$I$66,0,MAX(0,MIN('01_MODELO'!$I$64,'10_CAPEX-INGRESOS-PAGOS'!$H$3-IF(COLUMN()=COLUMN($B$10),0,SUM($B$10:INDEX($10:$10,COLUMN()-1))))))</f>
        <v>0</v>
      </c>
      <c r="EE10" s="147">
        <f>IF(EE$3&lt;'01_MODELO'!$I$66,0,MAX(0,MIN('01_MODELO'!$I$64,'10_CAPEX-INGRESOS-PAGOS'!$H$3-IF(COLUMN()=COLUMN($B$10),0,SUM($B$10:INDEX($10:$10,COLUMN()-1))))))</f>
        <v>0</v>
      </c>
      <c r="EF10" s="147">
        <f>IF(EF$3&lt;'01_MODELO'!$I$66,0,MAX(0,MIN('01_MODELO'!$I$64,'10_CAPEX-INGRESOS-PAGOS'!$H$3-IF(COLUMN()=COLUMN($B$10),0,SUM($B$10:INDEX($10:$10,COLUMN()-1))))))</f>
        <v>0</v>
      </c>
      <c r="EG10" s="147">
        <f>IF(EG$3&lt;'01_MODELO'!$I$66,0,MAX(0,MIN('01_MODELO'!$I$64,'10_CAPEX-INGRESOS-PAGOS'!$H$3-IF(COLUMN()=COLUMN($B$10),0,SUM($B$10:INDEX($10:$10,COLUMN()-1))))))</f>
        <v>0</v>
      </c>
      <c r="EH10" s="147">
        <f>IF(EH$3&lt;'01_MODELO'!$I$66,0,MAX(0,MIN('01_MODELO'!$I$64,'10_CAPEX-INGRESOS-PAGOS'!$H$3-IF(COLUMN()=COLUMN($B$10),0,SUM($B$10:INDEX($10:$10,COLUMN()-1))))))</f>
        <v>0</v>
      </c>
      <c r="EI10" s="147">
        <f>IF(EI$3&lt;'01_MODELO'!$I$66,0,MAX(0,MIN('01_MODELO'!$I$64,'10_CAPEX-INGRESOS-PAGOS'!$H$3-IF(COLUMN()=COLUMN($B$10),0,SUM($B$10:INDEX($10:$10,COLUMN()-1))))))</f>
        <v>0</v>
      </c>
      <c r="EJ10" s="147">
        <f>IF(EJ$3&lt;'01_MODELO'!$I$66,0,MAX(0,MIN('01_MODELO'!$I$64,'10_CAPEX-INGRESOS-PAGOS'!$H$3-IF(COLUMN()=COLUMN($B$10),0,SUM($B$10:INDEX($10:$10,COLUMN()-1))))))</f>
        <v>0</v>
      </c>
      <c r="EK10" s="147">
        <f>IF(EK$3&lt;'01_MODELO'!$I$66,0,MAX(0,MIN('01_MODELO'!$I$64,'10_CAPEX-INGRESOS-PAGOS'!$H$3-IF(COLUMN()=COLUMN($B$10),0,SUM($B$10:INDEX($10:$10,COLUMN()-1))))))</f>
        <v>0</v>
      </c>
      <c r="EL10" s="147">
        <f>IF(EL$3&lt;'01_MODELO'!$I$66,0,MAX(0,MIN('01_MODELO'!$I$64,'10_CAPEX-INGRESOS-PAGOS'!$H$3-IF(COLUMN()=COLUMN($B$10),0,SUM($B$10:INDEX($10:$10,COLUMN()-1))))))</f>
        <v>0</v>
      </c>
      <c r="EM10" s="147">
        <f>IF(EM$3&lt;'01_MODELO'!$I$66,0,MAX(0,MIN('01_MODELO'!$I$64,'10_CAPEX-INGRESOS-PAGOS'!$H$3-IF(COLUMN()=COLUMN($B$10),0,SUM($B$10:INDEX($10:$10,COLUMN()-1))))))</f>
        <v>0</v>
      </c>
      <c r="EN10" s="147">
        <f>IF(EN$3&lt;'01_MODELO'!$I$66,0,MAX(0,MIN('01_MODELO'!$I$64,'10_CAPEX-INGRESOS-PAGOS'!$H$3-IF(COLUMN()=COLUMN($B$10),0,SUM($B$10:INDEX($10:$10,COLUMN()-1))))))</f>
        <v>0</v>
      </c>
      <c r="EO10" s="147">
        <f>IF(EO$3&lt;'01_MODELO'!$I$66,0,MAX(0,MIN('01_MODELO'!$I$64,'10_CAPEX-INGRESOS-PAGOS'!$H$3-IF(COLUMN()=COLUMN($B$10),0,SUM($B$10:INDEX($10:$10,COLUMN()-1))))))</f>
        <v>0</v>
      </c>
      <c r="EP10" s="147">
        <f>IF(EP$3&lt;'01_MODELO'!$I$66,0,MAX(0,MIN('01_MODELO'!$I$64,'10_CAPEX-INGRESOS-PAGOS'!$H$3-IF(COLUMN()=COLUMN($B$10),0,SUM($B$10:INDEX($10:$10,COLUMN()-1))))))</f>
        <v>0</v>
      </c>
      <c r="EQ10" s="147">
        <f>IF(EQ$3&lt;'01_MODELO'!$I$66,0,MAX(0,MIN('01_MODELO'!$I$64,'10_CAPEX-INGRESOS-PAGOS'!$H$3-IF(COLUMN()=COLUMN($B$10),0,SUM($B$10:INDEX($10:$10,COLUMN()-1))))))</f>
        <v>0</v>
      </c>
      <c r="ER10" s="147">
        <f>IF(ER$3&lt;'01_MODELO'!$I$66,0,MAX(0,MIN('01_MODELO'!$I$64,'10_CAPEX-INGRESOS-PAGOS'!$H$3-IF(COLUMN()=COLUMN($B$10),0,SUM($B$10:INDEX($10:$10,COLUMN()-1))))))</f>
        <v>0</v>
      </c>
      <c r="ES10" s="147">
        <f>IF(ES$3&lt;'01_MODELO'!$I$66,0,MAX(0,MIN('01_MODELO'!$I$64,'10_CAPEX-INGRESOS-PAGOS'!$H$3-IF(COLUMN()=COLUMN($B$10),0,SUM($B$10:INDEX($10:$10,COLUMN()-1))))))</f>
        <v>0</v>
      </c>
      <c r="ET10" s="147">
        <f>IF(ET$3&lt;'01_MODELO'!$I$66,0,MAX(0,MIN('01_MODELO'!$I$64,'10_CAPEX-INGRESOS-PAGOS'!$H$3-IF(COLUMN()=COLUMN($B$10),0,SUM($B$10:INDEX($10:$10,COLUMN()-1))))))</f>
        <v>0</v>
      </c>
      <c r="EU10" s="147">
        <f>IF(EU$3&lt;'01_MODELO'!$I$66,0,MAX(0,MIN('01_MODELO'!$I$64,'10_CAPEX-INGRESOS-PAGOS'!$H$3-IF(COLUMN()=COLUMN($B$10),0,SUM($B$10:INDEX($10:$10,COLUMN()-1))))))</f>
        <v>0</v>
      </c>
      <c r="EV10" s="147">
        <f>IF(EV$3&lt;'01_MODELO'!$I$66,0,MAX(0,MIN('01_MODELO'!$I$64,'10_CAPEX-INGRESOS-PAGOS'!$H$3-IF(COLUMN()=COLUMN($B$10),0,SUM($B$10:INDEX($10:$10,COLUMN()-1))))))</f>
        <v>0</v>
      </c>
      <c r="EW10" s="147">
        <f>IF(EW$3&lt;'01_MODELO'!$I$66,0,MAX(0,MIN('01_MODELO'!$I$64,'10_CAPEX-INGRESOS-PAGOS'!$H$3-IF(COLUMN()=COLUMN($B$10),0,SUM($B$10:INDEX($10:$10,COLUMN()-1))))))</f>
        <v>0</v>
      </c>
      <c r="EX10" s="147">
        <f>IF(EX$3&lt;'01_MODELO'!$I$66,0,MAX(0,MIN('01_MODELO'!$I$64,'10_CAPEX-INGRESOS-PAGOS'!$H$3-IF(COLUMN()=COLUMN($B$10),0,SUM($B$10:INDEX($10:$10,COLUMN()-1))))))</f>
        <v>0</v>
      </c>
      <c r="EY10" s="147">
        <f>IF(EY$3&lt;'01_MODELO'!$I$66,0,MAX(0,MIN('01_MODELO'!$I$64,'10_CAPEX-INGRESOS-PAGOS'!$H$3-IF(COLUMN()=COLUMN($B$10),0,SUM($B$10:INDEX($10:$10,COLUMN()-1))))))</f>
        <v>0</v>
      </c>
      <c r="EZ10" s="147">
        <f>IF(EZ$3&lt;'01_MODELO'!$I$66,0,MAX(0,MIN('01_MODELO'!$I$64,'10_CAPEX-INGRESOS-PAGOS'!$H$3-IF(COLUMN()=COLUMN($B$10),0,SUM($B$10:INDEX($10:$10,COLUMN()-1))))))</f>
        <v>0</v>
      </c>
      <c r="FA10" s="147">
        <f>IF(FA$3&lt;'01_MODELO'!$I$66,0,MAX(0,MIN('01_MODELO'!$I$64,'10_CAPEX-INGRESOS-PAGOS'!$H$3-IF(COLUMN()=COLUMN($B$10),0,SUM($B$10:INDEX($10:$10,COLUMN()-1))))))</f>
        <v>0</v>
      </c>
      <c r="FB10" s="147">
        <f>IF(FB$3&lt;'01_MODELO'!$I$66,0,MAX(0,MIN('01_MODELO'!$I$64,'10_CAPEX-INGRESOS-PAGOS'!$H$3-IF(COLUMN()=COLUMN($B$10),0,SUM($B$10:INDEX($10:$10,COLUMN()-1))))))</f>
        <v>0</v>
      </c>
      <c r="FC10" s="147">
        <f>IF(FC$3&lt;'01_MODELO'!$I$66,0,MAX(0,MIN('01_MODELO'!$I$64,'10_CAPEX-INGRESOS-PAGOS'!$H$3-IF(COLUMN()=COLUMN($B$10),0,SUM($B$10:INDEX($10:$10,COLUMN()-1))))))</f>
        <v>0</v>
      </c>
      <c r="FD10" s="147">
        <f>IF(FD$3&lt;'01_MODELO'!$I$66,0,MAX(0,MIN('01_MODELO'!$I$64,'10_CAPEX-INGRESOS-PAGOS'!$H$3-IF(COLUMN()=COLUMN($B$10),0,SUM($B$10:INDEX($10:$10,COLUMN()-1))))))</f>
        <v>0</v>
      </c>
      <c r="FE10" s="147">
        <f>IF(FE$3&lt;'01_MODELO'!$I$66,0,MAX(0,MIN('01_MODELO'!$I$64,'10_CAPEX-INGRESOS-PAGOS'!$H$3-IF(COLUMN()=COLUMN($B$10),0,SUM($B$10:INDEX($10:$10,COLUMN()-1))))))</f>
        <v>0</v>
      </c>
      <c r="FF10" s="147">
        <f>IF(FF$3&lt;'01_MODELO'!$I$66,0,MAX(0,MIN('01_MODELO'!$I$64,'10_CAPEX-INGRESOS-PAGOS'!$H$3-IF(COLUMN()=COLUMN($B$10),0,SUM($B$10:INDEX($10:$10,COLUMN()-1))))))</f>
        <v>0</v>
      </c>
      <c r="FG10" s="147">
        <f>IF(FG$3&lt;'01_MODELO'!$I$66,0,MAX(0,MIN('01_MODELO'!$I$64,'10_CAPEX-INGRESOS-PAGOS'!$H$3-IF(COLUMN()=COLUMN($B$10),0,SUM($B$10:INDEX($10:$10,COLUMN()-1))))))</f>
        <v>0</v>
      </c>
      <c r="FH10" s="147">
        <f>IF(FH$3&lt;'01_MODELO'!$I$66,0,MAX(0,MIN('01_MODELO'!$I$64,'10_CAPEX-INGRESOS-PAGOS'!$H$3-IF(COLUMN()=COLUMN($B$10),0,SUM($B$10:INDEX($10:$10,COLUMN()-1))))))</f>
        <v>0</v>
      </c>
      <c r="FI10" s="147">
        <f>IF(FI$3&lt;'01_MODELO'!$I$66,0,MAX(0,MIN('01_MODELO'!$I$64,'10_CAPEX-INGRESOS-PAGOS'!$H$3-IF(COLUMN()=COLUMN($B$10),0,SUM($B$10:INDEX($10:$10,COLUMN()-1))))))</f>
        <v>0</v>
      </c>
      <c r="FJ10" s="147">
        <f>IF(FJ$3&lt;'01_MODELO'!$I$66,0,MAX(0,MIN('01_MODELO'!$I$64,'10_CAPEX-INGRESOS-PAGOS'!$H$3-IF(COLUMN()=COLUMN($B$10),0,SUM($B$10:INDEX($10:$10,COLUMN()-1))))))</f>
        <v>0</v>
      </c>
      <c r="FK10" s="147">
        <f>IF(FK$3&lt;'01_MODELO'!$I$66,0,MAX(0,MIN('01_MODELO'!$I$64,'10_CAPEX-INGRESOS-PAGOS'!$H$3-IF(COLUMN()=COLUMN($B$10),0,SUM($B$10:INDEX($10:$10,COLUMN()-1))))))</f>
        <v>0</v>
      </c>
      <c r="FL10" s="147">
        <f>IF(FL$3&lt;'01_MODELO'!$I$66,0,MAX(0,MIN('01_MODELO'!$I$64,'10_CAPEX-INGRESOS-PAGOS'!$H$3-IF(COLUMN()=COLUMN($B$10),0,SUM($B$10:INDEX($10:$10,COLUMN()-1))))))</f>
        <v>0</v>
      </c>
      <c r="FM10" s="147">
        <f>IF(FM$3&lt;'01_MODELO'!$I$66,0,MAX(0,MIN('01_MODELO'!$I$64,'10_CAPEX-INGRESOS-PAGOS'!$H$3-IF(COLUMN()=COLUMN($B$10),0,SUM($B$10:INDEX($10:$10,COLUMN()-1))))))</f>
        <v>0</v>
      </c>
      <c r="FN10" s="147">
        <f>IF(FN$3&lt;'01_MODELO'!$I$66,0,MAX(0,MIN('01_MODELO'!$I$64,'10_CAPEX-INGRESOS-PAGOS'!$H$3-IF(COLUMN()=COLUMN($B$10),0,SUM($B$10:INDEX($10:$10,COLUMN()-1))))))</f>
        <v>0</v>
      </c>
      <c r="FO10" s="147">
        <f>IF(FO$3&lt;'01_MODELO'!$I$66,0,MAX(0,MIN('01_MODELO'!$I$64,'10_CAPEX-INGRESOS-PAGOS'!$H$3-IF(COLUMN()=COLUMN($B$10),0,SUM($B$10:INDEX($10:$10,COLUMN()-1))))))</f>
        <v>0</v>
      </c>
      <c r="FP10" s="147">
        <f>IF(FP$3&lt;'01_MODELO'!$I$66,0,MAX(0,MIN('01_MODELO'!$I$64,'10_CAPEX-INGRESOS-PAGOS'!$H$3-IF(COLUMN()=COLUMN($B$10),0,SUM($B$10:INDEX($10:$10,COLUMN()-1))))))</f>
        <v>0</v>
      </c>
      <c r="FQ10" s="147">
        <f>IF(FQ$3&lt;'01_MODELO'!$I$66,0,MAX(0,MIN('01_MODELO'!$I$64,'10_CAPEX-INGRESOS-PAGOS'!$H$3-IF(COLUMN()=COLUMN($B$10),0,SUM($B$10:INDEX($10:$10,COLUMN()-1))))))</f>
        <v>0</v>
      </c>
      <c r="FR10" s="147">
        <f>IF(FR$3&lt;'01_MODELO'!$I$66,0,MAX(0,MIN('01_MODELO'!$I$64,'10_CAPEX-INGRESOS-PAGOS'!$H$3-IF(COLUMN()=COLUMN($B$10),0,SUM($B$10:INDEX($10:$10,COLUMN()-1))))))</f>
        <v>0</v>
      </c>
      <c r="FS10" s="147">
        <f>IF(FS$3&lt;'01_MODELO'!$I$66,0,MAX(0,MIN('01_MODELO'!$I$64,'10_CAPEX-INGRESOS-PAGOS'!$H$3-IF(COLUMN()=COLUMN($B$10),0,SUM($B$10:INDEX($10:$10,COLUMN()-1))))))</f>
        <v>0</v>
      </c>
      <c r="FT10" s="147">
        <f>IF(FT$3&lt;'01_MODELO'!$I$66,0,MAX(0,MIN('01_MODELO'!$I$64,'10_CAPEX-INGRESOS-PAGOS'!$H$3-IF(COLUMN()=COLUMN($B$10),0,SUM($B$10:INDEX($10:$10,COLUMN()-1))))))</f>
        <v>0</v>
      </c>
      <c r="FU10" s="147">
        <f>IF(FU$3&lt;'01_MODELO'!$I$66,0,MAX(0,MIN('01_MODELO'!$I$64,'10_CAPEX-INGRESOS-PAGOS'!$H$3-IF(COLUMN()=COLUMN($B$10),0,SUM($B$10:INDEX($10:$10,COLUMN()-1))))))</f>
        <v>0</v>
      </c>
      <c r="FV10" s="147">
        <f>IF(FV$3&lt;'01_MODELO'!$I$66,0,MAX(0,MIN('01_MODELO'!$I$64,'10_CAPEX-INGRESOS-PAGOS'!$H$3-IF(COLUMN()=COLUMN($B$10),0,SUM($B$10:INDEX($10:$10,COLUMN()-1))))))</f>
        <v>0</v>
      </c>
      <c r="FW10" s="147">
        <f>IF(FW$3&lt;'01_MODELO'!$I$66,0,MAX(0,MIN('01_MODELO'!$I$64,'10_CAPEX-INGRESOS-PAGOS'!$H$3-IF(COLUMN()=COLUMN($B$10),0,SUM($B$10:INDEX($10:$10,COLUMN()-1))))))</f>
        <v>0</v>
      </c>
      <c r="FX10" s="147">
        <f>IF(FX$3&lt;'01_MODELO'!$I$66,0,MAX(0,MIN('01_MODELO'!$I$64,'10_CAPEX-INGRESOS-PAGOS'!$H$3-IF(COLUMN()=COLUMN($B$10),0,SUM($B$10:INDEX($10:$10,COLUMN()-1))))))</f>
        <v>0</v>
      </c>
      <c r="FY10" s="147">
        <f>IF(FY$3&lt;'01_MODELO'!$I$66,0,MAX(0,MIN('01_MODELO'!$I$64,'10_CAPEX-INGRESOS-PAGOS'!$H$3-IF(COLUMN()=COLUMN($B$10),0,SUM($B$10:INDEX($10:$10,COLUMN()-1))))))</f>
        <v>0</v>
      </c>
      <c r="FZ10" s="147">
        <f>IF(FZ$3&lt;'01_MODELO'!$I$66,0,MAX(0,MIN('01_MODELO'!$I$64,'10_CAPEX-INGRESOS-PAGOS'!$H$3-IF(COLUMN()=COLUMN($B$10),0,SUM($B$10:INDEX($10:$10,COLUMN()-1))))))</f>
        <v>0</v>
      </c>
    </row>
    <row r="11" spans="1:182" x14ac:dyDescent="0.25">
      <c r="A11" s="33" t="s">
        <v>265</v>
      </c>
      <c r="B11" s="147">
        <f>B10/'10_CAPEX-INGRESOS-PAGOS'!$H$3</f>
        <v>0</v>
      </c>
      <c r="C11" s="147">
        <f>C10/'10_CAPEX-INGRESOS-PAGOS'!$H$3</f>
        <v>0</v>
      </c>
      <c r="D11" s="147">
        <f>D10/'10_CAPEX-INGRESOS-PAGOS'!$H$3</f>
        <v>0</v>
      </c>
      <c r="E11" s="147">
        <f>E10/'10_CAPEX-INGRESOS-PAGOS'!$H$3</f>
        <v>0</v>
      </c>
      <c r="F11" s="147">
        <f>F10/'10_CAPEX-INGRESOS-PAGOS'!$H$3</f>
        <v>0</v>
      </c>
      <c r="G11" s="147">
        <f>G10/'10_CAPEX-INGRESOS-PAGOS'!$H$3</f>
        <v>0</v>
      </c>
      <c r="H11" s="147">
        <f>H10/'10_CAPEX-INGRESOS-PAGOS'!$H$3</f>
        <v>0</v>
      </c>
      <c r="I11" s="147">
        <f>I10/'10_CAPEX-INGRESOS-PAGOS'!$H$3</f>
        <v>0</v>
      </c>
      <c r="J11" s="147">
        <f>J10/'10_CAPEX-INGRESOS-PAGOS'!$H$3</f>
        <v>0</v>
      </c>
      <c r="K11" s="147">
        <f>K10/'10_CAPEX-INGRESOS-PAGOS'!$H$3</f>
        <v>0</v>
      </c>
      <c r="L11" s="147">
        <f>L10/'10_CAPEX-INGRESOS-PAGOS'!$H$3</f>
        <v>0</v>
      </c>
      <c r="M11" s="147">
        <f>M10/'10_CAPEX-INGRESOS-PAGOS'!$H$3</f>
        <v>0</v>
      </c>
      <c r="N11" s="147">
        <f>N10/'10_CAPEX-INGRESOS-PAGOS'!$H$3</f>
        <v>0</v>
      </c>
      <c r="O11" s="147">
        <f>O10/'10_CAPEX-INGRESOS-PAGOS'!$H$3</f>
        <v>0</v>
      </c>
      <c r="P11" s="147">
        <f>P10/'10_CAPEX-INGRESOS-PAGOS'!$H$3</f>
        <v>0</v>
      </c>
      <c r="Q11" s="147">
        <f>Q10/'10_CAPEX-INGRESOS-PAGOS'!$H$3</f>
        <v>0</v>
      </c>
      <c r="R11" s="147">
        <f>R10/'10_CAPEX-INGRESOS-PAGOS'!$H$3</f>
        <v>0</v>
      </c>
      <c r="S11" s="147">
        <f>S10/'10_CAPEX-INGRESOS-PAGOS'!$H$3</f>
        <v>0</v>
      </c>
      <c r="T11" s="147">
        <f>T10/'10_CAPEX-INGRESOS-PAGOS'!$H$3</f>
        <v>0</v>
      </c>
      <c r="U11" s="147">
        <f>U10/'10_CAPEX-INGRESOS-PAGOS'!$H$3</f>
        <v>0</v>
      </c>
      <c r="V11" s="147">
        <f>V10/'10_CAPEX-INGRESOS-PAGOS'!$H$3</f>
        <v>0</v>
      </c>
      <c r="W11" s="147">
        <f>W10/'10_CAPEX-INGRESOS-PAGOS'!$H$3</f>
        <v>0</v>
      </c>
      <c r="X11" s="147">
        <f>X10/'10_CAPEX-INGRESOS-PAGOS'!$H$3</f>
        <v>0</v>
      </c>
      <c r="Y11" s="147">
        <f>Y10/'10_CAPEX-INGRESOS-PAGOS'!$H$3</f>
        <v>9.6153846153846159E-2</v>
      </c>
      <c r="Z11" s="147">
        <f>Z10/'10_CAPEX-INGRESOS-PAGOS'!$H$3</f>
        <v>9.6153846153846159E-2</v>
      </c>
      <c r="AA11" s="147">
        <f>AA10/'10_CAPEX-INGRESOS-PAGOS'!$H$3</f>
        <v>9.6153846153846159E-2</v>
      </c>
      <c r="AB11" s="147">
        <f>AB10/'10_CAPEX-INGRESOS-PAGOS'!$H$3</f>
        <v>9.6153846153846159E-2</v>
      </c>
      <c r="AC11" s="147">
        <f>AC10/'10_CAPEX-INGRESOS-PAGOS'!$H$3</f>
        <v>9.6153846153846159E-2</v>
      </c>
      <c r="AD11" s="147">
        <f>AD10/'10_CAPEX-INGRESOS-PAGOS'!$H$3</f>
        <v>9.6153846153846159E-2</v>
      </c>
      <c r="AE11" s="147">
        <f>AE10/'10_CAPEX-INGRESOS-PAGOS'!$H$3</f>
        <v>9.6153846153846159E-2</v>
      </c>
      <c r="AF11" s="147">
        <f>AF10/'10_CAPEX-INGRESOS-PAGOS'!$H$3</f>
        <v>9.6153846153846159E-2</v>
      </c>
      <c r="AG11" s="147">
        <f>AG10/'10_CAPEX-INGRESOS-PAGOS'!$H$3</f>
        <v>9.6153846153846159E-2</v>
      </c>
      <c r="AH11" s="147">
        <f>AH10/'10_CAPEX-INGRESOS-PAGOS'!$H$3</f>
        <v>9.6153846153846159E-2</v>
      </c>
      <c r="AI11" s="147">
        <f>AI10/'10_CAPEX-INGRESOS-PAGOS'!$H$3</f>
        <v>3.8461538461538464E-2</v>
      </c>
      <c r="AJ11" s="147">
        <f>AJ10/'10_CAPEX-INGRESOS-PAGOS'!$H$3</f>
        <v>0</v>
      </c>
      <c r="AK11" s="147">
        <f>AK10/'10_CAPEX-INGRESOS-PAGOS'!$H$3</f>
        <v>0</v>
      </c>
      <c r="AL11" s="147">
        <f>AL10/'10_CAPEX-INGRESOS-PAGOS'!$H$3</f>
        <v>0</v>
      </c>
      <c r="AM11" s="147">
        <f>AM10/'10_CAPEX-INGRESOS-PAGOS'!$H$3</f>
        <v>0</v>
      </c>
      <c r="AN11" s="147">
        <f>AN10/'10_CAPEX-INGRESOS-PAGOS'!$H$3</f>
        <v>0</v>
      </c>
      <c r="AO11" s="147">
        <f>AO10/'10_CAPEX-INGRESOS-PAGOS'!$H$3</f>
        <v>0</v>
      </c>
      <c r="AP11" s="147">
        <f>AP10/'10_CAPEX-INGRESOS-PAGOS'!$H$3</f>
        <v>0</v>
      </c>
      <c r="AQ11" s="147">
        <f>AQ10/'10_CAPEX-INGRESOS-PAGOS'!$H$3</f>
        <v>0</v>
      </c>
      <c r="AR11" s="147">
        <f>AR10/'10_CAPEX-INGRESOS-PAGOS'!$H$3</f>
        <v>0</v>
      </c>
      <c r="AS11" s="147">
        <f>AS10/'10_CAPEX-INGRESOS-PAGOS'!$H$3</f>
        <v>0</v>
      </c>
      <c r="AT11" s="147">
        <f>AT10/'10_CAPEX-INGRESOS-PAGOS'!$H$3</f>
        <v>0</v>
      </c>
      <c r="AU11" s="147">
        <f>AU10/'10_CAPEX-INGRESOS-PAGOS'!$H$3</f>
        <v>0</v>
      </c>
      <c r="AV11" s="147">
        <f>AV10/'10_CAPEX-INGRESOS-PAGOS'!$H$3</f>
        <v>0</v>
      </c>
      <c r="AW11" s="147">
        <f>AW10/'10_CAPEX-INGRESOS-PAGOS'!$H$3</f>
        <v>0</v>
      </c>
      <c r="AX11" s="147">
        <f>AX10/'10_CAPEX-INGRESOS-PAGOS'!$H$3</f>
        <v>0</v>
      </c>
      <c r="AY11" s="147">
        <f>AY10/'10_CAPEX-INGRESOS-PAGOS'!$H$3</f>
        <v>0</v>
      </c>
      <c r="AZ11" s="147">
        <f>AZ10/'10_CAPEX-INGRESOS-PAGOS'!$H$3</f>
        <v>0</v>
      </c>
      <c r="BA11" s="147">
        <f>BA10/'10_CAPEX-INGRESOS-PAGOS'!$H$3</f>
        <v>0</v>
      </c>
      <c r="BB11" s="147">
        <f>BB10/'10_CAPEX-INGRESOS-PAGOS'!$H$3</f>
        <v>0</v>
      </c>
      <c r="BC11" s="147">
        <f>BC10/'10_CAPEX-INGRESOS-PAGOS'!$H$3</f>
        <v>0</v>
      </c>
      <c r="BD11" s="147">
        <f>BD10/'10_CAPEX-INGRESOS-PAGOS'!$H$3</f>
        <v>0</v>
      </c>
      <c r="BE11" s="147">
        <f>BE10/'10_CAPEX-INGRESOS-PAGOS'!$H$3</f>
        <v>0</v>
      </c>
      <c r="BF11" s="147">
        <f>BF10/'10_CAPEX-INGRESOS-PAGOS'!$H$3</f>
        <v>0</v>
      </c>
      <c r="BG11" s="147">
        <f>BG10/'10_CAPEX-INGRESOS-PAGOS'!$H$3</f>
        <v>0</v>
      </c>
      <c r="BH11" s="147">
        <f>BH10/'10_CAPEX-INGRESOS-PAGOS'!$H$3</f>
        <v>0</v>
      </c>
      <c r="BI11" s="147">
        <f>BI10/'10_CAPEX-INGRESOS-PAGOS'!$H$3</f>
        <v>0</v>
      </c>
      <c r="BJ11" s="147">
        <f>BJ10/'10_CAPEX-INGRESOS-PAGOS'!$H$3</f>
        <v>0</v>
      </c>
      <c r="BK11" s="147">
        <f>BK10/'10_CAPEX-INGRESOS-PAGOS'!$H$3</f>
        <v>0</v>
      </c>
      <c r="BL11" s="147">
        <f>BL10/'10_CAPEX-INGRESOS-PAGOS'!$H$3</f>
        <v>0</v>
      </c>
      <c r="BM11" s="147">
        <f>BM10/'10_CAPEX-INGRESOS-PAGOS'!$H$3</f>
        <v>0</v>
      </c>
      <c r="BN11" s="147">
        <f>BN10/'10_CAPEX-INGRESOS-PAGOS'!$H$3</f>
        <v>0</v>
      </c>
      <c r="BO11" s="147">
        <f>BO10/'10_CAPEX-INGRESOS-PAGOS'!$H$3</f>
        <v>0</v>
      </c>
      <c r="BP11" s="147">
        <f>BP10/'10_CAPEX-INGRESOS-PAGOS'!$H$3</f>
        <v>0</v>
      </c>
      <c r="BQ11" s="147">
        <f>BQ10/'10_CAPEX-INGRESOS-PAGOS'!$H$3</f>
        <v>0</v>
      </c>
      <c r="BR11" s="147">
        <f>BR10/'10_CAPEX-INGRESOS-PAGOS'!$H$3</f>
        <v>0</v>
      </c>
      <c r="BS11" s="147">
        <f>BS10/'10_CAPEX-INGRESOS-PAGOS'!$H$3</f>
        <v>0</v>
      </c>
      <c r="BT11" s="147">
        <f>BT10/'10_CAPEX-INGRESOS-PAGOS'!$H$3</f>
        <v>0</v>
      </c>
      <c r="BU11" s="147">
        <f>BU10/'10_CAPEX-INGRESOS-PAGOS'!$H$3</f>
        <v>0</v>
      </c>
      <c r="BV11" s="147">
        <f>BV10/'10_CAPEX-INGRESOS-PAGOS'!$H$3</f>
        <v>0</v>
      </c>
      <c r="BW11" s="147">
        <f>BW10/'10_CAPEX-INGRESOS-PAGOS'!$H$3</f>
        <v>0</v>
      </c>
      <c r="BX11" s="147">
        <f>BX10/'10_CAPEX-INGRESOS-PAGOS'!$H$3</f>
        <v>0</v>
      </c>
      <c r="BY11" s="147">
        <f>BY10/'10_CAPEX-INGRESOS-PAGOS'!$H$3</f>
        <v>0</v>
      </c>
      <c r="BZ11" s="147">
        <f>BZ10/'10_CAPEX-INGRESOS-PAGOS'!$H$3</f>
        <v>0</v>
      </c>
      <c r="CA11" s="147">
        <f>CA10/'10_CAPEX-INGRESOS-PAGOS'!$H$3</f>
        <v>0</v>
      </c>
      <c r="CB11" s="147">
        <f>CB10/'10_CAPEX-INGRESOS-PAGOS'!$H$3</f>
        <v>0</v>
      </c>
      <c r="CC11" s="147">
        <f>CC10/'10_CAPEX-INGRESOS-PAGOS'!$H$3</f>
        <v>0</v>
      </c>
      <c r="CD11" s="147">
        <f>CD10/'10_CAPEX-INGRESOS-PAGOS'!$H$3</f>
        <v>0</v>
      </c>
      <c r="CE11" s="147">
        <f>CE10/'10_CAPEX-INGRESOS-PAGOS'!$H$3</f>
        <v>0</v>
      </c>
      <c r="CF11" s="147">
        <f>CF10/'10_CAPEX-INGRESOS-PAGOS'!$H$3</f>
        <v>0</v>
      </c>
      <c r="CG11" s="147">
        <f>CG10/'10_CAPEX-INGRESOS-PAGOS'!$H$3</f>
        <v>0</v>
      </c>
      <c r="CH11" s="147">
        <f>CH10/'10_CAPEX-INGRESOS-PAGOS'!$H$3</f>
        <v>0</v>
      </c>
      <c r="CI11" s="147">
        <f>CI10/'10_CAPEX-INGRESOS-PAGOS'!$H$3</f>
        <v>0</v>
      </c>
      <c r="CJ11" s="147">
        <f>CJ10/'10_CAPEX-INGRESOS-PAGOS'!$H$3</f>
        <v>0</v>
      </c>
      <c r="CK11" s="147">
        <f>CK10/'10_CAPEX-INGRESOS-PAGOS'!$H$3</f>
        <v>0</v>
      </c>
      <c r="CL11" s="147">
        <f>CL10/'10_CAPEX-INGRESOS-PAGOS'!$H$3</f>
        <v>0</v>
      </c>
      <c r="CM11" s="147">
        <f>CM10/'10_CAPEX-INGRESOS-PAGOS'!$H$3</f>
        <v>0</v>
      </c>
      <c r="CN11" s="147">
        <f>CN10/'10_CAPEX-INGRESOS-PAGOS'!$H$3</f>
        <v>0</v>
      </c>
      <c r="CO11" s="147">
        <f>CO10/'10_CAPEX-INGRESOS-PAGOS'!$H$3</f>
        <v>0</v>
      </c>
      <c r="CP11" s="147">
        <f>CP10/'10_CAPEX-INGRESOS-PAGOS'!$H$3</f>
        <v>0</v>
      </c>
      <c r="CQ11" s="147">
        <f>CQ10/'10_CAPEX-INGRESOS-PAGOS'!$H$3</f>
        <v>0</v>
      </c>
      <c r="CR11" s="147">
        <f>CR10/'10_CAPEX-INGRESOS-PAGOS'!$H$3</f>
        <v>0</v>
      </c>
      <c r="CS11" s="147">
        <f>CS10/'10_CAPEX-INGRESOS-PAGOS'!$H$3</f>
        <v>0</v>
      </c>
      <c r="CT11" s="147">
        <f>CT10/'10_CAPEX-INGRESOS-PAGOS'!$H$3</f>
        <v>0</v>
      </c>
      <c r="CU11" s="147">
        <f>CU10/'10_CAPEX-INGRESOS-PAGOS'!$H$3</f>
        <v>0</v>
      </c>
      <c r="CV11" s="147">
        <f>CV10/'10_CAPEX-INGRESOS-PAGOS'!$H$3</f>
        <v>0</v>
      </c>
      <c r="CW11" s="147">
        <f>CW10/'10_CAPEX-INGRESOS-PAGOS'!$H$3</f>
        <v>0</v>
      </c>
      <c r="CX11" s="147">
        <f>CX10/'10_CAPEX-INGRESOS-PAGOS'!$H$3</f>
        <v>0</v>
      </c>
      <c r="CY11" s="147">
        <f>CY10/'10_CAPEX-INGRESOS-PAGOS'!$H$3</f>
        <v>0</v>
      </c>
      <c r="CZ11" s="147">
        <f>CZ10/'10_CAPEX-INGRESOS-PAGOS'!$H$3</f>
        <v>0</v>
      </c>
      <c r="DA11" s="147">
        <f>DA10/'10_CAPEX-INGRESOS-PAGOS'!$H$3</f>
        <v>0</v>
      </c>
      <c r="DB11" s="147">
        <f>DB10/'10_CAPEX-INGRESOS-PAGOS'!$H$3</f>
        <v>0</v>
      </c>
      <c r="DC11" s="147">
        <f>DC10/'10_CAPEX-INGRESOS-PAGOS'!$H$3</f>
        <v>0</v>
      </c>
      <c r="DD11" s="147">
        <f>DD10/'10_CAPEX-INGRESOS-PAGOS'!$H$3</f>
        <v>0</v>
      </c>
      <c r="DE11" s="147">
        <f>DE10/'10_CAPEX-INGRESOS-PAGOS'!$H$3</f>
        <v>0</v>
      </c>
      <c r="DF11" s="147">
        <f>DF10/'10_CAPEX-INGRESOS-PAGOS'!$H$3</f>
        <v>0</v>
      </c>
      <c r="DG11" s="147">
        <f>DG10/'10_CAPEX-INGRESOS-PAGOS'!$H$3</f>
        <v>0</v>
      </c>
      <c r="DH11" s="147">
        <f>DH10/'10_CAPEX-INGRESOS-PAGOS'!$H$3</f>
        <v>0</v>
      </c>
      <c r="DI11" s="147">
        <f>DI10/'10_CAPEX-INGRESOS-PAGOS'!$H$3</f>
        <v>0</v>
      </c>
      <c r="DJ11" s="147">
        <f>DJ10/'10_CAPEX-INGRESOS-PAGOS'!$H$3</f>
        <v>0</v>
      </c>
      <c r="DK11" s="147">
        <f>DK10/'10_CAPEX-INGRESOS-PAGOS'!$H$3</f>
        <v>0</v>
      </c>
      <c r="DL11" s="147">
        <f>DL10/'10_CAPEX-INGRESOS-PAGOS'!$H$3</f>
        <v>0</v>
      </c>
      <c r="DM11" s="147">
        <f>DM10/'10_CAPEX-INGRESOS-PAGOS'!$H$3</f>
        <v>0</v>
      </c>
      <c r="DN11" s="147">
        <f>DN10/'10_CAPEX-INGRESOS-PAGOS'!$H$3</f>
        <v>0</v>
      </c>
      <c r="DO11" s="147">
        <f>DO10/'10_CAPEX-INGRESOS-PAGOS'!$H$3</f>
        <v>0</v>
      </c>
      <c r="DP11" s="147">
        <f>DP10/'10_CAPEX-INGRESOS-PAGOS'!$H$3</f>
        <v>0</v>
      </c>
      <c r="DQ11" s="147">
        <f>DQ10/'10_CAPEX-INGRESOS-PAGOS'!$H$3</f>
        <v>0</v>
      </c>
      <c r="DR11" s="147">
        <f>DR10/'10_CAPEX-INGRESOS-PAGOS'!$H$3</f>
        <v>0</v>
      </c>
      <c r="DS11" s="147">
        <f>DS10/'10_CAPEX-INGRESOS-PAGOS'!$H$3</f>
        <v>0</v>
      </c>
      <c r="DT11" s="147">
        <f>DT10/'10_CAPEX-INGRESOS-PAGOS'!$H$3</f>
        <v>0</v>
      </c>
      <c r="DU11" s="147">
        <f>DU10/'10_CAPEX-INGRESOS-PAGOS'!$H$3</f>
        <v>0</v>
      </c>
      <c r="DV11" s="147">
        <f>DV10/'10_CAPEX-INGRESOS-PAGOS'!$H$3</f>
        <v>0</v>
      </c>
      <c r="DW11" s="147">
        <f>DW10/'10_CAPEX-INGRESOS-PAGOS'!$H$3</f>
        <v>0</v>
      </c>
      <c r="DX11" s="147">
        <f>DX10/'10_CAPEX-INGRESOS-PAGOS'!$H$3</f>
        <v>0</v>
      </c>
      <c r="DY11" s="147">
        <f>DY10/'10_CAPEX-INGRESOS-PAGOS'!$H$3</f>
        <v>0</v>
      </c>
      <c r="DZ11" s="147">
        <f>DZ10/'10_CAPEX-INGRESOS-PAGOS'!$H$3</f>
        <v>0</v>
      </c>
      <c r="EA11" s="147">
        <f>EA10/'10_CAPEX-INGRESOS-PAGOS'!$H$3</f>
        <v>0</v>
      </c>
      <c r="EB11" s="147">
        <f>EB10/'10_CAPEX-INGRESOS-PAGOS'!$H$3</f>
        <v>0</v>
      </c>
      <c r="EC11" s="147">
        <f>EC10/'10_CAPEX-INGRESOS-PAGOS'!$H$3</f>
        <v>0</v>
      </c>
      <c r="ED11" s="147">
        <f>ED10/'10_CAPEX-INGRESOS-PAGOS'!$H$3</f>
        <v>0</v>
      </c>
      <c r="EE11" s="147">
        <f>EE10/'10_CAPEX-INGRESOS-PAGOS'!$H$3</f>
        <v>0</v>
      </c>
      <c r="EF11" s="147">
        <f>EF10/'10_CAPEX-INGRESOS-PAGOS'!$H$3</f>
        <v>0</v>
      </c>
      <c r="EG11" s="147">
        <f>EG10/'10_CAPEX-INGRESOS-PAGOS'!$H$3</f>
        <v>0</v>
      </c>
      <c r="EH11" s="147">
        <f>EH10/'10_CAPEX-INGRESOS-PAGOS'!$H$3</f>
        <v>0</v>
      </c>
      <c r="EI11" s="147">
        <f>EI10/'10_CAPEX-INGRESOS-PAGOS'!$H$3</f>
        <v>0</v>
      </c>
      <c r="EJ11" s="147">
        <f>EJ10/'10_CAPEX-INGRESOS-PAGOS'!$H$3</f>
        <v>0</v>
      </c>
      <c r="EK11" s="147">
        <f>EK10/'10_CAPEX-INGRESOS-PAGOS'!$H$3</f>
        <v>0</v>
      </c>
      <c r="EL11" s="147">
        <f>EL10/'10_CAPEX-INGRESOS-PAGOS'!$H$3</f>
        <v>0</v>
      </c>
      <c r="EM11" s="147">
        <f>EM10/'10_CAPEX-INGRESOS-PAGOS'!$H$3</f>
        <v>0</v>
      </c>
      <c r="EN11" s="147">
        <f>EN10/'10_CAPEX-INGRESOS-PAGOS'!$H$3</f>
        <v>0</v>
      </c>
      <c r="EO11" s="147">
        <f>EO10/'10_CAPEX-INGRESOS-PAGOS'!$H$3</f>
        <v>0</v>
      </c>
      <c r="EP11" s="147">
        <f>EP10/'10_CAPEX-INGRESOS-PAGOS'!$H$3</f>
        <v>0</v>
      </c>
      <c r="EQ11" s="147">
        <f>EQ10/'10_CAPEX-INGRESOS-PAGOS'!$H$3</f>
        <v>0</v>
      </c>
      <c r="ER11" s="147">
        <f>ER10/'10_CAPEX-INGRESOS-PAGOS'!$H$3</f>
        <v>0</v>
      </c>
      <c r="ES11" s="147">
        <f>ES10/'10_CAPEX-INGRESOS-PAGOS'!$H$3</f>
        <v>0</v>
      </c>
      <c r="ET11" s="147">
        <f>ET10/'10_CAPEX-INGRESOS-PAGOS'!$H$3</f>
        <v>0</v>
      </c>
      <c r="EU11" s="147">
        <f>EU10/'10_CAPEX-INGRESOS-PAGOS'!$H$3</f>
        <v>0</v>
      </c>
      <c r="EV11" s="147">
        <f>EV10/'10_CAPEX-INGRESOS-PAGOS'!$H$3</f>
        <v>0</v>
      </c>
      <c r="EW11" s="147">
        <f>EW10/'10_CAPEX-INGRESOS-PAGOS'!$H$3</f>
        <v>0</v>
      </c>
      <c r="EX11" s="147">
        <f>EX10/'10_CAPEX-INGRESOS-PAGOS'!$H$3</f>
        <v>0</v>
      </c>
      <c r="EY11" s="147">
        <f>EY10/'10_CAPEX-INGRESOS-PAGOS'!$H$3</f>
        <v>0</v>
      </c>
      <c r="EZ11" s="147">
        <f>EZ10/'10_CAPEX-INGRESOS-PAGOS'!$H$3</f>
        <v>0</v>
      </c>
      <c r="FA11" s="147">
        <f>FA10/'10_CAPEX-INGRESOS-PAGOS'!$H$3</f>
        <v>0</v>
      </c>
      <c r="FB11" s="147">
        <f>FB10/'10_CAPEX-INGRESOS-PAGOS'!$H$3</f>
        <v>0</v>
      </c>
      <c r="FC11" s="147">
        <f>FC10/'10_CAPEX-INGRESOS-PAGOS'!$H$3</f>
        <v>0</v>
      </c>
      <c r="FD11" s="147">
        <f>FD10/'10_CAPEX-INGRESOS-PAGOS'!$H$3</f>
        <v>0</v>
      </c>
      <c r="FE11" s="147">
        <f>FE10/'10_CAPEX-INGRESOS-PAGOS'!$H$3</f>
        <v>0</v>
      </c>
      <c r="FF11" s="147">
        <f>FF10/'10_CAPEX-INGRESOS-PAGOS'!$H$3</f>
        <v>0</v>
      </c>
      <c r="FG11" s="147">
        <f>FG10/'10_CAPEX-INGRESOS-PAGOS'!$H$3</f>
        <v>0</v>
      </c>
      <c r="FH11" s="147">
        <f>FH10/'10_CAPEX-INGRESOS-PAGOS'!$H$3</f>
        <v>0</v>
      </c>
      <c r="FI11" s="147">
        <f>FI10/'10_CAPEX-INGRESOS-PAGOS'!$H$3</f>
        <v>0</v>
      </c>
      <c r="FJ11" s="147">
        <f>FJ10/'10_CAPEX-INGRESOS-PAGOS'!$H$3</f>
        <v>0</v>
      </c>
      <c r="FK11" s="147">
        <f>FK10/'10_CAPEX-INGRESOS-PAGOS'!$H$3</f>
        <v>0</v>
      </c>
      <c r="FL11" s="147">
        <f>FL10/'10_CAPEX-INGRESOS-PAGOS'!$H$3</f>
        <v>0</v>
      </c>
      <c r="FM11" s="147">
        <f>FM10/'10_CAPEX-INGRESOS-PAGOS'!$H$3</f>
        <v>0</v>
      </c>
      <c r="FN11" s="147">
        <f>FN10/'10_CAPEX-INGRESOS-PAGOS'!$H$3</f>
        <v>0</v>
      </c>
      <c r="FO11" s="147">
        <f>FO10/'10_CAPEX-INGRESOS-PAGOS'!$H$3</f>
        <v>0</v>
      </c>
      <c r="FP11" s="147">
        <f>FP10/'10_CAPEX-INGRESOS-PAGOS'!$H$3</f>
        <v>0</v>
      </c>
      <c r="FQ11" s="147">
        <f>FQ10/'10_CAPEX-INGRESOS-PAGOS'!$H$3</f>
        <v>0</v>
      </c>
      <c r="FR11" s="147">
        <f>FR10/'10_CAPEX-INGRESOS-PAGOS'!$H$3</f>
        <v>0</v>
      </c>
      <c r="FS11" s="147">
        <f>FS10/'10_CAPEX-INGRESOS-PAGOS'!$H$3</f>
        <v>0</v>
      </c>
      <c r="FT11" s="147">
        <f>FT10/'10_CAPEX-INGRESOS-PAGOS'!$H$3</f>
        <v>0</v>
      </c>
      <c r="FU11" s="147">
        <f>FU10/'10_CAPEX-INGRESOS-PAGOS'!$H$3</f>
        <v>0</v>
      </c>
      <c r="FV11" s="147">
        <f>FV10/'10_CAPEX-INGRESOS-PAGOS'!$H$3</f>
        <v>0</v>
      </c>
      <c r="FW11" s="147">
        <f>FW10/'10_CAPEX-INGRESOS-PAGOS'!$H$3</f>
        <v>0</v>
      </c>
      <c r="FX11" s="147">
        <f>FX10/'10_CAPEX-INGRESOS-PAGOS'!$H$3</f>
        <v>0</v>
      </c>
      <c r="FY11" s="147">
        <f>FY10/'10_CAPEX-INGRESOS-PAGOS'!$H$3</f>
        <v>0</v>
      </c>
      <c r="FZ11" s="147">
        <f>FZ10/'10_CAPEX-INGRESOS-PAGOS'!$H$3</f>
        <v>0</v>
      </c>
    </row>
    <row r="12" spans="1:182" x14ac:dyDescent="0.25">
      <c r="A12" s="33" t="s">
        <v>266</v>
      </c>
      <c r="B12" s="147">
        <f>B$10*'10_CAPEX-INGRESOS-PAGOS'!$H$27*'10_CAPEX-INGRESOS-PAGOS'!$H$45</f>
        <v>0</v>
      </c>
      <c r="C12" s="147">
        <f>C$10*'10_CAPEX-INGRESOS-PAGOS'!$H$27*'10_CAPEX-INGRESOS-PAGOS'!$H$45</f>
        <v>0</v>
      </c>
      <c r="D12" s="147">
        <f>D$10*'10_CAPEX-INGRESOS-PAGOS'!$H$27*'10_CAPEX-INGRESOS-PAGOS'!$H$45</f>
        <v>0</v>
      </c>
      <c r="E12" s="147">
        <f>E$10*'10_CAPEX-INGRESOS-PAGOS'!$H$27*'10_CAPEX-INGRESOS-PAGOS'!$H$45</f>
        <v>0</v>
      </c>
      <c r="F12" s="147">
        <f>F$10*'10_CAPEX-INGRESOS-PAGOS'!$H$27*'10_CAPEX-INGRESOS-PAGOS'!$H$45</f>
        <v>0</v>
      </c>
      <c r="G12" s="147">
        <f>G$10*'10_CAPEX-INGRESOS-PAGOS'!$H$27*'10_CAPEX-INGRESOS-PAGOS'!$H$45</f>
        <v>0</v>
      </c>
      <c r="H12" s="147">
        <f>H$10*'10_CAPEX-INGRESOS-PAGOS'!$H$27*'10_CAPEX-INGRESOS-PAGOS'!$H$45</f>
        <v>0</v>
      </c>
      <c r="I12" s="147">
        <f>I$10*'10_CAPEX-INGRESOS-PAGOS'!$H$27*'10_CAPEX-INGRESOS-PAGOS'!$H$45</f>
        <v>0</v>
      </c>
      <c r="J12" s="147">
        <f>J$10*'10_CAPEX-INGRESOS-PAGOS'!$H$27*'10_CAPEX-INGRESOS-PAGOS'!$H$45</f>
        <v>0</v>
      </c>
      <c r="K12" s="147">
        <f>K$10*'10_CAPEX-INGRESOS-PAGOS'!$H$27*'10_CAPEX-INGRESOS-PAGOS'!$H$45</f>
        <v>0</v>
      </c>
      <c r="L12" s="147">
        <f>L$10*'10_CAPEX-INGRESOS-PAGOS'!$H$27*'10_CAPEX-INGRESOS-PAGOS'!$H$45</f>
        <v>0</v>
      </c>
      <c r="M12" s="147">
        <f>M$10*'10_CAPEX-INGRESOS-PAGOS'!$H$27*'10_CAPEX-INGRESOS-PAGOS'!$H$45</f>
        <v>0</v>
      </c>
      <c r="N12" s="147">
        <f>N$10*'10_CAPEX-INGRESOS-PAGOS'!$H$27*'10_CAPEX-INGRESOS-PAGOS'!$H$45</f>
        <v>0</v>
      </c>
      <c r="O12" s="147">
        <f>O$10*'10_CAPEX-INGRESOS-PAGOS'!$H$27*'10_CAPEX-INGRESOS-PAGOS'!$H$45</f>
        <v>0</v>
      </c>
      <c r="P12" s="147">
        <f>P$10*'10_CAPEX-INGRESOS-PAGOS'!$H$27*'10_CAPEX-INGRESOS-PAGOS'!$H$45</f>
        <v>0</v>
      </c>
      <c r="Q12" s="147">
        <f>Q$10*'10_CAPEX-INGRESOS-PAGOS'!$H$27*'10_CAPEX-INGRESOS-PAGOS'!$H$45</f>
        <v>0</v>
      </c>
      <c r="R12" s="147">
        <f>R$10*'10_CAPEX-INGRESOS-PAGOS'!$H$27*'10_CAPEX-INGRESOS-PAGOS'!$H$45</f>
        <v>0</v>
      </c>
      <c r="S12" s="147">
        <f>S$10*'10_CAPEX-INGRESOS-PAGOS'!$H$27*'10_CAPEX-INGRESOS-PAGOS'!$H$45</f>
        <v>0</v>
      </c>
      <c r="T12" s="147">
        <f>T$10*'10_CAPEX-INGRESOS-PAGOS'!$H$27*'10_CAPEX-INGRESOS-PAGOS'!$H$45</f>
        <v>0</v>
      </c>
      <c r="U12" s="147">
        <f>U$10*'10_CAPEX-INGRESOS-PAGOS'!$H$27*'10_CAPEX-INGRESOS-PAGOS'!$H$45</f>
        <v>0</v>
      </c>
      <c r="V12" s="147">
        <f>V$10*'10_CAPEX-INGRESOS-PAGOS'!$H$27*'10_CAPEX-INGRESOS-PAGOS'!$H$45</f>
        <v>0</v>
      </c>
      <c r="W12" s="147">
        <f>W$10*'10_CAPEX-INGRESOS-PAGOS'!$H$27*'10_CAPEX-INGRESOS-PAGOS'!$H$45</f>
        <v>0</v>
      </c>
      <c r="X12" s="147">
        <f>X$10*'10_CAPEX-INGRESOS-PAGOS'!$H$27*'10_CAPEX-INGRESOS-PAGOS'!$H$45</f>
        <v>0</v>
      </c>
      <c r="Y12" s="147">
        <f>Y$10*'10_CAPEX-INGRESOS-PAGOS'!$H$27*'10_CAPEX-INGRESOS-PAGOS'!$H$45</f>
        <v>44687.5</v>
      </c>
      <c r="Z12" s="147">
        <f>Z$10*'10_CAPEX-INGRESOS-PAGOS'!$H$27*'10_CAPEX-INGRESOS-PAGOS'!$H$45</f>
        <v>44687.5</v>
      </c>
      <c r="AA12" s="147">
        <f>AA$10*'10_CAPEX-INGRESOS-PAGOS'!$H$27*'10_CAPEX-INGRESOS-PAGOS'!$H$45</f>
        <v>44687.5</v>
      </c>
      <c r="AB12" s="147">
        <f>AB$10*'10_CAPEX-INGRESOS-PAGOS'!$H$27*'10_CAPEX-INGRESOS-PAGOS'!$H$45</f>
        <v>44687.5</v>
      </c>
      <c r="AC12" s="147">
        <f>AC$10*'10_CAPEX-INGRESOS-PAGOS'!$H$27*'10_CAPEX-INGRESOS-PAGOS'!$H$45</f>
        <v>44687.5</v>
      </c>
      <c r="AD12" s="147">
        <f>AD$10*'10_CAPEX-INGRESOS-PAGOS'!$H$27*'10_CAPEX-INGRESOS-PAGOS'!$H$45</f>
        <v>44687.5</v>
      </c>
      <c r="AE12" s="147">
        <f>AE$10*'10_CAPEX-INGRESOS-PAGOS'!$H$27*'10_CAPEX-INGRESOS-PAGOS'!$H$45</f>
        <v>44687.5</v>
      </c>
      <c r="AF12" s="147">
        <f>AF$10*'10_CAPEX-INGRESOS-PAGOS'!$H$27*'10_CAPEX-INGRESOS-PAGOS'!$H$45</f>
        <v>44687.5</v>
      </c>
      <c r="AG12" s="147">
        <f>AG$10*'10_CAPEX-INGRESOS-PAGOS'!$H$27*'10_CAPEX-INGRESOS-PAGOS'!$H$45</f>
        <v>44687.5</v>
      </c>
      <c r="AH12" s="147">
        <f>AH$10*'10_CAPEX-INGRESOS-PAGOS'!$H$27*'10_CAPEX-INGRESOS-PAGOS'!$H$45</f>
        <v>44687.5</v>
      </c>
      <c r="AI12" s="147">
        <f>AI$10*'10_CAPEX-INGRESOS-PAGOS'!$H$27*'10_CAPEX-INGRESOS-PAGOS'!$H$45</f>
        <v>17875</v>
      </c>
      <c r="AJ12" s="147">
        <f>AJ$10*'10_CAPEX-INGRESOS-PAGOS'!$H$27*'10_CAPEX-INGRESOS-PAGOS'!$H$45</f>
        <v>0</v>
      </c>
      <c r="AK12" s="147">
        <f>AK$10*'10_CAPEX-INGRESOS-PAGOS'!$H$27*'10_CAPEX-INGRESOS-PAGOS'!$H$45</f>
        <v>0</v>
      </c>
      <c r="AL12" s="147">
        <f>AL$10*'10_CAPEX-INGRESOS-PAGOS'!$H$27*'10_CAPEX-INGRESOS-PAGOS'!$H$45</f>
        <v>0</v>
      </c>
      <c r="AM12" s="147">
        <f>AM$10*'10_CAPEX-INGRESOS-PAGOS'!$H$27*'10_CAPEX-INGRESOS-PAGOS'!$H$45</f>
        <v>0</v>
      </c>
      <c r="AN12" s="147">
        <f>AN$10*'10_CAPEX-INGRESOS-PAGOS'!$H$27*'10_CAPEX-INGRESOS-PAGOS'!$H$45</f>
        <v>0</v>
      </c>
      <c r="AO12" s="147">
        <f>AO$10*'10_CAPEX-INGRESOS-PAGOS'!$H$27*'10_CAPEX-INGRESOS-PAGOS'!$H$45</f>
        <v>0</v>
      </c>
      <c r="AP12" s="147">
        <f>AP$10*'10_CAPEX-INGRESOS-PAGOS'!$H$27*'10_CAPEX-INGRESOS-PAGOS'!$H$45</f>
        <v>0</v>
      </c>
      <c r="AQ12" s="147">
        <f>AQ$10*'10_CAPEX-INGRESOS-PAGOS'!$H$27*'10_CAPEX-INGRESOS-PAGOS'!$H$45</f>
        <v>0</v>
      </c>
      <c r="AR12" s="147">
        <f>AR$10*'10_CAPEX-INGRESOS-PAGOS'!$H$27*'10_CAPEX-INGRESOS-PAGOS'!$H$45</f>
        <v>0</v>
      </c>
      <c r="AS12" s="147">
        <f>AS$10*'10_CAPEX-INGRESOS-PAGOS'!$H$27*'10_CAPEX-INGRESOS-PAGOS'!$H$45</f>
        <v>0</v>
      </c>
      <c r="AT12" s="147">
        <f>AT$10*'10_CAPEX-INGRESOS-PAGOS'!$H$27*'10_CAPEX-INGRESOS-PAGOS'!$H$45</f>
        <v>0</v>
      </c>
      <c r="AU12" s="147">
        <f>AU$10*'10_CAPEX-INGRESOS-PAGOS'!$H$27*'10_CAPEX-INGRESOS-PAGOS'!$H$45</f>
        <v>0</v>
      </c>
      <c r="AV12" s="147">
        <f>AV$10*'10_CAPEX-INGRESOS-PAGOS'!$H$27*'10_CAPEX-INGRESOS-PAGOS'!$H$45</f>
        <v>0</v>
      </c>
      <c r="AW12" s="147">
        <f>AW$10*'10_CAPEX-INGRESOS-PAGOS'!$H$27*'10_CAPEX-INGRESOS-PAGOS'!$H$45</f>
        <v>0</v>
      </c>
      <c r="AX12" s="147">
        <f>AX$10*'10_CAPEX-INGRESOS-PAGOS'!$H$27*'10_CAPEX-INGRESOS-PAGOS'!$H$45</f>
        <v>0</v>
      </c>
      <c r="AY12" s="147">
        <f>AY$10*'10_CAPEX-INGRESOS-PAGOS'!$H$27*'10_CAPEX-INGRESOS-PAGOS'!$H$45</f>
        <v>0</v>
      </c>
      <c r="AZ12" s="147">
        <f>AZ$10*'10_CAPEX-INGRESOS-PAGOS'!$H$27*'10_CAPEX-INGRESOS-PAGOS'!$H$45</f>
        <v>0</v>
      </c>
      <c r="BA12" s="147">
        <f>BA$10*'10_CAPEX-INGRESOS-PAGOS'!$H$27*'10_CAPEX-INGRESOS-PAGOS'!$H$45</f>
        <v>0</v>
      </c>
      <c r="BB12" s="147">
        <f>BB$10*'10_CAPEX-INGRESOS-PAGOS'!$H$27*'10_CAPEX-INGRESOS-PAGOS'!$H$45</f>
        <v>0</v>
      </c>
      <c r="BC12" s="147">
        <f>BC$10*'10_CAPEX-INGRESOS-PAGOS'!$H$27*'10_CAPEX-INGRESOS-PAGOS'!$H$45</f>
        <v>0</v>
      </c>
      <c r="BD12" s="147">
        <f>BD$10*'10_CAPEX-INGRESOS-PAGOS'!$H$27*'10_CAPEX-INGRESOS-PAGOS'!$H$45</f>
        <v>0</v>
      </c>
      <c r="BE12" s="147">
        <f>BE$10*'10_CAPEX-INGRESOS-PAGOS'!$H$27*'10_CAPEX-INGRESOS-PAGOS'!$H$45</f>
        <v>0</v>
      </c>
      <c r="BF12" s="147">
        <f>BF$10*'10_CAPEX-INGRESOS-PAGOS'!$H$27*'10_CAPEX-INGRESOS-PAGOS'!$H$45</f>
        <v>0</v>
      </c>
      <c r="BG12" s="147">
        <f>BG$10*'10_CAPEX-INGRESOS-PAGOS'!$H$27*'10_CAPEX-INGRESOS-PAGOS'!$H$45</f>
        <v>0</v>
      </c>
      <c r="BH12" s="147">
        <f>BH$10*'10_CAPEX-INGRESOS-PAGOS'!$H$27*'10_CAPEX-INGRESOS-PAGOS'!$H$45</f>
        <v>0</v>
      </c>
      <c r="BI12" s="147">
        <f>BI$10*'10_CAPEX-INGRESOS-PAGOS'!$H$27*'10_CAPEX-INGRESOS-PAGOS'!$H$45</f>
        <v>0</v>
      </c>
      <c r="BJ12" s="147">
        <f>BJ$10*'10_CAPEX-INGRESOS-PAGOS'!$H$27*'10_CAPEX-INGRESOS-PAGOS'!$H$45</f>
        <v>0</v>
      </c>
      <c r="BK12" s="147">
        <f>BK$10*'10_CAPEX-INGRESOS-PAGOS'!$H$27*'10_CAPEX-INGRESOS-PAGOS'!$H$45</f>
        <v>0</v>
      </c>
      <c r="BL12" s="147">
        <f>BL$10*'10_CAPEX-INGRESOS-PAGOS'!$H$27*'10_CAPEX-INGRESOS-PAGOS'!$H$45</f>
        <v>0</v>
      </c>
      <c r="BM12" s="147">
        <f>BM$10*'10_CAPEX-INGRESOS-PAGOS'!$H$27*'10_CAPEX-INGRESOS-PAGOS'!$H$45</f>
        <v>0</v>
      </c>
      <c r="BN12" s="147">
        <f>BN$10*'10_CAPEX-INGRESOS-PAGOS'!$H$27*'10_CAPEX-INGRESOS-PAGOS'!$H$45</f>
        <v>0</v>
      </c>
      <c r="BO12" s="147">
        <f>BO$10*'10_CAPEX-INGRESOS-PAGOS'!$H$27*'10_CAPEX-INGRESOS-PAGOS'!$H$45</f>
        <v>0</v>
      </c>
      <c r="BP12" s="147">
        <f>BP$10*'10_CAPEX-INGRESOS-PAGOS'!$H$27*'10_CAPEX-INGRESOS-PAGOS'!$H$45</f>
        <v>0</v>
      </c>
      <c r="BQ12" s="147">
        <f>BQ$10*'10_CAPEX-INGRESOS-PAGOS'!$H$27*'10_CAPEX-INGRESOS-PAGOS'!$H$45</f>
        <v>0</v>
      </c>
      <c r="BR12" s="147">
        <f>BR$10*'10_CAPEX-INGRESOS-PAGOS'!$H$27*'10_CAPEX-INGRESOS-PAGOS'!$H$45</f>
        <v>0</v>
      </c>
      <c r="BS12" s="147">
        <f>BS$10*'10_CAPEX-INGRESOS-PAGOS'!$H$27*'10_CAPEX-INGRESOS-PAGOS'!$H$45</f>
        <v>0</v>
      </c>
      <c r="BT12" s="147">
        <f>BT$10*'10_CAPEX-INGRESOS-PAGOS'!$H$27*'10_CAPEX-INGRESOS-PAGOS'!$H$45</f>
        <v>0</v>
      </c>
      <c r="BU12" s="147">
        <f>BU$10*'10_CAPEX-INGRESOS-PAGOS'!$H$27*'10_CAPEX-INGRESOS-PAGOS'!$H$45</f>
        <v>0</v>
      </c>
      <c r="BV12" s="147">
        <f>BV$10*'10_CAPEX-INGRESOS-PAGOS'!$H$27*'10_CAPEX-INGRESOS-PAGOS'!$H$45</f>
        <v>0</v>
      </c>
      <c r="BW12" s="147">
        <f>BW$10*'10_CAPEX-INGRESOS-PAGOS'!$H$27*'10_CAPEX-INGRESOS-PAGOS'!$H$45</f>
        <v>0</v>
      </c>
      <c r="BX12" s="147">
        <f>BX$10*'10_CAPEX-INGRESOS-PAGOS'!$H$27*'10_CAPEX-INGRESOS-PAGOS'!$H$45</f>
        <v>0</v>
      </c>
      <c r="BY12" s="147">
        <f>BY$10*'10_CAPEX-INGRESOS-PAGOS'!$H$27*'10_CAPEX-INGRESOS-PAGOS'!$H$45</f>
        <v>0</v>
      </c>
      <c r="BZ12" s="147">
        <f>BZ$10*'10_CAPEX-INGRESOS-PAGOS'!$H$27*'10_CAPEX-INGRESOS-PAGOS'!$H$45</f>
        <v>0</v>
      </c>
      <c r="CA12" s="147">
        <f>CA$10*'10_CAPEX-INGRESOS-PAGOS'!$H$27*'10_CAPEX-INGRESOS-PAGOS'!$H$45</f>
        <v>0</v>
      </c>
      <c r="CB12" s="147">
        <f>CB$10*'10_CAPEX-INGRESOS-PAGOS'!$H$27*'10_CAPEX-INGRESOS-PAGOS'!$H$45</f>
        <v>0</v>
      </c>
      <c r="CC12" s="147">
        <f>CC$10*'10_CAPEX-INGRESOS-PAGOS'!$H$27*'10_CAPEX-INGRESOS-PAGOS'!$H$45</f>
        <v>0</v>
      </c>
      <c r="CD12" s="147">
        <f>CD$10*'10_CAPEX-INGRESOS-PAGOS'!$H$27*'10_CAPEX-INGRESOS-PAGOS'!$H$45</f>
        <v>0</v>
      </c>
      <c r="CE12" s="147">
        <f>CE$10*'10_CAPEX-INGRESOS-PAGOS'!$H$27*'10_CAPEX-INGRESOS-PAGOS'!$H$45</f>
        <v>0</v>
      </c>
      <c r="CF12" s="147">
        <f>CF$10*'10_CAPEX-INGRESOS-PAGOS'!$H$27*'10_CAPEX-INGRESOS-PAGOS'!$H$45</f>
        <v>0</v>
      </c>
      <c r="CG12" s="147">
        <f>CG$10*'10_CAPEX-INGRESOS-PAGOS'!$H$27*'10_CAPEX-INGRESOS-PAGOS'!$H$45</f>
        <v>0</v>
      </c>
      <c r="CH12" s="147">
        <f>CH$10*'10_CAPEX-INGRESOS-PAGOS'!$H$27*'10_CAPEX-INGRESOS-PAGOS'!$H$45</f>
        <v>0</v>
      </c>
      <c r="CI12" s="147">
        <f>CI$10*'10_CAPEX-INGRESOS-PAGOS'!$H$27*'10_CAPEX-INGRESOS-PAGOS'!$H$45</f>
        <v>0</v>
      </c>
      <c r="CJ12" s="147">
        <f>CJ$10*'10_CAPEX-INGRESOS-PAGOS'!$H$27*'10_CAPEX-INGRESOS-PAGOS'!$H$45</f>
        <v>0</v>
      </c>
      <c r="CK12" s="147">
        <f>CK$10*'10_CAPEX-INGRESOS-PAGOS'!$H$27*'10_CAPEX-INGRESOS-PAGOS'!$H$45</f>
        <v>0</v>
      </c>
      <c r="CL12" s="147">
        <f>CL$10*'10_CAPEX-INGRESOS-PAGOS'!$H$27*'10_CAPEX-INGRESOS-PAGOS'!$H$45</f>
        <v>0</v>
      </c>
      <c r="CM12" s="147">
        <f>CM$10*'10_CAPEX-INGRESOS-PAGOS'!$H$27*'10_CAPEX-INGRESOS-PAGOS'!$H$45</f>
        <v>0</v>
      </c>
      <c r="CN12" s="147">
        <f>CN$10*'10_CAPEX-INGRESOS-PAGOS'!$H$27*'10_CAPEX-INGRESOS-PAGOS'!$H$45</f>
        <v>0</v>
      </c>
      <c r="CO12" s="147">
        <f>CO$10*'10_CAPEX-INGRESOS-PAGOS'!$H$27*'10_CAPEX-INGRESOS-PAGOS'!$H$45</f>
        <v>0</v>
      </c>
      <c r="CP12" s="147">
        <f>CP$10*'10_CAPEX-INGRESOS-PAGOS'!$H$27*'10_CAPEX-INGRESOS-PAGOS'!$H$45</f>
        <v>0</v>
      </c>
      <c r="CQ12" s="147">
        <f>CQ$10*'10_CAPEX-INGRESOS-PAGOS'!$H$27*'10_CAPEX-INGRESOS-PAGOS'!$H$45</f>
        <v>0</v>
      </c>
      <c r="CR12" s="147">
        <f>CR$10*'10_CAPEX-INGRESOS-PAGOS'!$H$27*'10_CAPEX-INGRESOS-PAGOS'!$H$45</f>
        <v>0</v>
      </c>
      <c r="CS12" s="147">
        <f>CS$10*'10_CAPEX-INGRESOS-PAGOS'!$H$27*'10_CAPEX-INGRESOS-PAGOS'!$H$45</f>
        <v>0</v>
      </c>
      <c r="CT12" s="147">
        <f>CT$10*'10_CAPEX-INGRESOS-PAGOS'!$H$27*'10_CAPEX-INGRESOS-PAGOS'!$H$45</f>
        <v>0</v>
      </c>
      <c r="CU12" s="147">
        <f>CU$10*'10_CAPEX-INGRESOS-PAGOS'!$H$27*'10_CAPEX-INGRESOS-PAGOS'!$H$45</f>
        <v>0</v>
      </c>
      <c r="CV12" s="147">
        <f>CV$10*'10_CAPEX-INGRESOS-PAGOS'!$H$27*'10_CAPEX-INGRESOS-PAGOS'!$H$45</f>
        <v>0</v>
      </c>
      <c r="CW12" s="147">
        <f>CW$10*'10_CAPEX-INGRESOS-PAGOS'!$H$27*'10_CAPEX-INGRESOS-PAGOS'!$H$45</f>
        <v>0</v>
      </c>
      <c r="CX12" s="147">
        <f>CX$10*'10_CAPEX-INGRESOS-PAGOS'!$H$27*'10_CAPEX-INGRESOS-PAGOS'!$H$45</f>
        <v>0</v>
      </c>
      <c r="CY12" s="147">
        <f>CY$10*'10_CAPEX-INGRESOS-PAGOS'!$H$27*'10_CAPEX-INGRESOS-PAGOS'!$H$45</f>
        <v>0</v>
      </c>
      <c r="CZ12" s="147">
        <f>CZ$10*'10_CAPEX-INGRESOS-PAGOS'!$H$27*'10_CAPEX-INGRESOS-PAGOS'!$H$45</f>
        <v>0</v>
      </c>
      <c r="DA12" s="147">
        <f>DA$10*'10_CAPEX-INGRESOS-PAGOS'!$H$27*'10_CAPEX-INGRESOS-PAGOS'!$H$45</f>
        <v>0</v>
      </c>
      <c r="DB12" s="147">
        <f>DB$10*'10_CAPEX-INGRESOS-PAGOS'!$H$27*'10_CAPEX-INGRESOS-PAGOS'!$H$45</f>
        <v>0</v>
      </c>
      <c r="DC12" s="147">
        <f>DC$10*'10_CAPEX-INGRESOS-PAGOS'!$H$27*'10_CAPEX-INGRESOS-PAGOS'!$H$45</f>
        <v>0</v>
      </c>
      <c r="DD12" s="147">
        <f>DD$10*'10_CAPEX-INGRESOS-PAGOS'!$H$27*'10_CAPEX-INGRESOS-PAGOS'!$H$45</f>
        <v>0</v>
      </c>
      <c r="DE12" s="147">
        <f>DE$10*'10_CAPEX-INGRESOS-PAGOS'!$H$27*'10_CAPEX-INGRESOS-PAGOS'!$H$45</f>
        <v>0</v>
      </c>
      <c r="DF12" s="147">
        <f>DF$10*'10_CAPEX-INGRESOS-PAGOS'!$H$27*'10_CAPEX-INGRESOS-PAGOS'!$H$45</f>
        <v>0</v>
      </c>
      <c r="DG12" s="147">
        <f>DG$10*'10_CAPEX-INGRESOS-PAGOS'!$H$27*'10_CAPEX-INGRESOS-PAGOS'!$H$45</f>
        <v>0</v>
      </c>
      <c r="DH12" s="147">
        <f>DH$10*'10_CAPEX-INGRESOS-PAGOS'!$H$27*'10_CAPEX-INGRESOS-PAGOS'!$H$45</f>
        <v>0</v>
      </c>
      <c r="DI12" s="147">
        <f>DI$10*'10_CAPEX-INGRESOS-PAGOS'!$H$27*'10_CAPEX-INGRESOS-PAGOS'!$H$45</f>
        <v>0</v>
      </c>
      <c r="DJ12" s="147">
        <f>DJ$10*'10_CAPEX-INGRESOS-PAGOS'!$H$27*'10_CAPEX-INGRESOS-PAGOS'!$H$45</f>
        <v>0</v>
      </c>
      <c r="DK12" s="147">
        <f>DK$10*'10_CAPEX-INGRESOS-PAGOS'!$H$27*'10_CAPEX-INGRESOS-PAGOS'!$H$45</f>
        <v>0</v>
      </c>
      <c r="DL12" s="147">
        <f>DL$10*'10_CAPEX-INGRESOS-PAGOS'!$H$27*'10_CAPEX-INGRESOS-PAGOS'!$H$45</f>
        <v>0</v>
      </c>
      <c r="DM12" s="147">
        <f>DM$10*'10_CAPEX-INGRESOS-PAGOS'!$H$27*'10_CAPEX-INGRESOS-PAGOS'!$H$45</f>
        <v>0</v>
      </c>
      <c r="DN12" s="147">
        <f>DN$10*'10_CAPEX-INGRESOS-PAGOS'!$H$27*'10_CAPEX-INGRESOS-PAGOS'!$H$45</f>
        <v>0</v>
      </c>
      <c r="DO12" s="147">
        <f>DO$10*'10_CAPEX-INGRESOS-PAGOS'!$H$27*'10_CAPEX-INGRESOS-PAGOS'!$H$45</f>
        <v>0</v>
      </c>
      <c r="DP12" s="147">
        <f>DP$10*'10_CAPEX-INGRESOS-PAGOS'!$H$27*'10_CAPEX-INGRESOS-PAGOS'!$H$45</f>
        <v>0</v>
      </c>
      <c r="DQ12" s="147">
        <f>DQ$10*'10_CAPEX-INGRESOS-PAGOS'!$H$27*'10_CAPEX-INGRESOS-PAGOS'!$H$45</f>
        <v>0</v>
      </c>
      <c r="DR12" s="147">
        <f>DR$10*'10_CAPEX-INGRESOS-PAGOS'!$H$27*'10_CAPEX-INGRESOS-PAGOS'!$H$45</f>
        <v>0</v>
      </c>
      <c r="DS12" s="147">
        <f>DS$10*'10_CAPEX-INGRESOS-PAGOS'!$H$27*'10_CAPEX-INGRESOS-PAGOS'!$H$45</f>
        <v>0</v>
      </c>
      <c r="DT12" s="147">
        <f>DT$10*'10_CAPEX-INGRESOS-PAGOS'!$H$27*'10_CAPEX-INGRESOS-PAGOS'!$H$45</f>
        <v>0</v>
      </c>
      <c r="DU12" s="147">
        <f>DU$10*'10_CAPEX-INGRESOS-PAGOS'!$H$27*'10_CAPEX-INGRESOS-PAGOS'!$H$45</f>
        <v>0</v>
      </c>
      <c r="DV12" s="147">
        <f>DV$10*'10_CAPEX-INGRESOS-PAGOS'!$H$27*'10_CAPEX-INGRESOS-PAGOS'!$H$45</f>
        <v>0</v>
      </c>
      <c r="DW12" s="147">
        <f>DW$10*'10_CAPEX-INGRESOS-PAGOS'!$H$27*'10_CAPEX-INGRESOS-PAGOS'!$H$45</f>
        <v>0</v>
      </c>
      <c r="DX12" s="147">
        <f>DX$10*'10_CAPEX-INGRESOS-PAGOS'!$H$27*'10_CAPEX-INGRESOS-PAGOS'!$H$45</f>
        <v>0</v>
      </c>
      <c r="DY12" s="147">
        <f>DY$10*'10_CAPEX-INGRESOS-PAGOS'!$H$27*'10_CAPEX-INGRESOS-PAGOS'!$H$45</f>
        <v>0</v>
      </c>
      <c r="DZ12" s="147">
        <f>DZ$10*'10_CAPEX-INGRESOS-PAGOS'!$H$27*'10_CAPEX-INGRESOS-PAGOS'!$H$45</f>
        <v>0</v>
      </c>
      <c r="EA12" s="147">
        <f>EA$10*'10_CAPEX-INGRESOS-PAGOS'!$H$27*'10_CAPEX-INGRESOS-PAGOS'!$H$45</f>
        <v>0</v>
      </c>
      <c r="EB12" s="147">
        <f>EB$10*'10_CAPEX-INGRESOS-PAGOS'!$H$27*'10_CAPEX-INGRESOS-PAGOS'!$H$45</f>
        <v>0</v>
      </c>
      <c r="EC12" s="147">
        <f>EC$10*'10_CAPEX-INGRESOS-PAGOS'!$H$27*'10_CAPEX-INGRESOS-PAGOS'!$H$45</f>
        <v>0</v>
      </c>
      <c r="ED12" s="147">
        <f>ED$10*'10_CAPEX-INGRESOS-PAGOS'!$H$27*'10_CAPEX-INGRESOS-PAGOS'!$H$45</f>
        <v>0</v>
      </c>
      <c r="EE12" s="147">
        <f>EE$10*'10_CAPEX-INGRESOS-PAGOS'!$H$27*'10_CAPEX-INGRESOS-PAGOS'!$H$45</f>
        <v>0</v>
      </c>
      <c r="EF12" s="147">
        <f>EF$10*'10_CAPEX-INGRESOS-PAGOS'!$H$27*'10_CAPEX-INGRESOS-PAGOS'!$H$45</f>
        <v>0</v>
      </c>
      <c r="EG12" s="147">
        <f>EG$10*'10_CAPEX-INGRESOS-PAGOS'!$H$27*'10_CAPEX-INGRESOS-PAGOS'!$H$45</f>
        <v>0</v>
      </c>
      <c r="EH12" s="147">
        <f>EH$10*'10_CAPEX-INGRESOS-PAGOS'!$H$27*'10_CAPEX-INGRESOS-PAGOS'!$H$45</f>
        <v>0</v>
      </c>
      <c r="EI12" s="147">
        <f>EI$10*'10_CAPEX-INGRESOS-PAGOS'!$H$27*'10_CAPEX-INGRESOS-PAGOS'!$H$45</f>
        <v>0</v>
      </c>
      <c r="EJ12" s="147">
        <f>EJ$10*'10_CAPEX-INGRESOS-PAGOS'!$H$27*'10_CAPEX-INGRESOS-PAGOS'!$H$45</f>
        <v>0</v>
      </c>
      <c r="EK12" s="147">
        <f>EK$10*'10_CAPEX-INGRESOS-PAGOS'!$H$27*'10_CAPEX-INGRESOS-PAGOS'!$H$45</f>
        <v>0</v>
      </c>
      <c r="EL12" s="147">
        <f>EL$10*'10_CAPEX-INGRESOS-PAGOS'!$H$27*'10_CAPEX-INGRESOS-PAGOS'!$H$45</f>
        <v>0</v>
      </c>
      <c r="EM12" s="147">
        <f>EM$10*'10_CAPEX-INGRESOS-PAGOS'!$H$27*'10_CAPEX-INGRESOS-PAGOS'!$H$45</f>
        <v>0</v>
      </c>
      <c r="EN12" s="147">
        <f>EN$10*'10_CAPEX-INGRESOS-PAGOS'!$H$27*'10_CAPEX-INGRESOS-PAGOS'!$H$45</f>
        <v>0</v>
      </c>
      <c r="EO12" s="147">
        <f>EO$10*'10_CAPEX-INGRESOS-PAGOS'!$H$27*'10_CAPEX-INGRESOS-PAGOS'!$H$45</f>
        <v>0</v>
      </c>
      <c r="EP12" s="147">
        <f>EP$10*'10_CAPEX-INGRESOS-PAGOS'!$H$27*'10_CAPEX-INGRESOS-PAGOS'!$H$45</f>
        <v>0</v>
      </c>
      <c r="EQ12" s="147">
        <f>EQ$10*'10_CAPEX-INGRESOS-PAGOS'!$H$27*'10_CAPEX-INGRESOS-PAGOS'!$H$45</f>
        <v>0</v>
      </c>
      <c r="ER12" s="147">
        <f>ER$10*'10_CAPEX-INGRESOS-PAGOS'!$H$27*'10_CAPEX-INGRESOS-PAGOS'!$H$45</f>
        <v>0</v>
      </c>
      <c r="ES12" s="147">
        <f>ES$10*'10_CAPEX-INGRESOS-PAGOS'!$H$27*'10_CAPEX-INGRESOS-PAGOS'!$H$45</f>
        <v>0</v>
      </c>
      <c r="ET12" s="147">
        <f>ET$10*'10_CAPEX-INGRESOS-PAGOS'!$H$27*'10_CAPEX-INGRESOS-PAGOS'!$H$45</f>
        <v>0</v>
      </c>
      <c r="EU12" s="147">
        <f>EU$10*'10_CAPEX-INGRESOS-PAGOS'!$H$27*'10_CAPEX-INGRESOS-PAGOS'!$H$45</f>
        <v>0</v>
      </c>
      <c r="EV12" s="147">
        <f>EV$10*'10_CAPEX-INGRESOS-PAGOS'!$H$27*'10_CAPEX-INGRESOS-PAGOS'!$H$45</f>
        <v>0</v>
      </c>
      <c r="EW12" s="147">
        <f>EW$10*'10_CAPEX-INGRESOS-PAGOS'!$H$27*'10_CAPEX-INGRESOS-PAGOS'!$H$45</f>
        <v>0</v>
      </c>
      <c r="EX12" s="147">
        <f>EX$10*'10_CAPEX-INGRESOS-PAGOS'!$H$27*'10_CAPEX-INGRESOS-PAGOS'!$H$45</f>
        <v>0</v>
      </c>
      <c r="EY12" s="147">
        <f>EY$10*'10_CAPEX-INGRESOS-PAGOS'!$H$27*'10_CAPEX-INGRESOS-PAGOS'!$H$45</f>
        <v>0</v>
      </c>
      <c r="EZ12" s="147">
        <f>EZ$10*'10_CAPEX-INGRESOS-PAGOS'!$H$27*'10_CAPEX-INGRESOS-PAGOS'!$H$45</f>
        <v>0</v>
      </c>
      <c r="FA12" s="147">
        <f>FA$10*'10_CAPEX-INGRESOS-PAGOS'!$H$27*'10_CAPEX-INGRESOS-PAGOS'!$H$45</f>
        <v>0</v>
      </c>
      <c r="FB12" s="147">
        <f>FB$10*'10_CAPEX-INGRESOS-PAGOS'!$H$27*'10_CAPEX-INGRESOS-PAGOS'!$H$45</f>
        <v>0</v>
      </c>
      <c r="FC12" s="147">
        <f>FC$10*'10_CAPEX-INGRESOS-PAGOS'!$H$27*'10_CAPEX-INGRESOS-PAGOS'!$H$45</f>
        <v>0</v>
      </c>
      <c r="FD12" s="147">
        <f>FD$10*'10_CAPEX-INGRESOS-PAGOS'!$H$27*'10_CAPEX-INGRESOS-PAGOS'!$H$45</f>
        <v>0</v>
      </c>
      <c r="FE12" s="147">
        <f>FE$10*'10_CAPEX-INGRESOS-PAGOS'!$H$27*'10_CAPEX-INGRESOS-PAGOS'!$H$45</f>
        <v>0</v>
      </c>
      <c r="FF12" s="147">
        <f>FF$10*'10_CAPEX-INGRESOS-PAGOS'!$H$27*'10_CAPEX-INGRESOS-PAGOS'!$H$45</f>
        <v>0</v>
      </c>
      <c r="FG12" s="147">
        <f>FG$10*'10_CAPEX-INGRESOS-PAGOS'!$H$27*'10_CAPEX-INGRESOS-PAGOS'!$H$45</f>
        <v>0</v>
      </c>
      <c r="FH12" s="147">
        <f>FH$10*'10_CAPEX-INGRESOS-PAGOS'!$H$27*'10_CAPEX-INGRESOS-PAGOS'!$H$45</f>
        <v>0</v>
      </c>
      <c r="FI12" s="147">
        <f>FI$10*'10_CAPEX-INGRESOS-PAGOS'!$H$27*'10_CAPEX-INGRESOS-PAGOS'!$H$45</f>
        <v>0</v>
      </c>
      <c r="FJ12" s="147">
        <f>FJ$10*'10_CAPEX-INGRESOS-PAGOS'!$H$27*'10_CAPEX-INGRESOS-PAGOS'!$H$45</f>
        <v>0</v>
      </c>
      <c r="FK12" s="147">
        <f>FK$10*'10_CAPEX-INGRESOS-PAGOS'!$H$27*'10_CAPEX-INGRESOS-PAGOS'!$H$45</f>
        <v>0</v>
      </c>
      <c r="FL12" s="147">
        <f>FL$10*'10_CAPEX-INGRESOS-PAGOS'!$H$27*'10_CAPEX-INGRESOS-PAGOS'!$H$45</f>
        <v>0</v>
      </c>
      <c r="FM12" s="147">
        <f>FM$10*'10_CAPEX-INGRESOS-PAGOS'!$H$27*'10_CAPEX-INGRESOS-PAGOS'!$H$45</f>
        <v>0</v>
      </c>
      <c r="FN12" s="147">
        <f>FN$10*'10_CAPEX-INGRESOS-PAGOS'!$H$27*'10_CAPEX-INGRESOS-PAGOS'!$H$45</f>
        <v>0</v>
      </c>
      <c r="FO12" s="147">
        <f>FO$10*'10_CAPEX-INGRESOS-PAGOS'!$H$27*'10_CAPEX-INGRESOS-PAGOS'!$H$45</f>
        <v>0</v>
      </c>
      <c r="FP12" s="147">
        <f>FP$10*'10_CAPEX-INGRESOS-PAGOS'!$H$27*'10_CAPEX-INGRESOS-PAGOS'!$H$45</f>
        <v>0</v>
      </c>
      <c r="FQ12" s="147">
        <f>FQ$10*'10_CAPEX-INGRESOS-PAGOS'!$H$27*'10_CAPEX-INGRESOS-PAGOS'!$H$45</f>
        <v>0</v>
      </c>
      <c r="FR12" s="147">
        <f>FR$10*'10_CAPEX-INGRESOS-PAGOS'!$H$27*'10_CAPEX-INGRESOS-PAGOS'!$H$45</f>
        <v>0</v>
      </c>
      <c r="FS12" s="147">
        <f>FS$10*'10_CAPEX-INGRESOS-PAGOS'!$H$27*'10_CAPEX-INGRESOS-PAGOS'!$H$45</f>
        <v>0</v>
      </c>
      <c r="FT12" s="147">
        <f>FT$10*'10_CAPEX-INGRESOS-PAGOS'!$H$27*'10_CAPEX-INGRESOS-PAGOS'!$H$45</f>
        <v>0</v>
      </c>
      <c r="FU12" s="147">
        <f>FU$10*'10_CAPEX-INGRESOS-PAGOS'!$H$27*'10_CAPEX-INGRESOS-PAGOS'!$H$45</f>
        <v>0</v>
      </c>
      <c r="FV12" s="147">
        <f>FV$10*'10_CAPEX-INGRESOS-PAGOS'!$H$27*'10_CAPEX-INGRESOS-PAGOS'!$H$45</f>
        <v>0</v>
      </c>
      <c r="FW12" s="147">
        <f>FW$10*'10_CAPEX-INGRESOS-PAGOS'!$H$27*'10_CAPEX-INGRESOS-PAGOS'!$H$45</f>
        <v>0</v>
      </c>
      <c r="FX12" s="147">
        <f>FX$10*'10_CAPEX-INGRESOS-PAGOS'!$H$27*'10_CAPEX-INGRESOS-PAGOS'!$H$45</f>
        <v>0</v>
      </c>
      <c r="FY12" s="147">
        <f>FY$10*'10_CAPEX-INGRESOS-PAGOS'!$H$27*'10_CAPEX-INGRESOS-PAGOS'!$H$45</f>
        <v>0</v>
      </c>
      <c r="FZ12" s="147">
        <f>FZ$10*'10_CAPEX-INGRESOS-PAGOS'!$H$27*'10_CAPEX-INGRESOS-PAGOS'!$H$45</f>
        <v>0</v>
      </c>
    </row>
    <row r="13" spans="1:182" x14ac:dyDescent="0.25">
      <c r="A13" s="33" t="s">
        <v>267</v>
      </c>
      <c r="B13" s="147">
        <f>IF(B$3&gt;=2,INDEX($B$10:$FZ$10,1,MATCH(B$3-2,$B$3:$FZ$3,0))*'10_CAPEX-INGRESOS-PAGOS'!$H$27*'10_CAPEX-INGRESOS-PAGOS'!$H$46,0)</f>
        <v>0</v>
      </c>
      <c r="C13" s="147">
        <f>IF(C$3&gt;=2,INDEX($B$10:$FZ$10,1,MATCH(C$3-2,$B$3:$FZ$3,0))*'10_CAPEX-INGRESOS-PAGOS'!$H$27*'10_CAPEX-INGRESOS-PAGOS'!$H$46,0)</f>
        <v>0</v>
      </c>
      <c r="D13" s="147">
        <f>IF(D$3&gt;=2,INDEX($B$10:$FZ$10,1,MATCH(D$3-2,$B$3:$FZ$3,0))*'10_CAPEX-INGRESOS-PAGOS'!$H$27*'10_CAPEX-INGRESOS-PAGOS'!$H$46,0)</f>
        <v>0</v>
      </c>
      <c r="E13" s="147">
        <f>IF(E$3&gt;=2,INDEX($B$10:$FZ$10,1,MATCH(E$3-2,$B$3:$FZ$3,0))*'10_CAPEX-INGRESOS-PAGOS'!$H$27*'10_CAPEX-INGRESOS-PAGOS'!$H$46,0)</f>
        <v>0</v>
      </c>
      <c r="F13" s="147">
        <f>IF(F$3&gt;=2,INDEX($B$10:$FZ$10,1,MATCH(F$3-2,$B$3:$FZ$3,0))*'10_CAPEX-INGRESOS-PAGOS'!$H$27*'10_CAPEX-INGRESOS-PAGOS'!$H$46,0)</f>
        <v>0</v>
      </c>
      <c r="G13" s="147">
        <f>IF(G$3&gt;=2,INDEX($B$10:$FZ$10,1,MATCH(G$3-2,$B$3:$FZ$3,0))*'10_CAPEX-INGRESOS-PAGOS'!$H$27*'10_CAPEX-INGRESOS-PAGOS'!$H$46,0)</f>
        <v>0</v>
      </c>
      <c r="H13" s="147">
        <f>IF(H$3&gt;=2,INDEX($B$10:$FZ$10,1,MATCH(H$3-2,$B$3:$FZ$3,0))*'10_CAPEX-INGRESOS-PAGOS'!$H$27*'10_CAPEX-INGRESOS-PAGOS'!$H$46,0)</f>
        <v>0</v>
      </c>
      <c r="I13" s="147">
        <f>IF(I$3&gt;=2,INDEX($B$10:$FZ$10,1,MATCH(I$3-2,$B$3:$FZ$3,0))*'10_CAPEX-INGRESOS-PAGOS'!$H$27*'10_CAPEX-INGRESOS-PAGOS'!$H$46,0)</f>
        <v>0</v>
      </c>
      <c r="J13" s="147">
        <f>IF(J$3&gt;=2,INDEX($B$10:$FZ$10,1,MATCH(J$3-2,$B$3:$FZ$3,0))*'10_CAPEX-INGRESOS-PAGOS'!$H$27*'10_CAPEX-INGRESOS-PAGOS'!$H$46,0)</f>
        <v>0</v>
      </c>
      <c r="K13" s="147">
        <f>IF(K$3&gt;=2,INDEX($B$10:$FZ$10,1,MATCH(K$3-2,$B$3:$FZ$3,0))*'10_CAPEX-INGRESOS-PAGOS'!$H$27*'10_CAPEX-INGRESOS-PAGOS'!$H$46,0)</f>
        <v>0</v>
      </c>
      <c r="L13" s="147">
        <f>IF(L$3&gt;=2,INDEX($B$10:$FZ$10,1,MATCH(L$3-2,$B$3:$FZ$3,0))*'10_CAPEX-INGRESOS-PAGOS'!$H$27*'10_CAPEX-INGRESOS-PAGOS'!$H$46,0)</f>
        <v>0</v>
      </c>
      <c r="M13" s="147">
        <f>IF(M$3&gt;=2,INDEX($B$10:$FZ$10,1,MATCH(M$3-2,$B$3:$FZ$3,0))*'10_CAPEX-INGRESOS-PAGOS'!$H$27*'10_CAPEX-INGRESOS-PAGOS'!$H$46,0)</f>
        <v>0</v>
      </c>
      <c r="N13" s="147">
        <f>IF(N$3&gt;=2,INDEX($B$10:$FZ$10,1,MATCH(N$3-2,$B$3:$FZ$3,0))*'10_CAPEX-INGRESOS-PAGOS'!$H$27*'10_CAPEX-INGRESOS-PAGOS'!$H$46,0)</f>
        <v>0</v>
      </c>
      <c r="O13" s="147">
        <f>IF(O$3&gt;=2,INDEX($B$10:$FZ$10,1,MATCH(O$3-2,$B$3:$FZ$3,0))*'10_CAPEX-INGRESOS-PAGOS'!$H$27*'10_CAPEX-INGRESOS-PAGOS'!$H$46,0)</f>
        <v>0</v>
      </c>
      <c r="P13" s="147">
        <f>IF(P$3&gt;=2,INDEX($B$10:$FZ$10,1,MATCH(P$3-2,$B$3:$FZ$3,0))*'10_CAPEX-INGRESOS-PAGOS'!$H$27*'10_CAPEX-INGRESOS-PAGOS'!$H$46,0)</f>
        <v>0</v>
      </c>
      <c r="Q13" s="147">
        <f>IF(Q$3&gt;=2,INDEX($B$10:$FZ$10,1,MATCH(Q$3-2,$B$3:$FZ$3,0))*'10_CAPEX-INGRESOS-PAGOS'!$H$27*'10_CAPEX-INGRESOS-PAGOS'!$H$46,0)</f>
        <v>0</v>
      </c>
      <c r="R13" s="147">
        <f>IF(R$3&gt;=2,INDEX($B$10:$FZ$10,1,MATCH(R$3-2,$B$3:$FZ$3,0))*'10_CAPEX-INGRESOS-PAGOS'!$H$27*'10_CAPEX-INGRESOS-PAGOS'!$H$46,0)</f>
        <v>0</v>
      </c>
      <c r="S13" s="147">
        <f>IF(S$3&gt;=2,INDEX($B$10:$FZ$10,1,MATCH(S$3-2,$B$3:$FZ$3,0))*'10_CAPEX-INGRESOS-PAGOS'!$H$27*'10_CAPEX-INGRESOS-PAGOS'!$H$46,0)</f>
        <v>0</v>
      </c>
      <c r="T13" s="147">
        <f>IF(T$3&gt;=2,INDEX($B$10:$FZ$10,1,MATCH(T$3-2,$B$3:$FZ$3,0))*'10_CAPEX-INGRESOS-PAGOS'!$H$27*'10_CAPEX-INGRESOS-PAGOS'!$H$46,0)</f>
        <v>0</v>
      </c>
      <c r="U13" s="147">
        <f>IF(U$3&gt;=2,INDEX($B$10:$FZ$10,1,MATCH(U$3-2,$B$3:$FZ$3,0))*'10_CAPEX-INGRESOS-PAGOS'!$H$27*'10_CAPEX-INGRESOS-PAGOS'!$H$46,0)</f>
        <v>0</v>
      </c>
      <c r="V13" s="147">
        <f>IF(V$3&gt;=2,INDEX($B$10:$FZ$10,1,MATCH(V$3-2,$B$3:$FZ$3,0))*'10_CAPEX-INGRESOS-PAGOS'!$H$27*'10_CAPEX-INGRESOS-PAGOS'!$H$46,0)</f>
        <v>0</v>
      </c>
      <c r="W13" s="147">
        <f>IF(W$3&gt;=2,INDEX($B$10:$FZ$10,1,MATCH(W$3-2,$B$3:$FZ$3,0))*'10_CAPEX-INGRESOS-PAGOS'!$H$27*'10_CAPEX-INGRESOS-PAGOS'!$H$46,0)</f>
        <v>0</v>
      </c>
      <c r="X13" s="147">
        <f>IF(X$3&gt;=2,INDEX($B$10:$FZ$10,1,MATCH(X$3-2,$B$3:$FZ$3,0))*'10_CAPEX-INGRESOS-PAGOS'!$H$27*'10_CAPEX-INGRESOS-PAGOS'!$H$46,0)</f>
        <v>0</v>
      </c>
      <c r="Y13" s="147">
        <f>IF(Y$3&gt;=2,INDEX($B$10:$FZ$10,1,MATCH(Y$3-2,$B$3:$FZ$3,0))*'10_CAPEX-INGRESOS-PAGOS'!$H$27*'10_CAPEX-INGRESOS-PAGOS'!$H$46,0)</f>
        <v>0</v>
      </c>
      <c r="Z13" s="147">
        <f>IF(Z$3&gt;=2,INDEX($B$10:$FZ$10,1,MATCH(Z$3-2,$B$3:$FZ$3,0))*'10_CAPEX-INGRESOS-PAGOS'!$H$27*'10_CAPEX-INGRESOS-PAGOS'!$H$46,0)</f>
        <v>0</v>
      </c>
      <c r="AA13" s="147">
        <f>IF(AA$3&gt;=2,INDEX($B$10:$FZ$10,1,MATCH(AA$3-2,$B$3:$FZ$3,0))*'10_CAPEX-INGRESOS-PAGOS'!$H$27*'10_CAPEX-INGRESOS-PAGOS'!$H$46,0)</f>
        <v>89375</v>
      </c>
      <c r="AB13" s="147">
        <f>IF(AB$3&gt;=2,INDEX($B$10:$FZ$10,1,MATCH(AB$3-2,$B$3:$FZ$3,0))*'10_CAPEX-INGRESOS-PAGOS'!$H$27*'10_CAPEX-INGRESOS-PAGOS'!$H$46,0)</f>
        <v>89375</v>
      </c>
      <c r="AC13" s="147">
        <f>IF(AC$3&gt;=2,INDEX($B$10:$FZ$10,1,MATCH(AC$3-2,$B$3:$FZ$3,0))*'10_CAPEX-INGRESOS-PAGOS'!$H$27*'10_CAPEX-INGRESOS-PAGOS'!$H$46,0)</f>
        <v>89375</v>
      </c>
      <c r="AD13" s="147">
        <f>IF(AD$3&gt;=2,INDEX($B$10:$FZ$10,1,MATCH(AD$3-2,$B$3:$FZ$3,0))*'10_CAPEX-INGRESOS-PAGOS'!$H$27*'10_CAPEX-INGRESOS-PAGOS'!$H$46,0)</f>
        <v>89375</v>
      </c>
      <c r="AE13" s="147">
        <f>IF(AE$3&gt;=2,INDEX($B$10:$FZ$10,1,MATCH(AE$3-2,$B$3:$FZ$3,0))*'10_CAPEX-INGRESOS-PAGOS'!$H$27*'10_CAPEX-INGRESOS-PAGOS'!$H$46,0)</f>
        <v>89375</v>
      </c>
      <c r="AF13" s="147">
        <f>IF(AF$3&gt;=2,INDEX($B$10:$FZ$10,1,MATCH(AF$3-2,$B$3:$FZ$3,0))*'10_CAPEX-INGRESOS-PAGOS'!$H$27*'10_CAPEX-INGRESOS-PAGOS'!$H$46,0)</f>
        <v>89375</v>
      </c>
      <c r="AG13" s="147">
        <f>IF(AG$3&gt;=2,INDEX($B$10:$FZ$10,1,MATCH(AG$3-2,$B$3:$FZ$3,0))*'10_CAPEX-INGRESOS-PAGOS'!$H$27*'10_CAPEX-INGRESOS-PAGOS'!$H$46,0)</f>
        <v>89375</v>
      </c>
      <c r="AH13" s="147">
        <f>IF(AH$3&gt;=2,INDEX($B$10:$FZ$10,1,MATCH(AH$3-2,$B$3:$FZ$3,0))*'10_CAPEX-INGRESOS-PAGOS'!$H$27*'10_CAPEX-INGRESOS-PAGOS'!$H$46,0)</f>
        <v>89375</v>
      </c>
      <c r="AI13" s="147">
        <f>IF(AI$3&gt;=2,INDEX($B$10:$FZ$10,1,MATCH(AI$3-2,$B$3:$FZ$3,0))*'10_CAPEX-INGRESOS-PAGOS'!$H$27*'10_CAPEX-INGRESOS-PAGOS'!$H$46,0)</f>
        <v>89375</v>
      </c>
      <c r="AJ13" s="147">
        <f>IF(AJ$3&gt;=2,INDEX($B$10:$FZ$10,1,MATCH(AJ$3-2,$B$3:$FZ$3,0))*'10_CAPEX-INGRESOS-PAGOS'!$H$27*'10_CAPEX-INGRESOS-PAGOS'!$H$46,0)</f>
        <v>89375</v>
      </c>
      <c r="AK13" s="147">
        <f>IF(AK$3&gt;=2,INDEX($B$10:$FZ$10,1,MATCH(AK$3-2,$B$3:$FZ$3,0))*'10_CAPEX-INGRESOS-PAGOS'!$H$27*'10_CAPEX-INGRESOS-PAGOS'!$H$46,0)</f>
        <v>35750</v>
      </c>
      <c r="AL13" s="147">
        <f>IF(AL$3&gt;=2,INDEX($B$10:$FZ$10,1,MATCH(AL$3-2,$B$3:$FZ$3,0))*'10_CAPEX-INGRESOS-PAGOS'!$H$27*'10_CAPEX-INGRESOS-PAGOS'!$H$46,0)</f>
        <v>0</v>
      </c>
      <c r="AM13" s="147">
        <f>IF(AM$3&gt;=2,INDEX($B$10:$FZ$10,1,MATCH(AM$3-2,$B$3:$FZ$3,0))*'10_CAPEX-INGRESOS-PAGOS'!$H$27*'10_CAPEX-INGRESOS-PAGOS'!$H$46,0)</f>
        <v>0</v>
      </c>
      <c r="AN13" s="147">
        <f>IF(AN$3&gt;=2,INDEX($B$10:$FZ$10,1,MATCH(AN$3-2,$B$3:$FZ$3,0))*'10_CAPEX-INGRESOS-PAGOS'!$H$27*'10_CAPEX-INGRESOS-PAGOS'!$H$46,0)</f>
        <v>0</v>
      </c>
      <c r="AO13" s="147">
        <f>IF(AO$3&gt;=2,INDEX($B$10:$FZ$10,1,MATCH(AO$3-2,$B$3:$FZ$3,0))*'10_CAPEX-INGRESOS-PAGOS'!$H$27*'10_CAPEX-INGRESOS-PAGOS'!$H$46,0)</f>
        <v>0</v>
      </c>
      <c r="AP13" s="147">
        <f>IF(AP$3&gt;=2,INDEX($B$10:$FZ$10,1,MATCH(AP$3-2,$B$3:$FZ$3,0))*'10_CAPEX-INGRESOS-PAGOS'!$H$27*'10_CAPEX-INGRESOS-PAGOS'!$H$46,0)</f>
        <v>0</v>
      </c>
      <c r="AQ13" s="147">
        <f>IF(AQ$3&gt;=2,INDEX($B$10:$FZ$10,1,MATCH(AQ$3-2,$B$3:$FZ$3,0))*'10_CAPEX-INGRESOS-PAGOS'!$H$27*'10_CAPEX-INGRESOS-PAGOS'!$H$46,0)</f>
        <v>0</v>
      </c>
      <c r="AR13" s="147">
        <f>IF(AR$3&gt;=2,INDEX($B$10:$FZ$10,1,MATCH(AR$3-2,$B$3:$FZ$3,0))*'10_CAPEX-INGRESOS-PAGOS'!$H$27*'10_CAPEX-INGRESOS-PAGOS'!$H$46,0)</f>
        <v>0</v>
      </c>
      <c r="AS13" s="147">
        <f>IF(AS$3&gt;=2,INDEX($B$10:$FZ$10,1,MATCH(AS$3-2,$B$3:$FZ$3,0))*'10_CAPEX-INGRESOS-PAGOS'!$H$27*'10_CAPEX-INGRESOS-PAGOS'!$H$46,0)</f>
        <v>0</v>
      </c>
      <c r="AT13" s="147">
        <f>IF(AT$3&gt;=2,INDEX($B$10:$FZ$10,1,MATCH(AT$3-2,$B$3:$FZ$3,0))*'10_CAPEX-INGRESOS-PAGOS'!$H$27*'10_CAPEX-INGRESOS-PAGOS'!$H$46,0)</f>
        <v>0</v>
      </c>
      <c r="AU13" s="147">
        <f>IF(AU$3&gt;=2,INDEX($B$10:$FZ$10,1,MATCH(AU$3-2,$B$3:$FZ$3,0))*'10_CAPEX-INGRESOS-PAGOS'!$H$27*'10_CAPEX-INGRESOS-PAGOS'!$H$46,0)</f>
        <v>0</v>
      </c>
      <c r="AV13" s="147">
        <f>IF(AV$3&gt;=2,INDEX($B$10:$FZ$10,1,MATCH(AV$3-2,$B$3:$FZ$3,0))*'10_CAPEX-INGRESOS-PAGOS'!$H$27*'10_CAPEX-INGRESOS-PAGOS'!$H$46,0)</f>
        <v>0</v>
      </c>
      <c r="AW13" s="147">
        <f>IF(AW$3&gt;=2,INDEX($B$10:$FZ$10,1,MATCH(AW$3-2,$B$3:$FZ$3,0))*'10_CAPEX-INGRESOS-PAGOS'!$H$27*'10_CAPEX-INGRESOS-PAGOS'!$H$46,0)</f>
        <v>0</v>
      </c>
      <c r="AX13" s="147">
        <f>IF(AX$3&gt;=2,INDEX($B$10:$FZ$10,1,MATCH(AX$3-2,$B$3:$FZ$3,0))*'10_CAPEX-INGRESOS-PAGOS'!$H$27*'10_CAPEX-INGRESOS-PAGOS'!$H$46,0)</f>
        <v>0</v>
      </c>
      <c r="AY13" s="147">
        <f>IF(AY$3&gt;=2,INDEX($B$10:$FZ$10,1,MATCH(AY$3-2,$B$3:$FZ$3,0))*'10_CAPEX-INGRESOS-PAGOS'!$H$27*'10_CAPEX-INGRESOS-PAGOS'!$H$46,0)</f>
        <v>0</v>
      </c>
      <c r="AZ13" s="147">
        <f>IF(AZ$3&gt;=2,INDEX($B$10:$FZ$10,1,MATCH(AZ$3-2,$B$3:$FZ$3,0))*'10_CAPEX-INGRESOS-PAGOS'!$H$27*'10_CAPEX-INGRESOS-PAGOS'!$H$46,0)</f>
        <v>0</v>
      </c>
      <c r="BA13" s="147">
        <f>IF(BA$3&gt;=2,INDEX($B$10:$FZ$10,1,MATCH(BA$3-2,$B$3:$FZ$3,0))*'10_CAPEX-INGRESOS-PAGOS'!$H$27*'10_CAPEX-INGRESOS-PAGOS'!$H$46,0)</f>
        <v>0</v>
      </c>
      <c r="BB13" s="147">
        <f>IF(BB$3&gt;=2,INDEX($B$10:$FZ$10,1,MATCH(BB$3-2,$B$3:$FZ$3,0))*'10_CAPEX-INGRESOS-PAGOS'!$H$27*'10_CAPEX-INGRESOS-PAGOS'!$H$46,0)</f>
        <v>0</v>
      </c>
      <c r="BC13" s="147">
        <f>IF(BC$3&gt;=2,INDEX($B$10:$FZ$10,1,MATCH(BC$3-2,$B$3:$FZ$3,0))*'10_CAPEX-INGRESOS-PAGOS'!$H$27*'10_CAPEX-INGRESOS-PAGOS'!$H$46,0)</f>
        <v>0</v>
      </c>
      <c r="BD13" s="147">
        <f>IF(BD$3&gt;=2,INDEX($B$10:$FZ$10,1,MATCH(BD$3-2,$B$3:$FZ$3,0))*'10_CAPEX-INGRESOS-PAGOS'!$H$27*'10_CAPEX-INGRESOS-PAGOS'!$H$46,0)</f>
        <v>0</v>
      </c>
      <c r="BE13" s="147">
        <f>IF(BE$3&gt;=2,INDEX($B$10:$FZ$10,1,MATCH(BE$3-2,$B$3:$FZ$3,0))*'10_CAPEX-INGRESOS-PAGOS'!$H$27*'10_CAPEX-INGRESOS-PAGOS'!$H$46,0)</f>
        <v>0</v>
      </c>
      <c r="BF13" s="147">
        <f>IF(BF$3&gt;=2,INDEX($B$10:$FZ$10,1,MATCH(BF$3-2,$B$3:$FZ$3,0))*'10_CAPEX-INGRESOS-PAGOS'!$H$27*'10_CAPEX-INGRESOS-PAGOS'!$H$46,0)</f>
        <v>0</v>
      </c>
      <c r="BG13" s="147">
        <f>IF(BG$3&gt;=2,INDEX($B$10:$FZ$10,1,MATCH(BG$3-2,$B$3:$FZ$3,0))*'10_CAPEX-INGRESOS-PAGOS'!$H$27*'10_CAPEX-INGRESOS-PAGOS'!$H$46,0)</f>
        <v>0</v>
      </c>
      <c r="BH13" s="147">
        <f>IF(BH$3&gt;=2,INDEX($B$10:$FZ$10,1,MATCH(BH$3-2,$B$3:$FZ$3,0))*'10_CAPEX-INGRESOS-PAGOS'!$H$27*'10_CAPEX-INGRESOS-PAGOS'!$H$46,0)</f>
        <v>0</v>
      </c>
      <c r="BI13" s="147">
        <f>IF(BI$3&gt;=2,INDEX($B$10:$FZ$10,1,MATCH(BI$3-2,$B$3:$FZ$3,0))*'10_CAPEX-INGRESOS-PAGOS'!$H$27*'10_CAPEX-INGRESOS-PAGOS'!$H$46,0)</f>
        <v>0</v>
      </c>
      <c r="BJ13" s="147">
        <f>IF(BJ$3&gt;=2,INDEX($B$10:$FZ$10,1,MATCH(BJ$3-2,$B$3:$FZ$3,0))*'10_CAPEX-INGRESOS-PAGOS'!$H$27*'10_CAPEX-INGRESOS-PAGOS'!$H$46,0)</f>
        <v>0</v>
      </c>
      <c r="BK13" s="147">
        <f>IF(BK$3&gt;=2,INDEX($B$10:$FZ$10,1,MATCH(BK$3-2,$B$3:$FZ$3,0))*'10_CAPEX-INGRESOS-PAGOS'!$H$27*'10_CAPEX-INGRESOS-PAGOS'!$H$46,0)</f>
        <v>0</v>
      </c>
      <c r="BL13" s="147">
        <f>IF(BL$3&gt;=2,INDEX($B$10:$FZ$10,1,MATCH(BL$3-2,$B$3:$FZ$3,0))*'10_CAPEX-INGRESOS-PAGOS'!$H$27*'10_CAPEX-INGRESOS-PAGOS'!$H$46,0)</f>
        <v>0</v>
      </c>
      <c r="BM13" s="147">
        <f>IF(BM$3&gt;=2,INDEX($B$10:$FZ$10,1,MATCH(BM$3-2,$B$3:$FZ$3,0))*'10_CAPEX-INGRESOS-PAGOS'!$H$27*'10_CAPEX-INGRESOS-PAGOS'!$H$46,0)</f>
        <v>0</v>
      </c>
      <c r="BN13" s="147">
        <f>IF(BN$3&gt;=2,INDEX($B$10:$FZ$10,1,MATCH(BN$3-2,$B$3:$FZ$3,0))*'10_CAPEX-INGRESOS-PAGOS'!$H$27*'10_CAPEX-INGRESOS-PAGOS'!$H$46,0)</f>
        <v>0</v>
      </c>
      <c r="BO13" s="147">
        <f>IF(BO$3&gt;=2,INDEX($B$10:$FZ$10,1,MATCH(BO$3-2,$B$3:$FZ$3,0))*'10_CAPEX-INGRESOS-PAGOS'!$H$27*'10_CAPEX-INGRESOS-PAGOS'!$H$46,0)</f>
        <v>0</v>
      </c>
      <c r="BP13" s="147">
        <f>IF(BP$3&gt;=2,INDEX($B$10:$FZ$10,1,MATCH(BP$3-2,$B$3:$FZ$3,0))*'10_CAPEX-INGRESOS-PAGOS'!$H$27*'10_CAPEX-INGRESOS-PAGOS'!$H$46,0)</f>
        <v>0</v>
      </c>
      <c r="BQ13" s="147">
        <f>IF(BQ$3&gt;=2,INDEX($B$10:$FZ$10,1,MATCH(BQ$3-2,$B$3:$FZ$3,0))*'10_CAPEX-INGRESOS-PAGOS'!$H$27*'10_CAPEX-INGRESOS-PAGOS'!$H$46,0)</f>
        <v>0</v>
      </c>
      <c r="BR13" s="147">
        <f>IF(BR$3&gt;=2,INDEX($B$10:$FZ$10,1,MATCH(BR$3-2,$B$3:$FZ$3,0))*'10_CAPEX-INGRESOS-PAGOS'!$H$27*'10_CAPEX-INGRESOS-PAGOS'!$H$46,0)</f>
        <v>0</v>
      </c>
      <c r="BS13" s="147">
        <f>IF(BS$3&gt;=2,INDEX($B$10:$FZ$10,1,MATCH(BS$3-2,$B$3:$FZ$3,0))*'10_CAPEX-INGRESOS-PAGOS'!$H$27*'10_CAPEX-INGRESOS-PAGOS'!$H$46,0)</f>
        <v>0</v>
      </c>
      <c r="BT13" s="147">
        <f>IF(BT$3&gt;=2,INDEX($B$10:$FZ$10,1,MATCH(BT$3-2,$B$3:$FZ$3,0))*'10_CAPEX-INGRESOS-PAGOS'!$H$27*'10_CAPEX-INGRESOS-PAGOS'!$H$46,0)</f>
        <v>0</v>
      </c>
      <c r="BU13" s="147">
        <f>IF(BU$3&gt;=2,INDEX($B$10:$FZ$10,1,MATCH(BU$3-2,$B$3:$FZ$3,0))*'10_CAPEX-INGRESOS-PAGOS'!$H$27*'10_CAPEX-INGRESOS-PAGOS'!$H$46,0)</f>
        <v>0</v>
      </c>
      <c r="BV13" s="147">
        <f>IF(BV$3&gt;=2,INDEX($B$10:$FZ$10,1,MATCH(BV$3-2,$B$3:$FZ$3,0))*'10_CAPEX-INGRESOS-PAGOS'!$H$27*'10_CAPEX-INGRESOS-PAGOS'!$H$46,0)</f>
        <v>0</v>
      </c>
      <c r="BW13" s="147">
        <f>IF(BW$3&gt;=2,INDEX($B$10:$FZ$10,1,MATCH(BW$3-2,$B$3:$FZ$3,0))*'10_CAPEX-INGRESOS-PAGOS'!$H$27*'10_CAPEX-INGRESOS-PAGOS'!$H$46,0)</f>
        <v>0</v>
      </c>
      <c r="BX13" s="147">
        <f>IF(BX$3&gt;=2,INDEX($B$10:$FZ$10,1,MATCH(BX$3-2,$B$3:$FZ$3,0))*'10_CAPEX-INGRESOS-PAGOS'!$H$27*'10_CAPEX-INGRESOS-PAGOS'!$H$46,0)</f>
        <v>0</v>
      </c>
      <c r="BY13" s="147">
        <f>IF(BY$3&gt;=2,INDEX($B$10:$FZ$10,1,MATCH(BY$3-2,$B$3:$FZ$3,0))*'10_CAPEX-INGRESOS-PAGOS'!$H$27*'10_CAPEX-INGRESOS-PAGOS'!$H$46,0)</f>
        <v>0</v>
      </c>
      <c r="BZ13" s="147">
        <f>IF(BZ$3&gt;=2,INDEX($B$10:$FZ$10,1,MATCH(BZ$3-2,$B$3:$FZ$3,0))*'10_CAPEX-INGRESOS-PAGOS'!$H$27*'10_CAPEX-INGRESOS-PAGOS'!$H$46,0)</f>
        <v>0</v>
      </c>
      <c r="CA13" s="147">
        <f>IF(CA$3&gt;=2,INDEX($B$10:$FZ$10,1,MATCH(CA$3-2,$B$3:$FZ$3,0))*'10_CAPEX-INGRESOS-PAGOS'!$H$27*'10_CAPEX-INGRESOS-PAGOS'!$H$46,0)</f>
        <v>0</v>
      </c>
      <c r="CB13" s="147">
        <f>IF(CB$3&gt;=2,INDEX($B$10:$FZ$10,1,MATCH(CB$3-2,$B$3:$FZ$3,0))*'10_CAPEX-INGRESOS-PAGOS'!$H$27*'10_CAPEX-INGRESOS-PAGOS'!$H$46,0)</f>
        <v>0</v>
      </c>
      <c r="CC13" s="147">
        <f>IF(CC$3&gt;=2,INDEX($B$10:$FZ$10,1,MATCH(CC$3-2,$B$3:$FZ$3,0))*'10_CAPEX-INGRESOS-PAGOS'!$H$27*'10_CAPEX-INGRESOS-PAGOS'!$H$46,0)</f>
        <v>0</v>
      </c>
      <c r="CD13" s="147">
        <f>IF(CD$3&gt;=2,INDEX($B$10:$FZ$10,1,MATCH(CD$3-2,$B$3:$FZ$3,0))*'10_CAPEX-INGRESOS-PAGOS'!$H$27*'10_CAPEX-INGRESOS-PAGOS'!$H$46,0)</f>
        <v>0</v>
      </c>
      <c r="CE13" s="147">
        <f>IF(CE$3&gt;=2,INDEX($B$10:$FZ$10,1,MATCH(CE$3-2,$B$3:$FZ$3,0))*'10_CAPEX-INGRESOS-PAGOS'!$H$27*'10_CAPEX-INGRESOS-PAGOS'!$H$46,0)</f>
        <v>0</v>
      </c>
      <c r="CF13" s="147">
        <f>IF(CF$3&gt;=2,INDEX($B$10:$FZ$10,1,MATCH(CF$3-2,$B$3:$FZ$3,0))*'10_CAPEX-INGRESOS-PAGOS'!$H$27*'10_CAPEX-INGRESOS-PAGOS'!$H$46,0)</f>
        <v>0</v>
      </c>
      <c r="CG13" s="147">
        <f>IF(CG$3&gt;=2,INDEX($B$10:$FZ$10,1,MATCH(CG$3-2,$B$3:$FZ$3,0))*'10_CAPEX-INGRESOS-PAGOS'!$H$27*'10_CAPEX-INGRESOS-PAGOS'!$H$46,0)</f>
        <v>0</v>
      </c>
      <c r="CH13" s="147">
        <f>IF(CH$3&gt;=2,INDEX($B$10:$FZ$10,1,MATCH(CH$3-2,$B$3:$FZ$3,0))*'10_CAPEX-INGRESOS-PAGOS'!$H$27*'10_CAPEX-INGRESOS-PAGOS'!$H$46,0)</f>
        <v>0</v>
      </c>
      <c r="CI13" s="147">
        <f>IF(CI$3&gt;=2,INDEX($B$10:$FZ$10,1,MATCH(CI$3-2,$B$3:$FZ$3,0))*'10_CAPEX-INGRESOS-PAGOS'!$H$27*'10_CAPEX-INGRESOS-PAGOS'!$H$46,0)</f>
        <v>0</v>
      </c>
      <c r="CJ13" s="147">
        <f>IF(CJ$3&gt;=2,INDEX($B$10:$FZ$10,1,MATCH(CJ$3-2,$B$3:$FZ$3,0))*'10_CAPEX-INGRESOS-PAGOS'!$H$27*'10_CAPEX-INGRESOS-PAGOS'!$H$46,0)</f>
        <v>0</v>
      </c>
      <c r="CK13" s="147">
        <f>IF(CK$3&gt;=2,INDEX($B$10:$FZ$10,1,MATCH(CK$3-2,$B$3:$FZ$3,0))*'10_CAPEX-INGRESOS-PAGOS'!$H$27*'10_CAPEX-INGRESOS-PAGOS'!$H$46,0)</f>
        <v>0</v>
      </c>
      <c r="CL13" s="147">
        <f>IF(CL$3&gt;=2,INDEX($B$10:$FZ$10,1,MATCH(CL$3-2,$B$3:$FZ$3,0))*'10_CAPEX-INGRESOS-PAGOS'!$H$27*'10_CAPEX-INGRESOS-PAGOS'!$H$46,0)</f>
        <v>0</v>
      </c>
      <c r="CM13" s="147">
        <f>IF(CM$3&gt;=2,INDEX($B$10:$FZ$10,1,MATCH(CM$3-2,$B$3:$FZ$3,0))*'10_CAPEX-INGRESOS-PAGOS'!$H$27*'10_CAPEX-INGRESOS-PAGOS'!$H$46,0)</f>
        <v>0</v>
      </c>
      <c r="CN13" s="147">
        <f>IF(CN$3&gt;=2,INDEX($B$10:$FZ$10,1,MATCH(CN$3-2,$B$3:$FZ$3,0))*'10_CAPEX-INGRESOS-PAGOS'!$H$27*'10_CAPEX-INGRESOS-PAGOS'!$H$46,0)</f>
        <v>0</v>
      </c>
      <c r="CO13" s="147">
        <f>IF(CO$3&gt;=2,INDEX($B$10:$FZ$10,1,MATCH(CO$3-2,$B$3:$FZ$3,0))*'10_CAPEX-INGRESOS-PAGOS'!$H$27*'10_CAPEX-INGRESOS-PAGOS'!$H$46,0)</f>
        <v>0</v>
      </c>
      <c r="CP13" s="147">
        <f>IF(CP$3&gt;=2,INDEX($B$10:$FZ$10,1,MATCH(CP$3-2,$B$3:$FZ$3,0))*'10_CAPEX-INGRESOS-PAGOS'!$H$27*'10_CAPEX-INGRESOS-PAGOS'!$H$46,0)</f>
        <v>0</v>
      </c>
      <c r="CQ13" s="147">
        <f>IF(CQ$3&gt;=2,INDEX($B$10:$FZ$10,1,MATCH(CQ$3-2,$B$3:$FZ$3,0))*'10_CAPEX-INGRESOS-PAGOS'!$H$27*'10_CAPEX-INGRESOS-PAGOS'!$H$46,0)</f>
        <v>0</v>
      </c>
      <c r="CR13" s="147">
        <f>IF(CR$3&gt;=2,INDEX($B$10:$FZ$10,1,MATCH(CR$3-2,$B$3:$FZ$3,0))*'10_CAPEX-INGRESOS-PAGOS'!$H$27*'10_CAPEX-INGRESOS-PAGOS'!$H$46,0)</f>
        <v>0</v>
      </c>
      <c r="CS13" s="147">
        <f>IF(CS$3&gt;=2,INDEX($B$10:$FZ$10,1,MATCH(CS$3-2,$B$3:$FZ$3,0))*'10_CAPEX-INGRESOS-PAGOS'!$H$27*'10_CAPEX-INGRESOS-PAGOS'!$H$46,0)</f>
        <v>0</v>
      </c>
      <c r="CT13" s="147">
        <f>IF(CT$3&gt;=2,INDEX($B$10:$FZ$10,1,MATCH(CT$3-2,$B$3:$FZ$3,0))*'10_CAPEX-INGRESOS-PAGOS'!$H$27*'10_CAPEX-INGRESOS-PAGOS'!$H$46,0)</f>
        <v>0</v>
      </c>
      <c r="CU13" s="147">
        <f>IF(CU$3&gt;=2,INDEX($B$10:$FZ$10,1,MATCH(CU$3-2,$B$3:$FZ$3,0))*'10_CAPEX-INGRESOS-PAGOS'!$H$27*'10_CAPEX-INGRESOS-PAGOS'!$H$46,0)</f>
        <v>0</v>
      </c>
      <c r="CV13" s="147">
        <f>IF(CV$3&gt;=2,INDEX($B$10:$FZ$10,1,MATCH(CV$3-2,$B$3:$FZ$3,0))*'10_CAPEX-INGRESOS-PAGOS'!$H$27*'10_CAPEX-INGRESOS-PAGOS'!$H$46,0)</f>
        <v>0</v>
      </c>
      <c r="CW13" s="147">
        <f>IF(CW$3&gt;=2,INDEX($B$10:$FZ$10,1,MATCH(CW$3-2,$B$3:$FZ$3,0))*'10_CAPEX-INGRESOS-PAGOS'!$H$27*'10_CAPEX-INGRESOS-PAGOS'!$H$46,0)</f>
        <v>0</v>
      </c>
      <c r="CX13" s="147">
        <f>IF(CX$3&gt;=2,INDEX($B$10:$FZ$10,1,MATCH(CX$3-2,$B$3:$FZ$3,0))*'10_CAPEX-INGRESOS-PAGOS'!$H$27*'10_CAPEX-INGRESOS-PAGOS'!$H$46,0)</f>
        <v>0</v>
      </c>
      <c r="CY13" s="147">
        <f>IF(CY$3&gt;=2,INDEX($B$10:$FZ$10,1,MATCH(CY$3-2,$B$3:$FZ$3,0))*'10_CAPEX-INGRESOS-PAGOS'!$H$27*'10_CAPEX-INGRESOS-PAGOS'!$H$46,0)</f>
        <v>0</v>
      </c>
      <c r="CZ13" s="147">
        <f>IF(CZ$3&gt;=2,INDEX($B$10:$FZ$10,1,MATCH(CZ$3-2,$B$3:$FZ$3,0))*'10_CAPEX-INGRESOS-PAGOS'!$H$27*'10_CAPEX-INGRESOS-PAGOS'!$H$46,0)</f>
        <v>0</v>
      </c>
      <c r="DA13" s="147">
        <f>IF(DA$3&gt;=2,INDEX($B$10:$FZ$10,1,MATCH(DA$3-2,$B$3:$FZ$3,0))*'10_CAPEX-INGRESOS-PAGOS'!$H$27*'10_CAPEX-INGRESOS-PAGOS'!$H$46,0)</f>
        <v>0</v>
      </c>
      <c r="DB13" s="147">
        <f>IF(DB$3&gt;=2,INDEX($B$10:$FZ$10,1,MATCH(DB$3-2,$B$3:$FZ$3,0))*'10_CAPEX-INGRESOS-PAGOS'!$H$27*'10_CAPEX-INGRESOS-PAGOS'!$H$46,0)</f>
        <v>0</v>
      </c>
      <c r="DC13" s="147">
        <f>IF(DC$3&gt;=2,INDEX($B$10:$FZ$10,1,MATCH(DC$3-2,$B$3:$FZ$3,0))*'10_CAPEX-INGRESOS-PAGOS'!$H$27*'10_CAPEX-INGRESOS-PAGOS'!$H$46,0)</f>
        <v>0</v>
      </c>
      <c r="DD13" s="147">
        <f>IF(DD$3&gt;=2,INDEX($B$10:$FZ$10,1,MATCH(DD$3-2,$B$3:$FZ$3,0))*'10_CAPEX-INGRESOS-PAGOS'!$H$27*'10_CAPEX-INGRESOS-PAGOS'!$H$46,0)</f>
        <v>0</v>
      </c>
      <c r="DE13" s="147">
        <f>IF(DE$3&gt;=2,INDEX($B$10:$FZ$10,1,MATCH(DE$3-2,$B$3:$FZ$3,0))*'10_CAPEX-INGRESOS-PAGOS'!$H$27*'10_CAPEX-INGRESOS-PAGOS'!$H$46,0)</f>
        <v>0</v>
      </c>
      <c r="DF13" s="147">
        <f>IF(DF$3&gt;=2,INDEX($B$10:$FZ$10,1,MATCH(DF$3-2,$B$3:$FZ$3,0))*'10_CAPEX-INGRESOS-PAGOS'!$H$27*'10_CAPEX-INGRESOS-PAGOS'!$H$46,0)</f>
        <v>0</v>
      </c>
      <c r="DG13" s="147">
        <f>IF(DG$3&gt;=2,INDEX($B$10:$FZ$10,1,MATCH(DG$3-2,$B$3:$FZ$3,0))*'10_CAPEX-INGRESOS-PAGOS'!$H$27*'10_CAPEX-INGRESOS-PAGOS'!$H$46,0)</f>
        <v>0</v>
      </c>
      <c r="DH13" s="147">
        <f>IF(DH$3&gt;=2,INDEX($B$10:$FZ$10,1,MATCH(DH$3-2,$B$3:$FZ$3,0))*'10_CAPEX-INGRESOS-PAGOS'!$H$27*'10_CAPEX-INGRESOS-PAGOS'!$H$46,0)</f>
        <v>0</v>
      </c>
      <c r="DI13" s="147">
        <f>IF(DI$3&gt;=2,INDEX($B$10:$FZ$10,1,MATCH(DI$3-2,$B$3:$FZ$3,0))*'10_CAPEX-INGRESOS-PAGOS'!$H$27*'10_CAPEX-INGRESOS-PAGOS'!$H$46,0)</f>
        <v>0</v>
      </c>
      <c r="DJ13" s="147">
        <f>IF(DJ$3&gt;=2,INDEX($B$10:$FZ$10,1,MATCH(DJ$3-2,$B$3:$FZ$3,0))*'10_CAPEX-INGRESOS-PAGOS'!$H$27*'10_CAPEX-INGRESOS-PAGOS'!$H$46,0)</f>
        <v>0</v>
      </c>
      <c r="DK13" s="147">
        <f>IF(DK$3&gt;=2,INDEX($B$10:$FZ$10,1,MATCH(DK$3-2,$B$3:$FZ$3,0))*'10_CAPEX-INGRESOS-PAGOS'!$H$27*'10_CAPEX-INGRESOS-PAGOS'!$H$46,0)</f>
        <v>0</v>
      </c>
      <c r="DL13" s="147">
        <f>IF(DL$3&gt;=2,INDEX($B$10:$FZ$10,1,MATCH(DL$3-2,$B$3:$FZ$3,0))*'10_CAPEX-INGRESOS-PAGOS'!$H$27*'10_CAPEX-INGRESOS-PAGOS'!$H$46,0)</f>
        <v>0</v>
      </c>
      <c r="DM13" s="147">
        <f>IF(DM$3&gt;=2,INDEX($B$10:$FZ$10,1,MATCH(DM$3-2,$B$3:$FZ$3,0))*'10_CAPEX-INGRESOS-PAGOS'!$H$27*'10_CAPEX-INGRESOS-PAGOS'!$H$46,0)</f>
        <v>0</v>
      </c>
      <c r="DN13" s="147">
        <f>IF(DN$3&gt;=2,INDEX($B$10:$FZ$10,1,MATCH(DN$3-2,$B$3:$FZ$3,0))*'10_CAPEX-INGRESOS-PAGOS'!$H$27*'10_CAPEX-INGRESOS-PAGOS'!$H$46,0)</f>
        <v>0</v>
      </c>
      <c r="DO13" s="147">
        <f>IF(DO$3&gt;=2,INDEX($B$10:$FZ$10,1,MATCH(DO$3-2,$B$3:$FZ$3,0))*'10_CAPEX-INGRESOS-PAGOS'!$H$27*'10_CAPEX-INGRESOS-PAGOS'!$H$46,0)</f>
        <v>0</v>
      </c>
      <c r="DP13" s="147">
        <f>IF(DP$3&gt;=2,INDEX($B$10:$FZ$10,1,MATCH(DP$3-2,$B$3:$FZ$3,0))*'10_CAPEX-INGRESOS-PAGOS'!$H$27*'10_CAPEX-INGRESOS-PAGOS'!$H$46,0)</f>
        <v>0</v>
      </c>
      <c r="DQ13" s="147">
        <f>IF(DQ$3&gt;=2,INDEX($B$10:$FZ$10,1,MATCH(DQ$3-2,$B$3:$FZ$3,0))*'10_CAPEX-INGRESOS-PAGOS'!$H$27*'10_CAPEX-INGRESOS-PAGOS'!$H$46,0)</f>
        <v>0</v>
      </c>
      <c r="DR13" s="147">
        <f>IF(DR$3&gt;=2,INDEX($B$10:$FZ$10,1,MATCH(DR$3-2,$B$3:$FZ$3,0))*'10_CAPEX-INGRESOS-PAGOS'!$H$27*'10_CAPEX-INGRESOS-PAGOS'!$H$46,0)</f>
        <v>0</v>
      </c>
      <c r="DS13" s="147">
        <f>IF(DS$3&gt;=2,INDEX($B$10:$FZ$10,1,MATCH(DS$3-2,$B$3:$FZ$3,0))*'10_CAPEX-INGRESOS-PAGOS'!$H$27*'10_CAPEX-INGRESOS-PAGOS'!$H$46,0)</f>
        <v>0</v>
      </c>
      <c r="DT13" s="147">
        <f>IF(DT$3&gt;=2,INDEX($B$10:$FZ$10,1,MATCH(DT$3-2,$B$3:$FZ$3,0))*'10_CAPEX-INGRESOS-PAGOS'!$H$27*'10_CAPEX-INGRESOS-PAGOS'!$H$46,0)</f>
        <v>0</v>
      </c>
      <c r="DU13" s="147">
        <f>IF(DU$3&gt;=2,INDEX($B$10:$FZ$10,1,MATCH(DU$3-2,$B$3:$FZ$3,0))*'10_CAPEX-INGRESOS-PAGOS'!$H$27*'10_CAPEX-INGRESOS-PAGOS'!$H$46,0)</f>
        <v>0</v>
      </c>
      <c r="DV13" s="147">
        <f>IF(DV$3&gt;=2,INDEX($B$10:$FZ$10,1,MATCH(DV$3-2,$B$3:$FZ$3,0))*'10_CAPEX-INGRESOS-PAGOS'!$H$27*'10_CAPEX-INGRESOS-PAGOS'!$H$46,0)</f>
        <v>0</v>
      </c>
      <c r="DW13" s="147">
        <f>IF(DW$3&gt;=2,INDEX($B$10:$FZ$10,1,MATCH(DW$3-2,$B$3:$FZ$3,0))*'10_CAPEX-INGRESOS-PAGOS'!$H$27*'10_CAPEX-INGRESOS-PAGOS'!$H$46,0)</f>
        <v>0</v>
      </c>
      <c r="DX13" s="147">
        <f>IF(DX$3&gt;=2,INDEX($B$10:$FZ$10,1,MATCH(DX$3-2,$B$3:$FZ$3,0))*'10_CAPEX-INGRESOS-PAGOS'!$H$27*'10_CAPEX-INGRESOS-PAGOS'!$H$46,0)</f>
        <v>0</v>
      </c>
      <c r="DY13" s="147">
        <f>IF(DY$3&gt;=2,INDEX($B$10:$FZ$10,1,MATCH(DY$3-2,$B$3:$FZ$3,0))*'10_CAPEX-INGRESOS-PAGOS'!$H$27*'10_CAPEX-INGRESOS-PAGOS'!$H$46,0)</f>
        <v>0</v>
      </c>
      <c r="DZ13" s="147">
        <f>IF(DZ$3&gt;=2,INDEX($B$10:$FZ$10,1,MATCH(DZ$3-2,$B$3:$FZ$3,0))*'10_CAPEX-INGRESOS-PAGOS'!$H$27*'10_CAPEX-INGRESOS-PAGOS'!$H$46,0)</f>
        <v>0</v>
      </c>
      <c r="EA13" s="147">
        <f>IF(EA$3&gt;=2,INDEX($B$10:$FZ$10,1,MATCH(EA$3-2,$B$3:$FZ$3,0))*'10_CAPEX-INGRESOS-PAGOS'!$H$27*'10_CAPEX-INGRESOS-PAGOS'!$H$46,0)</f>
        <v>0</v>
      </c>
      <c r="EB13" s="147">
        <f>IF(EB$3&gt;=2,INDEX($B$10:$FZ$10,1,MATCH(EB$3-2,$B$3:$FZ$3,0))*'10_CAPEX-INGRESOS-PAGOS'!$H$27*'10_CAPEX-INGRESOS-PAGOS'!$H$46,0)</f>
        <v>0</v>
      </c>
      <c r="EC13" s="147">
        <f>IF(EC$3&gt;=2,INDEX($B$10:$FZ$10,1,MATCH(EC$3-2,$B$3:$FZ$3,0))*'10_CAPEX-INGRESOS-PAGOS'!$H$27*'10_CAPEX-INGRESOS-PAGOS'!$H$46,0)</f>
        <v>0</v>
      </c>
      <c r="ED13" s="147">
        <f>IF(ED$3&gt;=2,INDEX($B$10:$FZ$10,1,MATCH(ED$3-2,$B$3:$FZ$3,0))*'10_CAPEX-INGRESOS-PAGOS'!$H$27*'10_CAPEX-INGRESOS-PAGOS'!$H$46,0)</f>
        <v>0</v>
      </c>
      <c r="EE13" s="147">
        <f>IF(EE$3&gt;=2,INDEX($B$10:$FZ$10,1,MATCH(EE$3-2,$B$3:$FZ$3,0))*'10_CAPEX-INGRESOS-PAGOS'!$H$27*'10_CAPEX-INGRESOS-PAGOS'!$H$46,0)</f>
        <v>0</v>
      </c>
      <c r="EF13" s="147">
        <f>IF(EF$3&gt;=2,INDEX($B$10:$FZ$10,1,MATCH(EF$3-2,$B$3:$FZ$3,0))*'10_CAPEX-INGRESOS-PAGOS'!$H$27*'10_CAPEX-INGRESOS-PAGOS'!$H$46,0)</f>
        <v>0</v>
      </c>
      <c r="EG13" s="147">
        <f>IF(EG$3&gt;=2,INDEX($B$10:$FZ$10,1,MATCH(EG$3-2,$B$3:$FZ$3,0))*'10_CAPEX-INGRESOS-PAGOS'!$H$27*'10_CAPEX-INGRESOS-PAGOS'!$H$46,0)</f>
        <v>0</v>
      </c>
      <c r="EH13" s="147">
        <f>IF(EH$3&gt;=2,INDEX($B$10:$FZ$10,1,MATCH(EH$3-2,$B$3:$FZ$3,0))*'10_CAPEX-INGRESOS-PAGOS'!$H$27*'10_CAPEX-INGRESOS-PAGOS'!$H$46,0)</f>
        <v>0</v>
      </c>
      <c r="EI13" s="147">
        <f>IF(EI$3&gt;=2,INDEX($B$10:$FZ$10,1,MATCH(EI$3-2,$B$3:$FZ$3,0))*'10_CAPEX-INGRESOS-PAGOS'!$H$27*'10_CAPEX-INGRESOS-PAGOS'!$H$46,0)</f>
        <v>0</v>
      </c>
      <c r="EJ13" s="147">
        <f>IF(EJ$3&gt;=2,INDEX($B$10:$FZ$10,1,MATCH(EJ$3-2,$B$3:$FZ$3,0))*'10_CAPEX-INGRESOS-PAGOS'!$H$27*'10_CAPEX-INGRESOS-PAGOS'!$H$46,0)</f>
        <v>0</v>
      </c>
      <c r="EK13" s="147">
        <f>IF(EK$3&gt;=2,INDEX($B$10:$FZ$10,1,MATCH(EK$3-2,$B$3:$FZ$3,0))*'10_CAPEX-INGRESOS-PAGOS'!$H$27*'10_CAPEX-INGRESOS-PAGOS'!$H$46,0)</f>
        <v>0</v>
      </c>
      <c r="EL13" s="147">
        <f>IF(EL$3&gt;=2,INDEX($B$10:$FZ$10,1,MATCH(EL$3-2,$B$3:$FZ$3,0))*'10_CAPEX-INGRESOS-PAGOS'!$H$27*'10_CAPEX-INGRESOS-PAGOS'!$H$46,0)</f>
        <v>0</v>
      </c>
      <c r="EM13" s="147">
        <f>IF(EM$3&gt;=2,INDEX($B$10:$FZ$10,1,MATCH(EM$3-2,$B$3:$FZ$3,0))*'10_CAPEX-INGRESOS-PAGOS'!$H$27*'10_CAPEX-INGRESOS-PAGOS'!$H$46,0)</f>
        <v>0</v>
      </c>
      <c r="EN13" s="147">
        <f>IF(EN$3&gt;=2,INDEX($B$10:$FZ$10,1,MATCH(EN$3-2,$B$3:$FZ$3,0))*'10_CAPEX-INGRESOS-PAGOS'!$H$27*'10_CAPEX-INGRESOS-PAGOS'!$H$46,0)</f>
        <v>0</v>
      </c>
      <c r="EO13" s="147">
        <f>IF(EO$3&gt;=2,INDEX($B$10:$FZ$10,1,MATCH(EO$3-2,$B$3:$FZ$3,0))*'10_CAPEX-INGRESOS-PAGOS'!$H$27*'10_CAPEX-INGRESOS-PAGOS'!$H$46,0)</f>
        <v>0</v>
      </c>
      <c r="EP13" s="147">
        <f>IF(EP$3&gt;=2,INDEX($B$10:$FZ$10,1,MATCH(EP$3-2,$B$3:$FZ$3,0))*'10_CAPEX-INGRESOS-PAGOS'!$H$27*'10_CAPEX-INGRESOS-PAGOS'!$H$46,0)</f>
        <v>0</v>
      </c>
      <c r="EQ13" s="147">
        <f>IF(EQ$3&gt;=2,INDEX($B$10:$FZ$10,1,MATCH(EQ$3-2,$B$3:$FZ$3,0))*'10_CAPEX-INGRESOS-PAGOS'!$H$27*'10_CAPEX-INGRESOS-PAGOS'!$H$46,0)</f>
        <v>0</v>
      </c>
      <c r="ER13" s="147">
        <f>IF(ER$3&gt;=2,INDEX($B$10:$FZ$10,1,MATCH(ER$3-2,$B$3:$FZ$3,0))*'10_CAPEX-INGRESOS-PAGOS'!$H$27*'10_CAPEX-INGRESOS-PAGOS'!$H$46,0)</f>
        <v>0</v>
      </c>
      <c r="ES13" s="147">
        <f>IF(ES$3&gt;=2,INDEX($B$10:$FZ$10,1,MATCH(ES$3-2,$B$3:$FZ$3,0))*'10_CAPEX-INGRESOS-PAGOS'!$H$27*'10_CAPEX-INGRESOS-PAGOS'!$H$46,0)</f>
        <v>0</v>
      </c>
      <c r="ET13" s="147">
        <f>IF(ET$3&gt;=2,INDEX($B$10:$FZ$10,1,MATCH(ET$3-2,$B$3:$FZ$3,0))*'10_CAPEX-INGRESOS-PAGOS'!$H$27*'10_CAPEX-INGRESOS-PAGOS'!$H$46,0)</f>
        <v>0</v>
      </c>
      <c r="EU13" s="147">
        <f>IF(EU$3&gt;=2,INDEX($B$10:$FZ$10,1,MATCH(EU$3-2,$B$3:$FZ$3,0))*'10_CAPEX-INGRESOS-PAGOS'!$H$27*'10_CAPEX-INGRESOS-PAGOS'!$H$46,0)</f>
        <v>0</v>
      </c>
      <c r="EV13" s="147">
        <f>IF(EV$3&gt;=2,INDEX($B$10:$FZ$10,1,MATCH(EV$3-2,$B$3:$FZ$3,0))*'10_CAPEX-INGRESOS-PAGOS'!$H$27*'10_CAPEX-INGRESOS-PAGOS'!$H$46,0)</f>
        <v>0</v>
      </c>
      <c r="EW13" s="147">
        <f>IF(EW$3&gt;=2,INDEX($B$10:$FZ$10,1,MATCH(EW$3-2,$B$3:$FZ$3,0))*'10_CAPEX-INGRESOS-PAGOS'!$H$27*'10_CAPEX-INGRESOS-PAGOS'!$H$46,0)</f>
        <v>0</v>
      </c>
      <c r="EX13" s="147">
        <f>IF(EX$3&gt;=2,INDEX($B$10:$FZ$10,1,MATCH(EX$3-2,$B$3:$FZ$3,0))*'10_CAPEX-INGRESOS-PAGOS'!$H$27*'10_CAPEX-INGRESOS-PAGOS'!$H$46,0)</f>
        <v>0</v>
      </c>
      <c r="EY13" s="147">
        <f>IF(EY$3&gt;=2,INDEX($B$10:$FZ$10,1,MATCH(EY$3-2,$B$3:$FZ$3,0))*'10_CAPEX-INGRESOS-PAGOS'!$H$27*'10_CAPEX-INGRESOS-PAGOS'!$H$46,0)</f>
        <v>0</v>
      </c>
      <c r="EZ13" s="147">
        <f>IF(EZ$3&gt;=2,INDEX($B$10:$FZ$10,1,MATCH(EZ$3-2,$B$3:$FZ$3,0))*'10_CAPEX-INGRESOS-PAGOS'!$H$27*'10_CAPEX-INGRESOS-PAGOS'!$H$46,0)</f>
        <v>0</v>
      </c>
      <c r="FA13" s="147">
        <f>IF(FA$3&gt;=2,INDEX($B$10:$FZ$10,1,MATCH(FA$3-2,$B$3:$FZ$3,0))*'10_CAPEX-INGRESOS-PAGOS'!$H$27*'10_CAPEX-INGRESOS-PAGOS'!$H$46,0)</f>
        <v>0</v>
      </c>
      <c r="FB13" s="147">
        <f>IF(FB$3&gt;=2,INDEX($B$10:$FZ$10,1,MATCH(FB$3-2,$B$3:$FZ$3,0))*'10_CAPEX-INGRESOS-PAGOS'!$H$27*'10_CAPEX-INGRESOS-PAGOS'!$H$46,0)</f>
        <v>0</v>
      </c>
      <c r="FC13" s="147">
        <f>IF(FC$3&gt;=2,INDEX($B$10:$FZ$10,1,MATCH(FC$3-2,$B$3:$FZ$3,0))*'10_CAPEX-INGRESOS-PAGOS'!$H$27*'10_CAPEX-INGRESOS-PAGOS'!$H$46,0)</f>
        <v>0</v>
      </c>
      <c r="FD13" s="147">
        <f>IF(FD$3&gt;=2,INDEX($B$10:$FZ$10,1,MATCH(FD$3-2,$B$3:$FZ$3,0))*'10_CAPEX-INGRESOS-PAGOS'!$H$27*'10_CAPEX-INGRESOS-PAGOS'!$H$46,0)</f>
        <v>0</v>
      </c>
      <c r="FE13" s="147">
        <f>IF(FE$3&gt;=2,INDEX($B$10:$FZ$10,1,MATCH(FE$3-2,$B$3:$FZ$3,0))*'10_CAPEX-INGRESOS-PAGOS'!$H$27*'10_CAPEX-INGRESOS-PAGOS'!$H$46,0)</f>
        <v>0</v>
      </c>
      <c r="FF13" s="147">
        <f>IF(FF$3&gt;=2,INDEX($B$10:$FZ$10,1,MATCH(FF$3-2,$B$3:$FZ$3,0))*'10_CAPEX-INGRESOS-PAGOS'!$H$27*'10_CAPEX-INGRESOS-PAGOS'!$H$46,0)</f>
        <v>0</v>
      </c>
      <c r="FG13" s="147">
        <f>IF(FG$3&gt;=2,INDEX($B$10:$FZ$10,1,MATCH(FG$3-2,$B$3:$FZ$3,0))*'10_CAPEX-INGRESOS-PAGOS'!$H$27*'10_CAPEX-INGRESOS-PAGOS'!$H$46,0)</f>
        <v>0</v>
      </c>
      <c r="FH13" s="147">
        <f>IF(FH$3&gt;=2,INDEX($B$10:$FZ$10,1,MATCH(FH$3-2,$B$3:$FZ$3,0))*'10_CAPEX-INGRESOS-PAGOS'!$H$27*'10_CAPEX-INGRESOS-PAGOS'!$H$46,0)</f>
        <v>0</v>
      </c>
      <c r="FI13" s="147">
        <f>IF(FI$3&gt;=2,INDEX($B$10:$FZ$10,1,MATCH(FI$3-2,$B$3:$FZ$3,0))*'10_CAPEX-INGRESOS-PAGOS'!$H$27*'10_CAPEX-INGRESOS-PAGOS'!$H$46,0)</f>
        <v>0</v>
      </c>
      <c r="FJ13" s="147">
        <f>IF(FJ$3&gt;=2,INDEX($B$10:$FZ$10,1,MATCH(FJ$3-2,$B$3:$FZ$3,0))*'10_CAPEX-INGRESOS-PAGOS'!$H$27*'10_CAPEX-INGRESOS-PAGOS'!$H$46,0)</f>
        <v>0</v>
      </c>
      <c r="FK13" s="147">
        <f>IF(FK$3&gt;=2,INDEX($B$10:$FZ$10,1,MATCH(FK$3-2,$B$3:$FZ$3,0))*'10_CAPEX-INGRESOS-PAGOS'!$H$27*'10_CAPEX-INGRESOS-PAGOS'!$H$46,0)</f>
        <v>0</v>
      </c>
      <c r="FL13" s="147">
        <f>IF(FL$3&gt;=2,INDEX($B$10:$FZ$10,1,MATCH(FL$3-2,$B$3:$FZ$3,0))*'10_CAPEX-INGRESOS-PAGOS'!$H$27*'10_CAPEX-INGRESOS-PAGOS'!$H$46,0)</f>
        <v>0</v>
      </c>
      <c r="FM13" s="147">
        <f>IF(FM$3&gt;=2,INDEX($B$10:$FZ$10,1,MATCH(FM$3-2,$B$3:$FZ$3,0))*'10_CAPEX-INGRESOS-PAGOS'!$H$27*'10_CAPEX-INGRESOS-PAGOS'!$H$46,0)</f>
        <v>0</v>
      </c>
      <c r="FN13" s="147">
        <f>IF(FN$3&gt;=2,INDEX($B$10:$FZ$10,1,MATCH(FN$3-2,$B$3:$FZ$3,0))*'10_CAPEX-INGRESOS-PAGOS'!$H$27*'10_CAPEX-INGRESOS-PAGOS'!$H$46,0)</f>
        <v>0</v>
      </c>
      <c r="FO13" s="147">
        <f>IF(FO$3&gt;=2,INDEX($B$10:$FZ$10,1,MATCH(FO$3-2,$B$3:$FZ$3,0))*'10_CAPEX-INGRESOS-PAGOS'!$H$27*'10_CAPEX-INGRESOS-PAGOS'!$H$46,0)</f>
        <v>0</v>
      </c>
      <c r="FP13" s="147">
        <f>IF(FP$3&gt;=2,INDEX($B$10:$FZ$10,1,MATCH(FP$3-2,$B$3:$FZ$3,0))*'10_CAPEX-INGRESOS-PAGOS'!$H$27*'10_CAPEX-INGRESOS-PAGOS'!$H$46,0)</f>
        <v>0</v>
      </c>
      <c r="FQ13" s="147">
        <f>IF(FQ$3&gt;=2,INDEX($B$10:$FZ$10,1,MATCH(FQ$3-2,$B$3:$FZ$3,0))*'10_CAPEX-INGRESOS-PAGOS'!$H$27*'10_CAPEX-INGRESOS-PAGOS'!$H$46,0)</f>
        <v>0</v>
      </c>
      <c r="FR13" s="147">
        <f>IF(FR$3&gt;=2,INDEX($B$10:$FZ$10,1,MATCH(FR$3-2,$B$3:$FZ$3,0))*'10_CAPEX-INGRESOS-PAGOS'!$H$27*'10_CAPEX-INGRESOS-PAGOS'!$H$46,0)</f>
        <v>0</v>
      </c>
      <c r="FS13" s="147">
        <f>IF(FS$3&gt;=2,INDEX($B$10:$FZ$10,1,MATCH(FS$3-2,$B$3:$FZ$3,0))*'10_CAPEX-INGRESOS-PAGOS'!$H$27*'10_CAPEX-INGRESOS-PAGOS'!$H$46,0)</f>
        <v>0</v>
      </c>
      <c r="FT13" s="147">
        <f>IF(FT$3&gt;=2,INDEX($B$10:$FZ$10,1,MATCH(FT$3-2,$B$3:$FZ$3,0))*'10_CAPEX-INGRESOS-PAGOS'!$H$27*'10_CAPEX-INGRESOS-PAGOS'!$H$46,0)</f>
        <v>0</v>
      </c>
      <c r="FU13" s="147">
        <f>IF(FU$3&gt;=2,INDEX($B$10:$FZ$10,1,MATCH(FU$3-2,$B$3:$FZ$3,0))*'10_CAPEX-INGRESOS-PAGOS'!$H$27*'10_CAPEX-INGRESOS-PAGOS'!$H$46,0)</f>
        <v>0</v>
      </c>
      <c r="FV13" s="147">
        <f>IF(FV$3&gt;=2,INDEX($B$10:$FZ$10,1,MATCH(FV$3-2,$B$3:$FZ$3,0))*'10_CAPEX-INGRESOS-PAGOS'!$H$27*'10_CAPEX-INGRESOS-PAGOS'!$H$46,0)</f>
        <v>0</v>
      </c>
      <c r="FW13" s="147">
        <f>IF(FW$3&gt;=2,INDEX($B$10:$FZ$10,1,MATCH(FW$3-2,$B$3:$FZ$3,0))*'10_CAPEX-INGRESOS-PAGOS'!$H$27*'10_CAPEX-INGRESOS-PAGOS'!$H$46,0)</f>
        <v>0</v>
      </c>
      <c r="FX13" s="147">
        <f>IF(FX$3&gt;=2,INDEX($B$10:$FZ$10,1,MATCH(FX$3-2,$B$3:$FZ$3,0))*'10_CAPEX-INGRESOS-PAGOS'!$H$27*'10_CAPEX-INGRESOS-PAGOS'!$H$46,0)</f>
        <v>0</v>
      </c>
      <c r="FY13" s="147">
        <f>IF(FY$3&gt;=2,INDEX($B$10:$FZ$10,1,MATCH(FY$3-2,$B$3:$FZ$3,0))*'10_CAPEX-INGRESOS-PAGOS'!$H$27*'10_CAPEX-INGRESOS-PAGOS'!$H$46,0)</f>
        <v>0</v>
      </c>
      <c r="FZ13" s="147">
        <f>IF(FZ$3&gt;=2,INDEX($B$10:$FZ$10,1,MATCH(FZ$3-2,$B$3:$FZ$3,0))*'10_CAPEX-INGRESOS-PAGOS'!$H$27*'10_CAPEX-INGRESOS-PAGOS'!$H$46,0)</f>
        <v>0</v>
      </c>
    </row>
    <row r="14" spans="1:182" x14ac:dyDescent="0.25">
      <c r="A14" s="33" t="s">
        <v>268</v>
      </c>
      <c r="B14" s="147">
        <f>IF(AND(B$3&gt;=ROUNDUP('01_MODELO'!$I$66+2,0),B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14" s="147">
        <f>IF(AND(C$3&gt;=ROUNDUP('01_MODELO'!$I$66+2,0),C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14" s="147">
        <f>IF(AND(D$3&gt;=ROUNDUP('01_MODELO'!$I$66+2,0),D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14" s="147">
        <f>IF(AND(E$3&gt;=ROUNDUP('01_MODELO'!$I$66+2,0),E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14" s="147">
        <f>IF(AND(F$3&gt;=ROUNDUP('01_MODELO'!$I$66+2,0),F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G14" s="147">
        <f>IF(AND(G$3&gt;=ROUNDUP('01_MODELO'!$I$66+2,0),G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H14" s="147">
        <f>IF(AND(H$3&gt;=ROUNDUP('01_MODELO'!$I$66+2,0),H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I14" s="147">
        <f>IF(AND(I$3&gt;=ROUNDUP('01_MODELO'!$I$66+2,0),I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J14" s="147">
        <f>IF(AND(J$3&gt;=ROUNDUP('01_MODELO'!$I$66+2,0),J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K14" s="147">
        <f>IF(AND(K$3&gt;=ROUNDUP('01_MODELO'!$I$66+2,0),K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L14" s="147">
        <f>IF(AND(L$3&gt;=ROUNDUP('01_MODELO'!$I$66+2,0),L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M14" s="147">
        <f>IF(AND(M$3&gt;=ROUNDUP('01_MODELO'!$I$66+2,0),M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N14" s="147">
        <f>IF(AND(N$3&gt;=ROUNDUP('01_MODELO'!$I$66+2,0),N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O14" s="147">
        <f>IF(AND(O$3&gt;=ROUNDUP('01_MODELO'!$I$66+2,0),O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P14" s="147">
        <f>IF(AND(P$3&gt;=ROUNDUP('01_MODELO'!$I$66+2,0),P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Q14" s="147">
        <f>IF(AND(Q$3&gt;=ROUNDUP('01_MODELO'!$I$66+2,0),Q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R14" s="147">
        <f>IF(AND(R$3&gt;=ROUNDUP('01_MODELO'!$I$66+2,0),R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S14" s="147">
        <f>IF(AND(S$3&gt;=ROUNDUP('01_MODELO'!$I$66+2,0),S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T14" s="147">
        <f>IF(AND(T$3&gt;=ROUNDUP('01_MODELO'!$I$66+2,0),T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U14" s="147">
        <f>IF(AND(U$3&gt;=ROUNDUP('01_MODELO'!$I$66+2,0),U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V14" s="147">
        <f>IF(AND(V$3&gt;=ROUNDUP('01_MODELO'!$I$66+2,0),V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W14" s="147">
        <f>IF(AND(W$3&gt;=ROUNDUP('01_MODELO'!$I$66+2,0),W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X14" s="147">
        <f>IF(AND(X$3&gt;=ROUNDUP('01_MODELO'!$I$66+2,0),X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Y14" s="147">
        <f>IF(AND(Y$3&gt;=ROUNDUP('01_MODELO'!$I$66+2,0),Y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Z14" s="147">
        <f>IF(AND(Z$3&gt;=ROUNDUP('01_MODELO'!$I$66+2,0),Z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AA14" s="147">
        <f>IF(AND(AA$3&gt;=ROUNDUP('01_MODELO'!$I$66+2,0),AA$3&lt;=ROUNDUP('01_MODELO'!$I$37,0)),(SUMPRODUCT($B$10:$FZ$10,--($B$3:$FZ$3&lt;ROUNDUP('01_MODELO'!$I$37,0)))*'10_CAPEX-INGRESOS-PAGOS'!$H$27)*'10_CAPEX-INGRESOS-PAGOS'!$H$47/(ROUNDUP('01_MODELO'!$I$37,0)-ROUNDUP('01_MODELO'!$I$66+2,0)+1),0)</f>
        <v>84500</v>
      </c>
      <c r="AB14" s="147">
        <f>IF(AND(AB$3&gt;=ROUNDUP('01_MODELO'!$I$66+2,0),AB$3&lt;=ROUNDUP('01_MODELO'!$I$37,0)),(SUMPRODUCT($B$10:$FZ$10,--($B$3:$FZ$3&lt;ROUNDUP('01_MODELO'!$I$37,0)))*'10_CAPEX-INGRESOS-PAGOS'!$H$27)*'10_CAPEX-INGRESOS-PAGOS'!$H$47/(ROUNDUP('01_MODELO'!$I$37,0)-ROUNDUP('01_MODELO'!$I$66+2,0)+1),0)</f>
        <v>84500</v>
      </c>
      <c r="AC14" s="147">
        <f>IF(AND(AC$3&gt;=ROUNDUP('01_MODELO'!$I$66+2,0),AC$3&lt;=ROUNDUP('01_MODELO'!$I$37,0)),(SUMPRODUCT($B$10:$FZ$10,--($B$3:$FZ$3&lt;ROUNDUP('01_MODELO'!$I$37,0)))*'10_CAPEX-INGRESOS-PAGOS'!$H$27)*'10_CAPEX-INGRESOS-PAGOS'!$H$47/(ROUNDUP('01_MODELO'!$I$37,0)-ROUNDUP('01_MODELO'!$I$66+2,0)+1),0)</f>
        <v>84500</v>
      </c>
      <c r="AD14" s="147">
        <f>IF(AND(AD$3&gt;=ROUNDUP('01_MODELO'!$I$66+2,0),AD$3&lt;=ROUNDUP('01_MODELO'!$I$37,0)),(SUMPRODUCT($B$10:$FZ$10,--($B$3:$FZ$3&lt;ROUNDUP('01_MODELO'!$I$37,0)))*'10_CAPEX-INGRESOS-PAGOS'!$H$27)*'10_CAPEX-INGRESOS-PAGOS'!$H$47/(ROUNDUP('01_MODELO'!$I$37,0)-ROUNDUP('01_MODELO'!$I$66+2,0)+1),0)</f>
        <v>84500</v>
      </c>
      <c r="AE14" s="147">
        <f>IF(AND(AE$3&gt;=ROUNDUP('01_MODELO'!$I$66+2,0),AE$3&lt;=ROUNDUP('01_MODELO'!$I$37,0)),(SUMPRODUCT($B$10:$FZ$10,--($B$3:$FZ$3&lt;ROUNDUP('01_MODELO'!$I$37,0)))*'10_CAPEX-INGRESOS-PAGOS'!$H$27)*'10_CAPEX-INGRESOS-PAGOS'!$H$47/(ROUNDUP('01_MODELO'!$I$37,0)-ROUNDUP('01_MODELO'!$I$66+2,0)+1),0)</f>
        <v>84500</v>
      </c>
      <c r="AF14" s="147">
        <f>IF(AND(AF$3&gt;=ROUNDUP('01_MODELO'!$I$66+2,0),AF$3&lt;=ROUNDUP('01_MODELO'!$I$37,0)),(SUMPRODUCT($B$10:$FZ$10,--($B$3:$FZ$3&lt;ROUNDUP('01_MODELO'!$I$37,0)))*'10_CAPEX-INGRESOS-PAGOS'!$H$27)*'10_CAPEX-INGRESOS-PAGOS'!$H$47/(ROUNDUP('01_MODELO'!$I$37,0)-ROUNDUP('01_MODELO'!$I$66+2,0)+1),0)</f>
        <v>84500</v>
      </c>
      <c r="AG14" s="147">
        <f>IF(AND(AG$3&gt;=ROUNDUP('01_MODELO'!$I$66+2,0),AG$3&lt;=ROUNDUP('01_MODELO'!$I$37,0)),(SUMPRODUCT($B$10:$FZ$10,--($B$3:$FZ$3&lt;ROUNDUP('01_MODELO'!$I$37,0)))*'10_CAPEX-INGRESOS-PAGOS'!$H$27)*'10_CAPEX-INGRESOS-PAGOS'!$H$47/(ROUNDUP('01_MODELO'!$I$37,0)-ROUNDUP('01_MODELO'!$I$66+2,0)+1),0)</f>
        <v>84500</v>
      </c>
      <c r="AH14" s="147">
        <f>IF(AND(AH$3&gt;=ROUNDUP('01_MODELO'!$I$66+2,0),AH$3&lt;=ROUNDUP('01_MODELO'!$I$37,0)),(SUMPRODUCT($B$10:$FZ$10,--($B$3:$FZ$3&lt;ROUNDUP('01_MODELO'!$I$37,0)))*'10_CAPEX-INGRESOS-PAGOS'!$H$27)*'10_CAPEX-INGRESOS-PAGOS'!$H$47/(ROUNDUP('01_MODELO'!$I$37,0)-ROUNDUP('01_MODELO'!$I$66+2,0)+1),0)</f>
        <v>84500</v>
      </c>
      <c r="AI14" s="147">
        <f>IF(AND(AI$3&gt;=ROUNDUP('01_MODELO'!$I$66+2,0),AI$3&lt;=ROUNDUP('01_MODELO'!$I$37,0)),(SUMPRODUCT($B$10:$FZ$10,--($B$3:$FZ$3&lt;ROUNDUP('01_MODELO'!$I$37,0)))*'10_CAPEX-INGRESOS-PAGOS'!$H$27)*'10_CAPEX-INGRESOS-PAGOS'!$H$47/(ROUNDUP('01_MODELO'!$I$37,0)-ROUNDUP('01_MODELO'!$I$66+2,0)+1),0)</f>
        <v>84500</v>
      </c>
      <c r="AJ14" s="147">
        <f>IF(AND(AJ$3&gt;=ROUNDUP('01_MODELO'!$I$66+2,0),AJ$3&lt;=ROUNDUP('01_MODELO'!$I$37,0)),(SUMPRODUCT($B$10:$FZ$10,--($B$3:$FZ$3&lt;ROUNDUP('01_MODELO'!$I$37,0)))*'10_CAPEX-INGRESOS-PAGOS'!$H$27)*'10_CAPEX-INGRESOS-PAGOS'!$H$47/(ROUNDUP('01_MODELO'!$I$37,0)-ROUNDUP('01_MODELO'!$I$66+2,0)+1),0)</f>
        <v>84500</v>
      </c>
      <c r="AK14" s="147">
        <f>IF(AND(AK$3&gt;=ROUNDUP('01_MODELO'!$I$66+2,0),AK$3&lt;=ROUNDUP('01_MODELO'!$I$37,0)),(SUMPRODUCT($B$10:$FZ$10,--($B$3:$FZ$3&lt;ROUNDUP('01_MODELO'!$I$37,0)))*'10_CAPEX-INGRESOS-PAGOS'!$H$27)*'10_CAPEX-INGRESOS-PAGOS'!$H$47/(ROUNDUP('01_MODELO'!$I$37,0)-ROUNDUP('01_MODELO'!$I$66+2,0)+1),0)</f>
        <v>84500</v>
      </c>
      <c r="AL14" s="147">
        <f>IF(AND(AL$3&gt;=ROUNDUP('01_MODELO'!$I$66+2,0),AL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AM14" s="147">
        <f>IF(AND(AM$3&gt;=ROUNDUP('01_MODELO'!$I$66+2,0),AM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AN14" s="147">
        <f>IF(AND(AN$3&gt;=ROUNDUP('01_MODELO'!$I$66+2,0),AN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AO14" s="147">
        <f>IF(AND(AO$3&gt;=ROUNDUP('01_MODELO'!$I$66+2,0),AO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AP14" s="147">
        <f>IF(AND(AP$3&gt;=ROUNDUP('01_MODELO'!$I$66+2,0),AP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AQ14" s="147">
        <f>IF(AND(AQ$3&gt;=ROUNDUP('01_MODELO'!$I$66+2,0),AQ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AR14" s="147">
        <f>IF(AND(AR$3&gt;=ROUNDUP('01_MODELO'!$I$66+2,0),AR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AS14" s="147">
        <f>IF(AND(AS$3&gt;=ROUNDUP('01_MODELO'!$I$66+2,0),AS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AT14" s="147">
        <f>IF(AND(AT$3&gt;=ROUNDUP('01_MODELO'!$I$66+2,0),AT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AU14" s="147">
        <f>IF(AND(AU$3&gt;=ROUNDUP('01_MODELO'!$I$66+2,0),AU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AV14" s="147">
        <f>IF(AND(AV$3&gt;=ROUNDUP('01_MODELO'!$I$66+2,0),AV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AW14" s="147">
        <f>IF(AND(AW$3&gt;=ROUNDUP('01_MODELO'!$I$66+2,0),AW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AX14" s="147">
        <f>IF(AND(AX$3&gt;=ROUNDUP('01_MODELO'!$I$66+2,0),AX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AY14" s="147">
        <f>IF(AND(AY$3&gt;=ROUNDUP('01_MODELO'!$I$66+2,0),AY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AZ14" s="147">
        <f>IF(AND(AZ$3&gt;=ROUNDUP('01_MODELO'!$I$66+2,0),AZ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A14" s="147">
        <f>IF(AND(BA$3&gt;=ROUNDUP('01_MODELO'!$I$66+2,0),BA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B14" s="147">
        <f>IF(AND(BB$3&gt;=ROUNDUP('01_MODELO'!$I$66+2,0),BB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C14" s="147">
        <f>IF(AND(BC$3&gt;=ROUNDUP('01_MODELO'!$I$66+2,0),BC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D14" s="147">
        <f>IF(AND(BD$3&gt;=ROUNDUP('01_MODELO'!$I$66+2,0),BD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E14" s="147">
        <f>IF(AND(BE$3&gt;=ROUNDUP('01_MODELO'!$I$66+2,0),BE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F14" s="147">
        <f>IF(AND(BF$3&gt;=ROUNDUP('01_MODELO'!$I$66+2,0),BF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G14" s="147">
        <f>IF(AND(BG$3&gt;=ROUNDUP('01_MODELO'!$I$66+2,0),BG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H14" s="147">
        <f>IF(AND(BH$3&gt;=ROUNDUP('01_MODELO'!$I$66+2,0),BH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I14" s="147">
        <f>IF(AND(BI$3&gt;=ROUNDUP('01_MODELO'!$I$66+2,0),BI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J14" s="147">
        <f>IF(AND(BJ$3&gt;=ROUNDUP('01_MODELO'!$I$66+2,0),BJ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K14" s="147">
        <f>IF(AND(BK$3&gt;=ROUNDUP('01_MODELO'!$I$66+2,0),BK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L14" s="147">
        <f>IF(AND(BL$3&gt;=ROUNDUP('01_MODELO'!$I$66+2,0),BL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M14" s="147">
        <f>IF(AND(BM$3&gt;=ROUNDUP('01_MODELO'!$I$66+2,0),BM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N14" s="147">
        <f>IF(AND(BN$3&gt;=ROUNDUP('01_MODELO'!$I$66+2,0),BN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O14" s="147">
        <f>IF(AND(BO$3&gt;=ROUNDUP('01_MODELO'!$I$66+2,0),BO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P14" s="147">
        <f>IF(AND(BP$3&gt;=ROUNDUP('01_MODELO'!$I$66+2,0),BP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Q14" s="147">
        <f>IF(AND(BQ$3&gt;=ROUNDUP('01_MODELO'!$I$66+2,0),BQ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R14" s="147">
        <f>IF(AND(BR$3&gt;=ROUNDUP('01_MODELO'!$I$66+2,0),BR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S14" s="147">
        <f>IF(AND(BS$3&gt;=ROUNDUP('01_MODELO'!$I$66+2,0),BS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T14" s="147">
        <f>IF(AND(BT$3&gt;=ROUNDUP('01_MODELO'!$I$66+2,0),BT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U14" s="147">
        <f>IF(AND(BU$3&gt;=ROUNDUP('01_MODELO'!$I$66+2,0),BU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V14" s="147">
        <f>IF(AND(BV$3&gt;=ROUNDUP('01_MODELO'!$I$66+2,0),BV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W14" s="147">
        <f>IF(AND(BW$3&gt;=ROUNDUP('01_MODELO'!$I$66+2,0),BW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X14" s="147">
        <f>IF(AND(BX$3&gt;=ROUNDUP('01_MODELO'!$I$66+2,0),BX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Y14" s="147">
        <f>IF(AND(BY$3&gt;=ROUNDUP('01_MODELO'!$I$66+2,0),BY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BZ14" s="147">
        <f>IF(AND(BZ$3&gt;=ROUNDUP('01_MODELO'!$I$66+2,0),BZ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A14" s="147">
        <f>IF(AND(CA$3&gt;=ROUNDUP('01_MODELO'!$I$66+2,0),CA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B14" s="147">
        <f>IF(AND(CB$3&gt;=ROUNDUP('01_MODELO'!$I$66+2,0),CB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C14" s="147">
        <f>IF(AND(CC$3&gt;=ROUNDUP('01_MODELO'!$I$66+2,0),CC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D14" s="147">
        <f>IF(AND(CD$3&gt;=ROUNDUP('01_MODELO'!$I$66+2,0),CD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E14" s="147">
        <f>IF(AND(CE$3&gt;=ROUNDUP('01_MODELO'!$I$66+2,0),CE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F14" s="147">
        <f>IF(AND(CF$3&gt;=ROUNDUP('01_MODELO'!$I$66+2,0),CF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G14" s="147">
        <f>IF(AND(CG$3&gt;=ROUNDUP('01_MODELO'!$I$66+2,0),CG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H14" s="147">
        <f>IF(AND(CH$3&gt;=ROUNDUP('01_MODELO'!$I$66+2,0),CH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I14" s="147">
        <f>IF(AND(CI$3&gt;=ROUNDUP('01_MODELO'!$I$66+2,0),CI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J14" s="147">
        <f>IF(AND(CJ$3&gt;=ROUNDUP('01_MODELO'!$I$66+2,0),CJ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K14" s="147">
        <f>IF(AND(CK$3&gt;=ROUNDUP('01_MODELO'!$I$66+2,0),CK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L14" s="147">
        <f>IF(AND(CL$3&gt;=ROUNDUP('01_MODELO'!$I$66+2,0),CL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M14" s="147">
        <f>IF(AND(CM$3&gt;=ROUNDUP('01_MODELO'!$I$66+2,0),CM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N14" s="147">
        <f>IF(AND(CN$3&gt;=ROUNDUP('01_MODELO'!$I$66+2,0),CN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O14" s="147">
        <f>IF(AND(CO$3&gt;=ROUNDUP('01_MODELO'!$I$66+2,0),CO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P14" s="147">
        <f>IF(AND(CP$3&gt;=ROUNDUP('01_MODELO'!$I$66+2,0),CP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Q14" s="147">
        <f>IF(AND(CQ$3&gt;=ROUNDUP('01_MODELO'!$I$66+2,0),CQ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R14" s="147">
        <f>IF(AND(CR$3&gt;=ROUNDUP('01_MODELO'!$I$66+2,0),CR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S14" s="147">
        <f>IF(AND(CS$3&gt;=ROUNDUP('01_MODELO'!$I$66+2,0),CS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T14" s="147">
        <f>IF(AND(CT$3&gt;=ROUNDUP('01_MODELO'!$I$66+2,0),CT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U14" s="147">
        <f>IF(AND(CU$3&gt;=ROUNDUP('01_MODELO'!$I$66+2,0),CU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V14" s="147">
        <f>IF(AND(CV$3&gt;=ROUNDUP('01_MODELO'!$I$66+2,0),CV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W14" s="147">
        <f>IF(AND(CW$3&gt;=ROUNDUP('01_MODELO'!$I$66+2,0),CW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X14" s="147">
        <f>IF(AND(CX$3&gt;=ROUNDUP('01_MODELO'!$I$66+2,0),CX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Y14" s="147">
        <f>IF(AND(CY$3&gt;=ROUNDUP('01_MODELO'!$I$66+2,0),CY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CZ14" s="147">
        <f>IF(AND(CZ$3&gt;=ROUNDUP('01_MODELO'!$I$66+2,0),CZ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A14" s="147">
        <f>IF(AND(DA$3&gt;=ROUNDUP('01_MODELO'!$I$66+2,0),DA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B14" s="147">
        <f>IF(AND(DB$3&gt;=ROUNDUP('01_MODELO'!$I$66+2,0),DB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C14" s="147">
        <f>IF(AND(DC$3&gt;=ROUNDUP('01_MODELO'!$I$66+2,0),DC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D14" s="147">
        <f>IF(AND(DD$3&gt;=ROUNDUP('01_MODELO'!$I$66+2,0),DD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E14" s="147">
        <f>IF(AND(DE$3&gt;=ROUNDUP('01_MODELO'!$I$66+2,0),DE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F14" s="147">
        <f>IF(AND(DF$3&gt;=ROUNDUP('01_MODELO'!$I$66+2,0),DF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G14" s="147">
        <f>IF(AND(DG$3&gt;=ROUNDUP('01_MODELO'!$I$66+2,0),DG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H14" s="147">
        <f>IF(AND(DH$3&gt;=ROUNDUP('01_MODELO'!$I$66+2,0),DH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I14" s="147">
        <f>IF(AND(DI$3&gt;=ROUNDUP('01_MODELO'!$I$66+2,0),DI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J14" s="147">
        <f>IF(AND(DJ$3&gt;=ROUNDUP('01_MODELO'!$I$66+2,0),DJ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K14" s="147">
        <f>IF(AND(DK$3&gt;=ROUNDUP('01_MODELO'!$I$66+2,0),DK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L14" s="147">
        <f>IF(AND(DL$3&gt;=ROUNDUP('01_MODELO'!$I$66+2,0),DL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M14" s="147">
        <f>IF(AND(DM$3&gt;=ROUNDUP('01_MODELO'!$I$66+2,0),DM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N14" s="147">
        <f>IF(AND(DN$3&gt;=ROUNDUP('01_MODELO'!$I$66+2,0),DN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O14" s="147">
        <f>IF(AND(DO$3&gt;=ROUNDUP('01_MODELO'!$I$66+2,0),DO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P14" s="147">
        <f>IF(AND(DP$3&gt;=ROUNDUP('01_MODELO'!$I$66+2,0),DP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Q14" s="147">
        <f>IF(AND(DQ$3&gt;=ROUNDUP('01_MODELO'!$I$66+2,0),DQ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R14" s="147">
        <f>IF(AND(DR$3&gt;=ROUNDUP('01_MODELO'!$I$66+2,0),DR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S14" s="147">
        <f>IF(AND(DS$3&gt;=ROUNDUP('01_MODELO'!$I$66+2,0),DS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T14" s="147">
        <f>IF(AND(DT$3&gt;=ROUNDUP('01_MODELO'!$I$66+2,0),DT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U14" s="147">
        <f>IF(AND(DU$3&gt;=ROUNDUP('01_MODELO'!$I$66+2,0),DU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V14" s="147">
        <f>IF(AND(DV$3&gt;=ROUNDUP('01_MODELO'!$I$66+2,0),DV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W14" s="147">
        <f>IF(AND(DW$3&gt;=ROUNDUP('01_MODELO'!$I$66+2,0),DW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X14" s="147">
        <f>IF(AND(DX$3&gt;=ROUNDUP('01_MODELO'!$I$66+2,0),DX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Y14" s="147">
        <f>IF(AND(DY$3&gt;=ROUNDUP('01_MODELO'!$I$66+2,0),DY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DZ14" s="147">
        <f>IF(AND(DZ$3&gt;=ROUNDUP('01_MODELO'!$I$66+2,0),DZ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A14" s="147">
        <f>IF(AND(EA$3&gt;=ROUNDUP('01_MODELO'!$I$66+2,0),EA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B14" s="147">
        <f>IF(AND(EB$3&gt;=ROUNDUP('01_MODELO'!$I$66+2,0),EB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C14" s="147">
        <f>IF(AND(EC$3&gt;=ROUNDUP('01_MODELO'!$I$66+2,0),EC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D14" s="147">
        <f>IF(AND(ED$3&gt;=ROUNDUP('01_MODELO'!$I$66+2,0),ED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E14" s="147">
        <f>IF(AND(EE$3&gt;=ROUNDUP('01_MODELO'!$I$66+2,0),EE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F14" s="147">
        <f>IF(AND(EF$3&gt;=ROUNDUP('01_MODELO'!$I$66+2,0),EF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G14" s="147">
        <f>IF(AND(EG$3&gt;=ROUNDUP('01_MODELO'!$I$66+2,0),EG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H14" s="147">
        <f>IF(AND(EH$3&gt;=ROUNDUP('01_MODELO'!$I$66+2,0),EH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I14" s="147">
        <f>IF(AND(EI$3&gt;=ROUNDUP('01_MODELO'!$I$66+2,0),EI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J14" s="147">
        <f>IF(AND(EJ$3&gt;=ROUNDUP('01_MODELO'!$I$66+2,0),EJ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K14" s="147">
        <f>IF(AND(EK$3&gt;=ROUNDUP('01_MODELO'!$I$66+2,0),EK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L14" s="147">
        <f>IF(AND(EL$3&gt;=ROUNDUP('01_MODELO'!$I$66+2,0),EL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M14" s="147">
        <f>IF(AND(EM$3&gt;=ROUNDUP('01_MODELO'!$I$66+2,0),EM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N14" s="147">
        <f>IF(AND(EN$3&gt;=ROUNDUP('01_MODELO'!$I$66+2,0),EN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O14" s="147">
        <f>IF(AND(EO$3&gt;=ROUNDUP('01_MODELO'!$I$66+2,0),EO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P14" s="147">
        <f>IF(AND(EP$3&gt;=ROUNDUP('01_MODELO'!$I$66+2,0),EP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Q14" s="147">
        <f>IF(AND(EQ$3&gt;=ROUNDUP('01_MODELO'!$I$66+2,0),EQ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R14" s="147">
        <f>IF(AND(ER$3&gt;=ROUNDUP('01_MODELO'!$I$66+2,0),ER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S14" s="147">
        <f>IF(AND(ES$3&gt;=ROUNDUP('01_MODELO'!$I$66+2,0),ES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T14" s="147">
        <f>IF(AND(ET$3&gt;=ROUNDUP('01_MODELO'!$I$66+2,0),ET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U14" s="147">
        <f>IF(AND(EU$3&gt;=ROUNDUP('01_MODELO'!$I$66+2,0),EU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V14" s="147">
        <f>IF(AND(EV$3&gt;=ROUNDUP('01_MODELO'!$I$66+2,0),EV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W14" s="147">
        <f>IF(AND(EW$3&gt;=ROUNDUP('01_MODELO'!$I$66+2,0),EW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X14" s="147">
        <f>IF(AND(EX$3&gt;=ROUNDUP('01_MODELO'!$I$66+2,0),EX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Y14" s="147">
        <f>IF(AND(EY$3&gt;=ROUNDUP('01_MODELO'!$I$66+2,0),EY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EZ14" s="147">
        <f>IF(AND(EZ$3&gt;=ROUNDUP('01_MODELO'!$I$66+2,0),EZ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A14" s="147">
        <f>IF(AND(FA$3&gt;=ROUNDUP('01_MODELO'!$I$66+2,0),FA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B14" s="147">
        <f>IF(AND(FB$3&gt;=ROUNDUP('01_MODELO'!$I$66+2,0),FB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C14" s="147">
        <f>IF(AND(FC$3&gt;=ROUNDUP('01_MODELO'!$I$66+2,0),FC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D14" s="147">
        <f>IF(AND(FD$3&gt;=ROUNDUP('01_MODELO'!$I$66+2,0),FD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E14" s="147">
        <f>IF(AND(FE$3&gt;=ROUNDUP('01_MODELO'!$I$66+2,0),FE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F14" s="147">
        <f>IF(AND(FF$3&gt;=ROUNDUP('01_MODELO'!$I$66+2,0),FF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G14" s="147">
        <f>IF(AND(FG$3&gt;=ROUNDUP('01_MODELO'!$I$66+2,0),FG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H14" s="147">
        <f>IF(AND(FH$3&gt;=ROUNDUP('01_MODELO'!$I$66+2,0),FH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I14" s="147">
        <f>IF(AND(FI$3&gt;=ROUNDUP('01_MODELO'!$I$66+2,0),FI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J14" s="147">
        <f>IF(AND(FJ$3&gt;=ROUNDUP('01_MODELO'!$I$66+2,0),FJ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K14" s="147">
        <f>IF(AND(FK$3&gt;=ROUNDUP('01_MODELO'!$I$66+2,0),FK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L14" s="147">
        <f>IF(AND(FL$3&gt;=ROUNDUP('01_MODELO'!$I$66+2,0),FL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M14" s="147">
        <f>IF(AND(FM$3&gt;=ROUNDUP('01_MODELO'!$I$66+2,0),FM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N14" s="147">
        <f>IF(AND(FN$3&gt;=ROUNDUP('01_MODELO'!$I$66+2,0),FN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O14" s="147">
        <f>IF(AND(FO$3&gt;=ROUNDUP('01_MODELO'!$I$66+2,0),FO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P14" s="147">
        <f>IF(AND(FP$3&gt;=ROUNDUP('01_MODELO'!$I$66+2,0),FP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Q14" s="147">
        <f>IF(AND(FQ$3&gt;=ROUNDUP('01_MODELO'!$I$66+2,0),FQ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R14" s="147">
        <f>IF(AND(FR$3&gt;=ROUNDUP('01_MODELO'!$I$66+2,0),FR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S14" s="147">
        <f>IF(AND(FS$3&gt;=ROUNDUP('01_MODELO'!$I$66+2,0),FS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T14" s="147">
        <f>IF(AND(FT$3&gt;=ROUNDUP('01_MODELO'!$I$66+2,0),FT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U14" s="147">
        <f>IF(AND(FU$3&gt;=ROUNDUP('01_MODELO'!$I$66+2,0),FU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V14" s="147">
        <f>IF(AND(FV$3&gt;=ROUNDUP('01_MODELO'!$I$66+2,0),FV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W14" s="147">
        <f>IF(AND(FW$3&gt;=ROUNDUP('01_MODELO'!$I$66+2,0),FW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X14" s="147">
        <f>IF(AND(FX$3&gt;=ROUNDUP('01_MODELO'!$I$66+2,0),FX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Y14" s="147">
        <f>IF(AND(FY$3&gt;=ROUNDUP('01_MODELO'!$I$66+2,0),FY$3&lt;=ROUNDUP('01_MODELO'!$I$37,0)),(SUMPRODUCT($B$10:$FZ$10,--($B$3:$FZ$3&lt;ROUNDUP('01_MODELO'!$I$37,0)))*'10_CAPEX-INGRESOS-PAGOS'!$H$27)*'10_CAPEX-INGRESOS-PAGOS'!$H$47/(ROUNDUP('01_MODELO'!$I$37,0)-ROUNDUP('01_MODELO'!$I$66+2,0)+1),0)</f>
        <v>0</v>
      </c>
      <c r="FZ14" s="147">
        <f>IF(AND(FZ$3&gt;=ROUNDUP('01_MODELO'!$I$66+2,0),FZ$3&lt;=ROUNDUP('01_MODELO'!$I$37,0)),(SUMPRODUCT($B$10:$FZ$10,--($B$3:$FZ$3&lt;ROUNDUP('01_MODELO'!$I$37,0)))*'10_CAPEX-INGRESOS-PAGOS'!$H$27)*'10_CAPEX-INGRESOS-PAGOS'!$H$47/(ROUNDUP('01_MODELO'!$I$37,0)-ROUNDUP('01_MODELO'!$I$66+2,0)+1),0)</f>
        <v>0</v>
      </c>
    </row>
    <row r="15" spans="1:182" x14ac:dyDescent="0.25">
      <c r="A15" s="33" t="s">
        <v>269</v>
      </c>
      <c r="B15" s="147">
        <f>IF(B$3=ROUNDUP('01_MODELO'!$I$37,0),(SUMPRODUCT($B$10:$FZ$10,--($B$3:$FZ$3&lt;ROUNDUP('01_MODELO'!$I$37,0)))*'10_CAPEX-INGRESOS-PAGOS'!$H$27)*'10_CAPEX-INGRESOS-PAGOS'!$H$48,0)</f>
        <v>0</v>
      </c>
      <c r="C15" s="147">
        <f>IF(C$3=ROUNDUP('01_MODELO'!$I$37,0),(SUMPRODUCT($B$10:$FZ$10,--($B$3:$FZ$3&lt;ROUNDUP('01_MODELO'!$I$37,0)))*'10_CAPEX-INGRESOS-PAGOS'!$H$27)*'10_CAPEX-INGRESOS-PAGOS'!$H$48,0)</f>
        <v>0</v>
      </c>
      <c r="D15" s="147">
        <f>IF(D$3=ROUNDUP('01_MODELO'!$I$37,0),(SUMPRODUCT($B$10:$FZ$10,--($B$3:$FZ$3&lt;ROUNDUP('01_MODELO'!$I$37,0)))*'10_CAPEX-INGRESOS-PAGOS'!$H$27)*'10_CAPEX-INGRESOS-PAGOS'!$H$48,0)</f>
        <v>0</v>
      </c>
      <c r="E15" s="147">
        <f>IF(E$3=ROUNDUP('01_MODELO'!$I$37,0),(SUMPRODUCT($B$10:$FZ$10,--($B$3:$FZ$3&lt;ROUNDUP('01_MODELO'!$I$37,0)))*'10_CAPEX-INGRESOS-PAGOS'!$H$27)*'10_CAPEX-INGRESOS-PAGOS'!$H$48,0)</f>
        <v>0</v>
      </c>
      <c r="F15" s="147">
        <f>IF(F$3=ROUNDUP('01_MODELO'!$I$37,0),(SUMPRODUCT($B$10:$FZ$10,--($B$3:$FZ$3&lt;ROUNDUP('01_MODELO'!$I$37,0)))*'10_CAPEX-INGRESOS-PAGOS'!$H$27)*'10_CAPEX-INGRESOS-PAGOS'!$H$48,0)</f>
        <v>0</v>
      </c>
      <c r="G15" s="147">
        <f>IF(G$3=ROUNDUP('01_MODELO'!$I$37,0),(SUMPRODUCT($B$10:$FZ$10,--($B$3:$FZ$3&lt;ROUNDUP('01_MODELO'!$I$37,0)))*'10_CAPEX-INGRESOS-PAGOS'!$H$27)*'10_CAPEX-INGRESOS-PAGOS'!$H$48,0)</f>
        <v>0</v>
      </c>
      <c r="H15" s="147">
        <f>IF(H$3=ROUNDUP('01_MODELO'!$I$37,0),(SUMPRODUCT($B$10:$FZ$10,--($B$3:$FZ$3&lt;ROUNDUP('01_MODELO'!$I$37,0)))*'10_CAPEX-INGRESOS-PAGOS'!$H$27)*'10_CAPEX-INGRESOS-PAGOS'!$H$48,0)</f>
        <v>0</v>
      </c>
      <c r="I15" s="147">
        <f>IF(I$3=ROUNDUP('01_MODELO'!$I$37,0),(SUMPRODUCT($B$10:$FZ$10,--($B$3:$FZ$3&lt;ROUNDUP('01_MODELO'!$I$37,0)))*'10_CAPEX-INGRESOS-PAGOS'!$H$27)*'10_CAPEX-INGRESOS-PAGOS'!$H$48,0)</f>
        <v>0</v>
      </c>
      <c r="J15" s="147">
        <f>IF(J$3=ROUNDUP('01_MODELO'!$I$37,0),(SUMPRODUCT($B$10:$FZ$10,--($B$3:$FZ$3&lt;ROUNDUP('01_MODELO'!$I$37,0)))*'10_CAPEX-INGRESOS-PAGOS'!$H$27)*'10_CAPEX-INGRESOS-PAGOS'!$H$48,0)</f>
        <v>0</v>
      </c>
      <c r="K15" s="147">
        <f>IF(K$3=ROUNDUP('01_MODELO'!$I$37,0),(SUMPRODUCT($B$10:$FZ$10,--($B$3:$FZ$3&lt;ROUNDUP('01_MODELO'!$I$37,0)))*'10_CAPEX-INGRESOS-PAGOS'!$H$27)*'10_CAPEX-INGRESOS-PAGOS'!$H$48,0)</f>
        <v>0</v>
      </c>
      <c r="L15" s="147">
        <f>IF(L$3=ROUNDUP('01_MODELO'!$I$37,0),(SUMPRODUCT($B$10:$FZ$10,--($B$3:$FZ$3&lt;ROUNDUP('01_MODELO'!$I$37,0)))*'10_CAPEX-INGRESOS-PAGOS'!$H$27)*'10_CAPEX-INGRESOS-PAGOS'!$H$48,0)</f>
        <v>0</v>
      </c>
      <c r="M15" s="147">
        <f>IF(M$3=ROUNDUP('01_MODELO'!$I$37,0),(SUMPRODUCT($B$10:$FZ$10,--($B$3:$FZ$3&lt;ROUNDUP('01_MODELO'!$I$37,0)))*'10_CAPEX-INGRESOS-PAGOS'!$H$27)*'10_CAPEX-INGRESOS-PAGOS'!$H$48,0)</f>
        <v>0</v>
      </c>
      <c r="N15" s="147">
        <f>IF(N$3=ROUNDUP('01_MODELO'!$I$37,0),(SUMPRODUCT($B$10:$FZ$10,--($B$3:$FZ$3&lt;ROUNDUP('01_MODELO'!$I$37,0)))*'10_CAPEX-INGRESOS-PAGOS'!$H$27)*'10_CAPEX-INGRESOS-PAGOS'!$H$48,0)</f>
        <v>0</v>
      </c>
      <c r="O15" s="147">
        <f>IF(O$3=ROUNDUP('01_MODELO'!$I$37,0),(SUMPRODUCT($B$10:$FZ$10,--($B$3:$FZ$3&lt;ROUNDUP('01_MODELO'!$I$37,0)))*'10_CAPEX-INGRESOS-PAGOS'!$H$27)*'10_CAPEX-INGRESOS-PAGOS'!$H$48,0)</f>
        <v>0</v>
      </c>
      <c r="P15" s="147">
        <f>IF(P$3=ROUNDUP('01_MODELO'!$I$37,0),(SUMPRODUCT($B$10:$FZ$10,--($B$3:$FZ$3&lt;ROUNDUP('01_MODELO'!$I$37,0)))*'10_CAPEX-INGRESOS-PAGOS'!$H$27)*'10_CAPEX-INGRESOS-PAGOS'!$H$48,0)</f>
        <v>0</v>
      </c>
      <c r="Q15" s="147">
        <f>IF(Q$3=ROUNDUP('01_MODELO'!$I$37,0),(SUMPRODUCT($B$10:$FZ$10,--($B$3:$FZ$3&lt;ROUNDUP('01_MODELO'!$I$37,0)))*'10_CAPEX-INGRESOS-PAGOS'!$H$27)*'10_CAPEX-INGRESOS-PAGOS'!$H$48,0)</f>
        <v>0</v>
      </c>
      <c r="R15" s="147">
        <f>IF(R$3=ROUNDUP('01_MODELO'!$I$37,0),(SUMPRODUCT($B$10:$FZ$10,--($B$3:$FZ$3&lt;ROUNDUP('01_MODELO'!$I$37,0)))*'10_CAPEX-INGRESOS-PAGOS'!$H$27)*'10_CAPEX-INGRESOS-PAGOS'!$H$48,0)</f>
        <v>0</v>
      </c>
      <c r="S15" s="147">
        <f>IF(S$3=ROUNDUP('01_MODELO'!$I$37,0),(SUMPRODUCT($B$10:$FZ$10,--($B$3:$FZ$3&lt;ROUNDUP('01_MODELO'!$I$37,0)))*'10_CAPEX-INGRESOS-PAGOS'!$H$27)*'10_CAPEX-INGRESOS-PAGOS'!$H$48,0)</f>
        <v>0</v>
      </c>
      <c r="T15" s="147">
        <f>IF(T$3=ROUNDUP('01_MODELO'!$I$37,0),(SUMPRODUCT($B$10:$FZ$10,--($B$3:$FZ$3&lt;ROUNDUP('01_MODELO'!$I$37,0)))*'10_CAPEX-INGRESOS-PAGOS'!$H$27)*'10_CAPEX-INGRESOS-PAGOS'!$H$48,0)</f>
        <v>0</v>
      </c>
      <c r="U15" s="147">
        <f>IF(U$3=ROUNDUP('01_MODELO'!$I$37,0),(SUMPRODUCT($B$10:$FZ$10,--($B$3:$FZ$3&lt;ROUNDUP('01_MODELO'!$I$37,0)))*'10_CAPEX-INGRESOS-PAGOS'!$H$27)*'10_CAPEX-INGRESOS-PAGOS'!$H$48,0)</f>
        <v>0</v>
      </c>
      <c r="V15" s="147">
        <f>IF(V$3=ROUNDUP('01_MODELO'!$I$37,0),(SUMPRODUCT($B$10:$FZ$10,--($B$3:$FZ$3&lt;ROUNDUP('01_MODELO'!$I$37,0)))*'10_CAPEX-INGRESOS-PAGOS'!$H$27)*'10_CAPEX-INGRESOS-PAGOS'!$H$48,0)</f>
        <v>0</v>
      </c>
      <c r="W15" s="147">
        <f>IF(W$3=ROUNDUP('01_MODELO'!$I$37,0),(SUMPRODUCT($B$10:$FZ$10,--($B$3:$FZ$3&lt;ROUNDUP('01_MODELO'!$I$37,0)))*'10_CAPEX-INGRESOS-PAGOS'!$H$27)*'10_CAPEX-INGRESOS-PAGOS'!$H$48,0)</f>
        <v>0</v>
      </c>
      <c r="X15" s="147">
        <f>IF(X$3=ROUNDUP('01_MODELO'!$I$37,0),(SUMPRODUCT($B$10:$FZ$10,--($B$3:$FZ$3&lt;ROUNDUP('01_MODELO'!$I$37,0)))*'10_CAPEX-INGRESOS-PAGOS'!$H$27)*'10_CAPEX-INGRESOS-PAGOS'!$H$48,0)</f>
        <v>0</v>
      </c>
      <c r="Y15" s="147">
        <f>IF(Y$3=ROUNDUP('01_MODELO'!$I$37,0),(SUMPRODUCT($B$10:$FZ$10,--($B$3:$FZ$3&lt;ROUNDUP('01_MODELO'!$I$37,0)))*'10_CAPEX-INGRESOS-PAGOS'!$H$27)*'10_CAPEX-INGRESOS-PAGOS'!$H$48,0)</f>
        <v>0</v>
      </c>
      <c r="Z15" s="147">
        <f>IF(Z$3=ROUNDUP('01_MODELO'!$I$37,0),(SUMPRODUCT($B$10:$FZ$10,--($B$3:$FZ$3&lt;ROUNDUP('01_MODELO'!$I$37,0)))*'10_CAPEX-INGRESOS-PAGOS'!$H$27)*'10_CAPEX-INGRESOS-PAGOS'!$H$48,0)</f>
        <v>0</v>
      </c>
      <c r="AA15" s="147">
        <f>IF(AA$3=ROUNDUP('01_MODELO'!$I$37,0),(SUMPRODUCT($B$10:$FZ$10,--($B$3:$FZ$3&lt;ROUNDUP('01_MODELO'!$I$37,0)))*'10_CAPEX-INGRESOS-PAGOS'!$H$27)*'10_CAPEX-INGRESOS-PAGOS'!$H$48,0)</f>
        <v>0</v>
      </c>
      <c r="AB15" s="147">
        <f>IF(AB$3=ROUNDUP('01_MODELO'!$I$37,0),(SUMPRODUCT($B$10:$FZ$10,--($B$3:$FZ$3&lt;ROUNDUP('01_MODELO'!$I$37,0)))*'10_CAPEX-INGRESOS-PAGOS'!$H$27)*'10_CAPEX-INGRESOS-PAGOS'!$H$48,0)</f>
        <v>0</v>
      </c>
      <c r="AC15" s="147">
        <f>IF(AC$3=ROUNDUP('01_MODELO'!$I$37,0),(SUMPRODUCT($B$10:$FZ$10,--($B$3:$FZ$3&lt;ROUNDUP('01_MODELO'!$I$37,0)))*'10_CAPEX-INGRESOS-PAGOS'!$H$27)*'10_CAPEX-INGRESOS-PAGOS'!$H$48,0)</f>
        <v>0</v>
      </c>
      <c r="AD15" s="147">
        <f>IF(AD$3=ROUNDUP('01_MODELO'!$I$37,0),(SUMPRODUCT($B$10:$FZ$10,--($B$3:$FZ$3&lt;ROUNDUP('01_MODELO'!$I$37,0)))*'10_CAPEX-INGRESOS-PAGOS'!$H$27)*'10_CAPEX-INGRESOS-PAGOS'!$H$48,0)</f>
        <v>0</v>
      </c>
      <c r="AE15" s="147">
        <f>IF(AE$3=ROUNDUP('01_MODELO'!$I$37,0),(SUMPRODUCT($B$10:$FZ$10,--($B$3:$FZ$3&lt;ROUNDUP('01_MODELO'!$I$37,0)))*'10_CAPEX-INGRESOS-PAGOS'!$H$27)*'10_CAPEX-INGRESOS-PAGOS'!$H$48,0)</f>
        <v>0</v>
      </c>
      <c r="AF15" s="147">
        <f>IF(AF$3=ROUNDUP('01_MODELO'!$I$37,0),(SUMPRODUCT($B$10:$FZ$10,--($B$3:$FZ$3&lt;ROUNDUP('01_MODELO'!$I$37,0)))*'10_CAPEX-INGRESOS-PAGOS'!$H$27)*'10_CAPEX-INGRESOS-PAGOS'!$H$48,0)</f>
        <v>0</v>
      </c>
      <c r="AG15" s="147">
        <f>IF(AG$3=ROUNDUP('01_MODELO'!$I$37,0),(SUMPRODUCT($B$10:$FZ$10,--($B$3:$FZ$3&lt;ROUNDUP('01_MODELO'!$I$37,0)))*'10_CAPEX-INGRESOS-PAGOS'!$H$27)*'10_CAPEX-INGRESOS-PAGOS'!$H$48,0)</f>
        <v>0</v>
      </c>
      <c r="AH15" s="147">
        <f>IF(AH$3=ROUNDUP('01_MODELO'!$I$37,0),(SUMPRODUCT($B$10:$FZ$10,--($B$3:$FZ$3&lt;ROUNDUP('01_MODELO'!$I$37,0)))*'10_CAPEX-INGRESOS-PAGOS'!$H$27)*'10_CAPEX-INGRESOS-PAGOS'!$H$48,0)</f>
        <v>0</v>
      </c>
      <c r="AI15" s="147">
        <f>IF(AI$3=ROUNDUP('01_MODELO'!$I$37,0),(SUMPRODUCT($B$10:$FZ$10,--($B$3:$FZ$3&lt;ROUNDUP('01_MODELO'!$I$37,0)))*'10_CAPEX-INGRESOS-PAGOS'!$H$27)*'10_CAPEX-INGRESOS-PAGOS'!$H$48,0)</f>
        <v>0</v>
      </c>
      <c r="AJ15" s="147">
        <f>IF(AJ$3=ROUNDUP('01_MODELO'!$I$37,0),(SUMPRODUCT($B$10:$FZ$10,--($B$3:$FZ$3&lt;ROUNDUP('01_MODELO'!$I$37,0)))*'10_CAPEX-INGRESOS-PAGOS'!$H$27)*'10_CAPEX-INGRESOS-PAGOS'!$H$48,0)</f>
        <v>0</v>
      </c>
      <c r="AK15" s="147">
        <f>IF(AK$3=ROUNDUP('01_MODELO'!$I$37,0),(SUMPRODUCT($B$10:$FZ$10,--($B$3:$FZ$3&lt;ROUNDUP('01_MODELO'!$I$37,0)))*'10_CAPEX-INGRESOS-PAGOS'!$H$27)*'10_CAPEX-INGRESOS-PAGOS'!$H$48,0)</f>
        <v>6971250</v>
      </c>
      <c r="AL15" s="147">
        <f>IF(AL$3=ROUNDUP('01_MODELO'!$I$37,0),(SUMPRODUCT($B$10:$FZ$10,--($B$3:$FZ$3&lt;ROUNDUP('01_MODELO'!$I$37,0)))*'10_CAPEX-INGRESOS-PAGOS'!$H$27)*'10_CAPEX-INGRESOS-PAGOS'!$H$48,0)</f>
        <v>0</v>
      </c>
      <c r="AM15" s="147">
        <f>IF(AM$3=ROUNDUP('01_MODELO'!$I$37,0),(SUMPRODUCT($B$10:$FZ$10,--($B$3:$FZ$3&lt;ROUNDUP('01_MODELO'!$I$37,0)))*'10_CAPEX-INGRESOS-PAGOS'!$H$27)*'10_CAPEX-INGRESOS-PAGOS'!$H$48,0)</f>
        <v>0</v>
      </c>
      <c r="AN15" s="147">
        <f>IF(AN$3=ROUNDUP('01_MODELO'!$I$37,0),(SUMPRODUCT($B$10:$FZ$10,--($B$3:$FZ$3&lt;ROUNDUP('01_MODELO'!$I$37,0)))*'10_CAPEX-INGRESOS-PAGOS'!$H$27)*'10_CAPEX-INGRESOS-PAGOS'!$H$48,0)</f>
        <v>0</v>
      </c>
      <c r="AO15" s="147">
        <f>IF(AO$3=ROUNDUP('01_MODELO'!$I$37,0),(SUMPRODUCT($B$10:$FZ$10,--($B$3:$FZ$3&lt;ROUNDUP('01_MODELO'!$I$37,0)))*'10_CAPEX-INGRESOS-PAGOS'!$H$27)*'10_CAPEX-INGRESOS-PAGOS'!$H$48,0)</f>
        <v>0</v>
      </c>
      <c r="AP15" s="147">
        <f>IF(AP$3=ROUNDUP('01_MODELO'!$I$37,0),(SUMPRODUCT($B$10:$FZ$10,--($B$3:$FZ$3&lt;ROUNDUP('01_MODELO'!$I$37,0)))*'10_CAPEX-INGRESOS-PAGOS'!$H$27)*'10_CAPEX-INGRESOS-PAGOS'!$H$48,0)</f>
        <v>0</v>
      </c>
      <c r="AQ15" s="147">
        <f>IF(AQ$3=ROUNDUP('01_MODELO'!$I$37,0),(SUMPRODUCT($B$10:$FZ$10,--($B$3:$FZ$3&lt;ROUNDUP('01_MODELO'!$I$37,0)))*'10_CAPEX-INGRESOS-PAGOS'!$H$27)*'10_CAPEX-INGRESOS-PAGOS'!$H$48,0)</f>
        <v>0</v>
      </c>
      <c r="AR15" s="147">
        <f>IF(AR$3=ROUNDUP('01_MODELO'!$I$37,0),(SUMPRODUCT($B$10:$FZ$10,--($B$3:$FZ$3&lt;ROUNDUP('01_MODELO'!$I$37,0)))*'10_CAPEX-INGRESOS-PAGOS'!$H$27)*'10_CAPEX-INGRESOS-PAGOS'!$H$48,0)</f>
        <v>0</v>
      </c>
      <c r="AS15" s="147">
        <f>IF(AS$3=ROUNDUP('01_MODELO'!$I$37,0),(SUMPRODUCT($B$10:$FZ$10,--($B$3:$FZ$3&lt;ROUNDUP('01_MODELO'!$I$37,0)))*'10_CAPEX-INGRESOS-PAGOS'!$H$27)*'10_CAPEX-INGRESOS-PAGOS'!$H$48,0)</f>
        <v>0</v>
      </c>
      <c r="AT15" s="147">
        <f>IF(AT$3=ROUNDUP('01_MODELO'!$I$37,0),(SUMPRODUCT($B$10:$FZ$10,--($B$3:$FZ$3&lt;ROUNDUP('01_MODELO'!$I$37,0)))*'10_CAPEX-INGRESOS-PAGOS'!$H$27)*'10_CAPEX-INGRESOS-PAGOS'!$H$48,0)</f>
        <v>0</v>
      </c>
      <c r="AU15" s="147">
        <f>IF(AU$3=ROUNDUP('01_MODELO'!$I$37,0),(SUMPRODUCT($B$10:$FZ$10,--($B$3:$FZ$3&lt;ROUNDUP('01_MODELO'!$I$37,0)))*'10_CAPEX-INGRESOS-PAGOS'!$H$27)*'10_CAPEX-INGRESOS-PAGOS'!$H$48,0)</f>
        <v>0</v>
      </c>
      <c r="AV15" s="147">
        <f>IF(AV$3=ROUNDUP('01_MODELO'!$I$37,0),(SUMPRODUCT($B$10:$FZ$10,--($B$3:$FZ$3&lt;ROUNDUP('01_MODELO'!$I$37,0)))*'10_CAPEX-INGRESOS-PAGOS'!$H$27)*'10_CAPEX-INGRESOS-PAGOS'!$H$48,0)</f>
        <v>0</v>
      </c>
      <c r="AW15" s="147">
        <f>IF(AW$3=ROUNDUP('01_MODELO'!$I$37,0),(SUMPRODUCT($B$10:$FZ$10,--($B$3:$FZ$3&lt;ROUNDUP('01_MODELO'!$I$37,0)))*'10_CAPEX-INGRESOS-PAGOS'!$H$27)*'10_CAPEX-INGRESOS-PAGOS'!$H$48,0)</f>
        <v>0</v>
      </c>
      <c r="AX15" s="147">
        <f>IF(AX$3=ROUNDUP('01_MODELO'!$I$37,0),(SUMPRODUCT($B$10:$FZ$10,--($B$3:$FZ$3&lt;ROUNDUP('01_MODELO'!$I$37,0)))*'10_CAPEX-INGRESOS-PAGOS'!$H$27)*'10_CAPEX-INGRESOS-PAGOS'!$H$48,0)</f>
        <v>0</v>
      </c>
      <c r="AY15" s="147">
        <f>IF(AY$3=ROUNDUP('01_MODELO'!$I$37,0),(SUMPRODUCT($B$10:$FZ$10,--($B$3:$FZ$3&lt;ROUNDUP('01_MODELO'!$I$37,0)))*'10_CAPEX-INGRESOS-PAGOS'!$H$27)*'10_CAPEX-INGRESOS-PAGOS'!$H$48,0)</f>
        <v>0</v>
      </c>
      <c r="AZ15" s="147">
        <f>IF(AZ$3=ROUNDUP('01_MODELO'!$I$37,0),(SUMPRODUCT($B$10:$FZ$10,--($B$3:$FZ$3&lt;ROUNDUP('01_MODELO'!$I$37,0)))*'10_CAPEX-INGRESOS-PAGOS'!$H$27)*'10_CAPEX-INGRESOS-PAGOS'!$H$48,0)</f>
        <v>0</v>
      </c>
      <c r="BA15" s="147">
        <f>IF(BA$3=ROUNDUP('01_MODELO'!$I$37,0),(SUMPRODUCT($B$10:$FZ$10,--($B$3:$FZ$3&lt;ROUNDUP('01_MODELO'!$I$37,0)))*'10_CAPEX-INGRESOS-PAGOS'!$H$27)*'10_CAPEX-INGRESOS-PAGOS'!$H$48,0)</f>
        <v>0</v>
      </c>
      <c r="BB15" s="147">
        <f>IF(BB$3=ROUNDUP('01_MODELO'!$I$37,0),(SUMPRODUCT($B$10:$FZ$10,--($B$3:$FZ$3&lt;ROUNDUP('01_MODELO'!$I$37,0)))*'10_CAPEX-INGRESOS-PAGOS'!$H$27)*'10_CAPEX-INGRESOS-PAGOS'!$H$48,0)</f>
        <v>0</v>
      </c>
      <c r="BC15" s="147">
        <f>IF(BC$3=ROUNDUP('01_MODELO'!$I$37,0),(SUMPRODUCT($B$10:$FZ$10,--($B$3:$FZ$3&lt;ROUNDUP('01_MODELO'!$I$37,0)))*'10_CAPEX-INGRESOS-PAGOS'!$H$27)*'10_CAPEX-INGRESOS-PAGOS'!$H$48,0)</f>
        <v>0</v>
      </c>
      <c r="BD15" s="147">
        <f>IF(BD$3=ROUNDUP('01_MODELO'!$I$37,0),(SUMPRODUCT($B$10:$FZ$10,--($B$3:$FZ$3&lt;ROUNDUP('01_MODELO'!$I$37,0)))*'10_CAPEX-INGRESOS-PAGOS'!$H$27)*'10_CAPEX-INGRESOS-PAGOS'!$H$48,0)</f>
        <v>0</v>
      </c>
      <c r="BE15" s="147">
        <f>IF(BE$3=ROUNDUP('01_MODELO'!$I$37,0),(SUMPRODUCT($B$10:$FZ$10,--($B$3:$FZ$3&lt;ROUNDUP('01_MODELO'!$I$37,0)))*'10_CAPEX-INGRESOS-PAGOS'!$H$27)*'10_CAPEX-INGRESOS-PAGOS'!$H$48,0)</f>
        <v>0</v>
      </c>
      <c r="BF15" s="147">
        <f>IF(BF$3=ROUNDUP('01_MODELO'!$I$37,0),(SUMPRODUCT($B$10:$FZ$10,--($B$3:$FZ$3&lt;ROUNDUP('01_MODELO'!$I$37,0)))*'10_CAPEX-INGRESOS-PAGOS'!$H$27)*'10_CAPEX-INGRESOS-PAGOS'!$H$48,0)</f>
        <v>0</v>
      </c>
      <c r="BG15" s="147">
        <f>IF(BG$3=ROUNDUP('01_MODELO'!$I$37,0),(SUMPRODUCT($B$10:$FZ$10,--($B$3:$FZ$3&lt;ROUNDUP('01_MODELO'!$I$37,0)))*'10_CAPEX-INGRESOS-PAGOS'!$H$27)*'10_CAPEX-INGRESOS-PAGOS'!$H$48,0)</f>
        <v>0</v>
      </c>
      <c r="BH15" s="147">
        <f>IF(BH$3=ROUNDUP('01_MODELO'!$I$37,0),(SUMPRODUCT($B$10:$FZ$10,--($B$3:$FZ$3&lt;ROUNDUP('01_MODELO'!$I$37,0)))*'10_CAPEX-INGRESOS-PAGOS'!$H$27)*'10_CAPEX-INGRESOS-PAGOS'!$H$48,0)</f>
        <v>0</v>
      </c>
      <c r="BI15" s="147">
        <f>IF(BI$3=ROUNDUP('01_MODELO'!$I$37,0),(SUMPRODUCT($B$10:$FZ$10,--($B$3:$FZ$3&lt;ROUNDUP('01_MODELO'!$I$37,0)))*'10_CAPEX-INGRESOS-PAGOS'!$H$27)*'10_CAPEX-INGRESOS-PAGOS'!$H$48,0)</f>
        <v>0</v>
      </c>
      <c r="BJ15" s="147">
        <f>IF(BJ$3=ROUNDUP('01_MODELO'!$I$37,0),(SUMPRODUCT($B$10:$FZ$10,--($B$3:$FZ$3&lt;ROUNDUP('01_MODELO'!$I$37,0)))*'10_CAPEX-INGRESOS-PAGOS'!$H$27)*'10_CAPEX-INGRESOS-PAGOS'!$H$48,0)</f>
        <v>0</v>
      </c>
      <c r="BK15" s="147">
        <f>IF(BK$3=ROUNDUP('01_MODELO'!$I$37,0),(SUMPRODUCT($B$10:$FZ$10,--($B$3:$FZ$3&lt;ROUNDUP('01_MODELO'!$I$37,0)))*'10_CAPEX-INGRESOS-PAGOS'!$H$27)*'10_CAPEX-INGRESOS-PAGOS'!$H$48,0)</f>
        <v>0</v>
      </c>
      <c r="BL15" s="147">
        <f>IF(BL$3=ROUNDUP('01_MODELO'!$I$37,0),(SUMPRODUCT($B$10:$FZ$10,--($B$3:$FZ$3&lt;ROUNDUP('01_MODELO'!$I$37,0)))*'10_CAPEX-INGRESOS-PAGOS'!$H$27)*'10_CAPEX-INGRESOS-PAGOS'!$H$48,0)</f>
        <v>0</v>
      </c>
      <c r="BM15" s="147">
        <f>IF(BM$3=ROUNDUP('01_MODELO'!$I$37,0),(SUMPRODUCT($B$10:$FZ$10,--($B$3:$FZ$3&lt;ROUNDUP('01_MODELO'!$I$37,0)))*'10_CAPEX-INGRESOS-PAGOS'!$H$27)*'10_CAPEX-INGRESOS-PAGOS'!$H$48,0)</f>
        <v>0</v>
      </c>
      <c r="BN15" s="147">
        <f>IF(BN$3=ROUNDUP('01_MODELO'!$I$37,0),(SUMPRODUCT($B$10:$FZ$10,--($B$3:$FZ$3&lt;ROUNDUP('01_MODELO'!$I$37,0)))*'10_CAPEX-INGRESOS-PAGOS'!$H$27)*'10_CAPEX-INGRESOS-PAGOS'!$H$48,0)</f>
        <v>0</v>
      </c>
      <c r="BO15" s="147">
        <f>IF(BO$3=ROUNDUP('01_MODELO'!$I$37,0),(SUMPRODUCT($B$10:$FZ$10,--($B$3:$FZ$3&lt;ROUNDUP('01_MODELO'!$I$37,0)))*'10_CAPEX-INGRESOS-PAGOS'!$H$27)*'10_CAPEX-INGRESOS-PAGOS'!$H$48,0)</f>
        <v>0</v>
      </c>
      <c r="BP15" s="147">
        <f>IF(BP$3=ROUNDUP('01_MODELO'!$I$37,0),(SUMPRODUCT($B$10:$FZ$10,--($B$3:$FZ$3&lt;ROUNDUP('01_MODELO'!$I$37,0)))*'10_CAPEX-INGRESOS-PAGOS'!$H$27)*'10_CAPEX-INGRESOS-PAGOS'!$H$48,0)</f>
        <v>0</v>
      </c>
      <c r="BQ15" s="147">
        <f>IF(BQ$3=ROUNDUP('01_MODELO'!$I$37,0),(SUMPRODUCT($B$10:$FZ$10,--($B$3:$FZ$3&lt;ROUNDUP('01_MODELO'!$I$37,0)))*'10_CAPEX-INGRESOS-PAGOS'!$H$27)*'10_CAPEX-INGRESOS-PAGOS'!$H$48,0)</f>
        <v>0</v>
      </c>
      <c r="BR15" s="147">
        <f>IF(BR$3=ROUNDUP('01_MODELO'!$I$37,0),(SUMPRODUCT($B$10:$FZ$10,--($B$3:$FZ$3&lt;ROUNDUP('01_MODELO'!$I$37,0)))*'10_CAPEX-INGRESOS-PAGOS'!$H$27)*'10_CAPEX-INGRESOS-PAGOS'!$H$48,0)</f>
        <v>0</v>
      </c>
      <c r="BS15" s="147">
        <f>IF(BS$3=ROUNDUP('01_MODELO'!$I$37,0),(SUMPRODUCT($B$10:$FZ$10,--($B$3:$FZ$3&lt;ROUNDUP('01_MODELO'!$I$37,0)))*'10_CAPEX-INGRESOS-PAGOS'!$H$27)*'10_CAPEX-INGRESOS-PAGOS'!$H$48,0)</f>
        <v>0</v>
      </c>
      <c r="BT15" s="147">
        <f>IF(BT$3=ROUNDUP('01_MODELO'!$I$37,0),(SUMPRODUCT($B$10:$FZ$10,--($B$3:$FZ$3&lt;ROUNDUP('01_MODELO'!$I$37,0)))*'10_CAPEX-INGRESOS-PAGOS'!$H$27)*'10_CAPEX-INGRESOS-PAGOS'!$H$48,0)</f>
        <v>0</v>
      </c>
      <c r="BU15" s="147">
        <f>IF(BU$3=ROUNDUP('01_MODELO'!$I$37,0),(SUMPRODUCT($B$10:$FZ$10,--($B$3:$FZ$3&lt;ROUNDUP('01_MODELO'!$I$37,0)))*'10_CAPEX-INGRESOS-PAGOS'!$H$27)*'10_CAPEX-INGRESOS-PAGOS'!$H$48,0)</f>
        <v>0</v>
      </c>
      <c r="BV15" s="147">
        <f>IF(BV$3=ROUNDUP('01_MODELO'!$I$37,0),(SUMPRODUCT($B$10:$FZ$10,--($B$3:$FZ$3&lt;ROUNDUP('01_MODELO'!$I$37,0)))*'10_CAPEX-INGRESOS-PAGOS'!$H$27)*'10_CAPEX-INGRESOS-PAGOS'!$H$48,0)</f>
        <v>0</v>
      </c>
      <c r="BW15" s="147">
        <f>IF(BW$3=ROUNDUP('01_MODELO'!$I$37,0),(SUMPRODUCT($B$10:$FZ$10,--($B$3:$FZ$3&lt;ROUNDUP('01_MODELO'!$I$37,0)))*'10_CAPEX-INGRESOS-PAGOS'!$H$27)*'10_CAPEX-INGRESOS-PAGOS'!$H$48,0)</f>
        <v>0</v>
      </c>
      <c r="BX15" s="147">
        <f>IF(BX$3=ROUNDUP('01_MODELO'!$I$37,0),(SUMPRODUCT($B$10:$FZ$10,--($B$3:$FZ$3&lt;ROUNDUP('01_MODELO'!$I$37,0)))*'10_CAPEX-INGRESOS-PAGOS'!$H$27)*'10_CAPEX-INGRESOS-PAGOS'!$H$48,0)</f>
        <v>0</v>
      </c>
      <c r="BY15" s="147">
        <f>IF(BY$3=ROUNDUP('01_MODELO'!$I$37,0),(SUMPRODUCT($B$10:$FZ$10,--($B$3:$FZ$3&lt;ROUNDUP('01_MODELO'!$I$37,0)))*'10_CAPEX-INGRESOS-PAGOS'!$H$27)*'10_CAPEX-INGRESOS-PAGOS'!$H$48,0)</f>
        <v>0</v>
      </c>
      <c r="BZ15" s="147">
        <f>IF(BZ$3=ROUNDUP('01_MODELO'!$I$37,0),(SUMPRODUCT($B$10:$FZ$10,--($B$3:$FZ$3&lt;ROUNDUP('01_MODELO'!$I$37,0)))*'10_CAPEX-INGRESOS-PAGOS'!$H$27)*'10_CAPEX-INGRESOS-PAGOS'!$H$48,0)</f>
        <v>0</v>
      </c>
      <c r="CA15" s="147">
        <f>IF(CA$3=ROUNDUP('01_MODELO'!$I$37,0),(SUMPRODUCT($B$10:$FZ$10,--($B$3:$FZ$3&lt;ROUNDUP('01_MODELO'!$I$37,0)))*'10_CAPEX-INGRESOS-PAGOS'!$H$27)*'10_CAPEX-INGRESOS-PAGOS'!$H$48,0)</f>
        <v>0</v>
      </c>
      <c r="CB15" s="147">
        <f>IF(CB$3=ROUNDUP('01_MODELO'!$I$37,0),(SUMPRODUCT($B$10:$FZ$10,--($B$3:$FZ$3&lt;ROUNDUP('01_MODELO'!$I$37,0)))*'10_CAPEX-INGRESOS-PAGOS'!$H$27)*'10_CAPEX-INGRESOS-PAGOS'!$H$48,0)</f>
        <v>0</v>
      </c>
      <c r="CC15" s="147">
        <f>IF(CC$3=ROUNDUP('01_MODELO'!$I$37,0),(SUMPRODUCT($B$10:$FZ$10,--($B$3:$FZ$3&lt;ROUNDUP('01_MODELO'!$I$37,0)))*'10_CAPEX-INGRESOS-PAGOS'!$H$27)*'10_CAPEX-INGRESOS-PAGOS'!$H$48,0)</f>
        <v>0</v>
      </c>
      <c r="CD15" s="147">
        <f>IF(CD$3=ROUNDUP('01_MODELO'!$I$37,0),(SUMPRODUCT($B$10:$FZ$10,--($B$3:$FZ$3&lt;ROUNDUP('01_MODELO'!$I$37,0)))*'10_CAPEX-INGRESOS-PAGOS'!$H$27)*'10_CAPEX-INGRESOS-PAGOS'!$H$48,0)</f>
        <v>0</v>
      </c>
      <c r="CE15" s="147">
        <f>IF(CE$3=ROUNDUP('01_MODELO'!$I$37,0),(SUMPRODUCT($B$10:$FZ$10,--($B$3:$FZ$3&lt;ROUNDUP('01_MODELO'!$I$37,0)))*'10_CAPEX-INGRESOS-PAGOS'!$H$27)*'10_CAPEX-INGRESOS-PAGOS'!$H$48,0)</f>
        <v>0</v>
      </c>
      <c r="CF15" s="147">
        <f>IF(CF$3=ROUNDUP('01_MODELO'!$I$37,0),(SUMPRODUCT($B$10:$FZ$10,--($B$3:$FZ$3&lt;ROUNDUP('01_MODELO'!$I$37,0)))*'10_CAPEX-INGRESOS-PAGOS'!$H$27)*'10_CAPEX-INGRESOS-PAGOS'!$H$48,0)</f>
        <v>0</v>
      </c>
      <c r="CG15" s="147">
        <f>IF(CG$3=ROUNDUP('01_MODELO'!$I$37,0),(SUMPRODUCT($B$10:$FZ$10,--($B$3:$FZ$3&lt;ROUNDUP('01_MODELO'!$I$37,0)))*'10_CAPEX-INGRESOS-PAGOS'!$H$27)*'10_CAPEX-INGRESOS-PAGOS'!$H$48,0)</f>
        <v>0</v>
      </c>
      <c r="CH15" s="147">
        <f>IF(CH$3=ROUNDUP('01_MODELO'!$I$37,0),(SUMPRODUCT($B$10:$FZ$10,--($B$3:$FZ$3&lt;ROUNDUP('01_MODELO'!$I$37,0)))*'10_CAPEX-INGRESOS-PAGOS'!$H$27)*'10_CAPEX-INGRESOS-PAGOS'!$H$48,0)</f>
        <v>0</v>
      </c>
      <c r="CI15" s="147">
        <f>IF(CI$3=ROUNDUP('01_MODELO'!$I$37,0),(SUMPRODUCT($B$10:$FZ$10,--($B$3:$FZ$3&lt;ROUNDUP('01_MODELO'!$I$37,0)))*'10_CAPEX-INGRESOS-PAGOS'!$H$27)*'10_CAPEX-INGRESOS-PAGOS'!$H$48,0)</f>
        <v>0</v>
      </c>
      <c r="CJ15" s="147">
        <f>IF(CJ$3=ROUNDUP('01_MODELO'!$I$37,0),(SUMPRODUCT($B$10:$FZ$10,--($B$3:$FZ$3&lt;ROUNDUP('01_MODELO'!$I$37,0)))*'10_CAPEX-INGRESOS-PAGOS'!$H$27)*'10_CAPEX-INGRESOS-PAGOS'!$H$48,0)</f>
        <v>0</v>
      </c>
      <c r="CK15" s="147">
        <f>IF(CK$3=ROUNDUP('01_MODELO'!$I$37,0),(SUMPRODUCT($B$10:$FZ$10,--($B$3:$FZ$3&lt;ROUNDUP('01_MODELO'!$I$37,0)))*'10_CAPEX-INGRESOS-PAGOS'!$H$27)*'10_CAPEX-INGRESOS-PAGOS'!$H$48,0)</f>
        <v>0</v>
      </c>
      <c r="CL15" s="147">
        <f>IF(CL$3=ROUNDUP('01_MODELO'!$I$37,0),(SUMPRODUCT($B$10:$FZ$10,--($B$3:$FZ$3&lt;ROUNDUP('01_MODELO'!$I$37,0)))*'10_CAPEX-INGRESOS-PAGOS'!$H$27)*'10_CAPEX-INGRESOS-PAGOS'!$H$48,0)</f>
        <v>0</v>
      </c>
      <c r="CM15" s="147">
        <f>IF(CM$3=ROUNDUP('01_MODELO'!$I$37,0),(SUMPRODUCT($B$10:$FZ$10,--($B$3:$FZ$3&lt;ROUNDUP('01_MODELO'!$I$37,0)))*'10_CAPEX-INGRESOS-PAGOS'!$H$27)*'10_CAPEX-INGRESOS-PAGOS'!$H$48,0)</f>
        <v>0</v>
      </c>
      <c r="CN15" s="147">
        <f>IF(CN$3=ROUNDUP('01_MODELO'!$I$37,0),(SUMPRODUCT($B$10:$FZ$10,--($B$3:$FZ$3&lt;ROUNDUP('01_MODELO'!$I$37,0)))*'10_CAPEX-INGRESOS-PAGOS'!$H$27)*'10_CAPEX-INGRESOS-PAGOS'!$H$48,0)</f>
        <v>0</v>
      </c>
      <c r="CO15" s="147">
        <f>IF(CO$3=ROUNDUP('01_MODELO'!$I$37,0),(SUMPRODUCT($B$10:$FZ$10,--($B$3:$FZ$3&lt;ROUNDUP('01_MODELO'!$I$37,0)))*'10_CAPEX-INGRESOS-PAGOS'!$H$27)*'10_CAPEX-INGRESOS-PAGOS'!$H$48,0)</f>
        <v>0</v>
      </c>
      <c r="CP15" s="147">
        <f>IF(CP$3=ROUNDUP('01_MODELO'!$I$37,0),(SUMPRODUCT($B$10:$FZ$10,--($B$3:$FZ$3&lt;ROUNDUP('01_MODELO'!$I$37,0)))*'10_CAPEX-INGRESOS-PAGOS'!$H$27)*'10_CAPEX-INGRESOS-PAGOS'!$H$48,0)</f>
        <v>0</v>
      </c>
      <c r="CQ15" s="147">
        <f>IF(CQ$3=ROUNDUP('01_MODELO'!$I$37,0),(SUMPRODUCT($B$10:$FZ$10,--($B$3:$FZ$3&lt;ROUNDUP('01_MODELO'!$I$37,0)))*'10_CAPEX-INGRESOS-PAGOS'!$H$27)*'10_CAPEX-INGRESOS-PAGOS'!$H$48,0)</f>
        <v>0</v>
      </c>
      <c r="CR15" s="147">
        <f>IF(CR$3=ROUNDUP('01_MODELO'!$I$37,0),(SUMPRODUCT($B$10:$FZ$10,--($B$3:$FZ$3&lt;ROUNDUP('01_MODELO'!$I$37,0)))*'10_CAPEX-INGRESOS-PAGOS'!$H$27)*'10_CAPEX-INGRESOS-PAGOS'!$H$48,0)</f>
        <v>0</v>
      </c>
      <c r="CS15" s="147">
        <f>IF(CS$3=ROUNDUP('01_MODELO'!$I$37,0),(SUMPRODUCT($B$10:$FZ$10,--($B$3:$FZ$3&lt;ROUNDUP('01_MODELO'!$I$37,0)))*'10_CAPEX-INGRESOS-PAGOS'!$H$27)*'10_CAPEX-INGRESOS-PAGOS'!$H$48,0)</f>
        <v>0</v>
      </c>
      <c r="CT15" s="147">
        <f>IF(CT$3=ROUNDUP('01_MODELO'!$I$37,0),(SUMPRODUCT($B$10:$FZ$10,--($B$3:$FZ$3&lt;ROUNDUP('01_MODELO'!$I$37,0)))*'10_CAPEX-INGRESOS-PAGOS'!$H$27)*'10_CAPEX-INGRESOS-PAGOS'!$H$48,0)</f>
        <v>0</v>
      </c>
      <c r="CU15" s="147">
        <f>IF(CU$3=ROUNDUP('01_MODELO'!$I$37,0),(SUMPRODUCT($B$10:$FZ$10,--($B$3:$FZ$3&lt;ROUNDUP('01_MODELO'!$I$37,0)))*'10_CAPEX-INGRESOS-PAGOS'!$H$27)*'10_CAPEX-INGRESOS-PAGOS'!$H$48,0)</f>
        <v>0</v>
      </c>
      <c r="CV15" s="147">
        <f>IF(CV$3=ROUNDUP('01_MODELO'!$I$37,0),(SUMPRODUCT($B$10:$FZ$10,--($B$3:$FZ$3&lt;ROUNDUP('01_MODELO'!$I$37,0)))*'10_CAPEX-INGRESOS-PAGOS'!$H$27)*'10_CAPEX-INGRESOS-PAGOS'!$H$48,0)</f>
        <v>0</v>
      </c>
      <c r="CW15" s="147">
        <f>IF(CW$3=ROUNDUP('01_MODELO'!$I$37,0),(SUMPRODUCT($B$10:$FZ$10,--($B$3:$FZ$3&lt;ROUNDUP('01_MODELO'!$I$37,0)))*'10_CAPEX-INGRESOS-PAGOS'!$H$27)*'10_CAPEX-INGRESOS-PAGOS'!$H$48,0)</f>
        <v>0</v>
      </c>
      <c r="CX15" s="147">
        <f>IF(CX$3=ROUNDUP('01_MODELO'!$I$37,0),(SUMPRODUCT($B$10:$FZ$10,--($B$3:$FZ$3&lt;ROUNDUP('01_MODELO'!$I$37,0)))*'10_CAPEX-INGRESOS-PAGOS'!$H$27)*'10_CAPEX-INGRESOS-PAGOS'!$H$48,0)</f>
        <v>0</v>
      </c>
      <c r="CY15" s="147">
        <f>IF(CY$3=ROUNDUP('01_MODELO'!$I$37,0),(SUMPRODUCT($B$10:$FZ$10,--($B$3:$FZ$3&lt;ROUNDUP('01_MODELO'!$I$37,0)))*'10_CAPEX-INGRESOS-PAGOS'!$H$27)*'10_CAPEX-INGRESOS-PAGOS'!$H$48,0)</f>
        <v>0</v>
      </c>
      <c r="CZ15" s="147">
        <f>IF(CZ$3=ROUNDUP('01_MODELO'!$I$37,0),(SUMPRODUCT($B$10:$FZ$10,--($B$3:$FZ$3&lt;ROUNDUP('01_MODELO'!$I$37,0)))*'10_CAPEX-INGRESOS-PAGOS'!$H$27)*'10_CAPEX-INGRESOS-PAGOS'!$H$48,0)</f>
        <v>0</v>
      </c>
      <c r="DA15" s="147">
        <f>IF(DA$3=ROUNDUP('01_MODELO'!$I$37,0),(SUMPRODUCT($B$10:$FZ$10,--($B$3:$FZ$3&lt;ROUNDUP('01_MODELO'!$I$37,0)))*'10_CAPEX-INGRESOS-PAGOS'!$H$27)*'10_CAPEX-INGRESOS-PAGOS'!$H$48,0)</f>
        <v>0</v>
      </c>
      <c r="DB15" s="147">
        <f>IF(DB$3=ROUNDUP('01_MODELO'!$I$37,0),(SUMPRODUCT($B$10:$FZ$10,--($B$3:$FZ$3&lt;ROUNDUP('01_MODELO'!$I$37,0)))*'10_CAPEX-INGRESOS-PAGOS'!$H$27)*'10_CAPEX-INGRESOS-PAGOS'!$H$48,0)</f>
        <v>0</v>
      </c>
      <c r="DC15" s="147">
        <f>IF(DC$3=ROUNDUP('01_MODELO'!$I$37,0),(SUMPRODUCT($B$10:$FZ$10,--($B$3:$FZ$3&lt;ROUNDUP('01_MODELO'!$I$37,0)))*'10_CAPEX-INGRESOS-PAGOS'!$H$27)*'10_CAPEX-INGRESOS-PAGOS'!$H$48,0)</f>
        <v>0</v>
      </c>
      <c r="DD15" s="147">
        <f>IF(DD$3=ROUNDUP('01_MODELO'!$I$37,0),(SUMPRODUCT($B$10:$FZ$10,--($B$3:$FZ$3&lt;ROUNDUP('01_MODELO'!$I$37,0)))*'10_CAPEX-INGRESOS-PAGOS'!$H$27)*'10_CAPEX-INGRESOS-PAGOS'!$H$48,0)</f>
        <v>0</v>
      </c>
      <c r="DE15" s="147">
        <f>IF(DE$3=ROUNDUP('01_MODELO'!$I$37,0),(SUMPRODUCT($B$10:$FZ$10,--($B$3:$FZ$3&lt;ROUNDUP('01_MODELO'!$I$37,0)))*'10_CAPEX-INGRESOS-PAGOS'!$H$27)*'10_CAPEX-INGRESOS-PAGOS'!$H$48,0)</f>
        <v>0</v>
      </c>
      <c r="DF15" s="147">
        <f>IF(DF$3=ROUNDUP('01_MODELO'!$I$37,0),(SUMPRODUCT($B$10:$FZ$10,--($B$3:$FZ$3&lt;ROUNDUP('01_MODELO'!$I$37,0)))*'10_CAPEX-INGRESOS-PAGOS'!$H$27)*'10_CAPEX-INGRESOS-PAGOS'!$H$48,0)</f>
        <v>0</v>
      </c>
      <c r="DG15" s="147">
        <f>IF(DG$3=ROUNDUP('01_MODELO'!$I$37,0),(SUMPRODUCT($B$10:$FZ$10,--($B$3:$FZ$3&lt;ROUNDUP('01_MODELO'!$I$37,0)))*'10_CAPEX-INGRESOS-PAGOS'!$H$27)*'10_CAPEX-INGRESOS-PAGOS'!$H$48,0)</f>
        <v>0</v>
      </c>
      <c r="DH15" s="147">
        <f>IF(DH$3=ROUNDUP('01_MODELO'!$I$37,0),(SUMPRODUCT($B$10:$FZ$10,--($B$3:$FZ$3&lt;ROUNDUP('01_MODELO'!$I$37,0)))*'10_CAPEX-INGRESOS-PAGOS'!$H$27)*'10_CAPEX-INGRESOS-PAGOS'!$H$48,0)</f>
        <v>0</v>
      </c>
      <c r="DI15" s="147">
        <f>IF(DI$3=ROUNDUP('01_MODELO'!$I$37,0),(SUMPRODUCT($B$10:$FZ$10,--($B$3:$FZ$3&lt;ROUNDUP('01_MODELO'!$I$37,0)))*'10_CAPEX-INGRESOS-PAGOS'!$H$27)*'10_CAPEX-INGRESOS-PAGOS'!$H$48,0)</f>
        <v>0</v>
      </c>
      <c r="DJ15" s="147">
        <f>IF(DJ$3=ROUNDUP('01_MODELO'!$I$37,0),(SUMPRODUCT($B$10:$FZ$10,--($B$3:$FZ$3&lt;ROUNDUP('01_MODELO'!$I$37,0)))*'10_CAPEX-INGRESOS-PAGOS'!$H$27)*'10_CAPEX-INGRESOS-PAGOS'!$H$48,0)</f>
        <v>0</v>
      </c>
      <c r="DK15" s="147">
        <f>IF(DK$3=ROUNDUP('01_MODELO'!$I$37,0),(SUMPRODUCT($B$10:$FZ$10,--($B$3:$FZ$3&lt;ROUNDUP('01_MODELO'!$I$37,0)))*'10_CAPEX-INGRESOS-PAGOS'!$H$27)*'10_CAPEX-INGRESOS-PAGOS'!$H$48,0)</f>
        <v>0</v>
      </c>
      <c r="DL15" s="147">
        <f>IF(DL$3=ROUNDUP('01_MODELO'!$I$37,0),(SUMPRODUCT($B$10:$FZ$10,--($B$3:$FZ$3&lt;ROUNDUP('01_MODELO'!$I$37,0)))*'10_CAPEX-INGRESOS-PAGOS'!$H$27)*'10_CAPEX-INGRESOS-PAGOS'!$H$48,0)</f>
        <v>0</v>
      </c>
      <c r="DM15" s="147">
        <f>IF(DM$3=ROUNDUP('01_MODELO'!$I$37,0),(SUMPRODUCT($B$10:$FZ$10,--($B$3:$FZ$3&lt;ROUNDUP('01_MODELO'!$I$37,0)))*'10_CAPEX-INGRESOS-PAGOS'!$H$27)*'10_CAPEX-INGRESOS-PAGOS'!$H$48,0)</f>
        <v>0</v>
      </c>
      <c r="DN15" s="147">
        <f>IF(DN$3=ROUNDUP('01_MODELO'!$I$37,0),(SUMPRODUCT($B$10:$FZ$10,--($B$3:$FZ$3&lt;ROUNDUP('01_MODELO'!$I$37,0)))*'10_CAPEX-INGRESOS-PAGOS'!$H$27)*'10_CAPEX-INGRESOS-PAGOS'!$H$48,0)</f>
        <v>0</v>
      </c>
      <c r="DO15" s="147">
        <f>IF(DO$3=ROUNDUP('01_MODELO'!$I$37,0),(SUMPRODUCT($B$10:$FZ$10,--($B$3:$FZ$3&lt;ROUNDUP('01_MODELO'!$I$37,0)))*'10_CAPEX-INGRESOS-PAGOS'!$H$27)*'10_CAPEX-INGRESOS-PAGOS'!$H$48,0)</f>
        <v>0</v>
      </c>
      <c r="DP15" s="147">
        <f>IF(DP$3=ROUNDUP('01_MODELO'!$I$37,0),(SUMPRODUCT($B$10:$FZ$10,--($B$3:$FZ$3&lt;ROUNDUP('01_MODELO'!$I$37,0)))*'10_CAPEX-INGRESOS-PAGOS'!$H$27)*'10_CAPEX-INGRESOS-PAGOS'!$H$48,0)</f>
        <v>0</v>
      </c>
      <c r="DQ15" s="147">
        <f>IF(DQ$3=ROUNDUP('01_MODELO'!$I$37,0),(SUMPRODUCT($B$10:$FZ$10,--($B$3:$FZ$3&lt;ROUNDUP('01_MODELO'!$I$37,0)))*'10_CAPEX-INGRESOS-PAGOS'!$H$27)*'10_CAPEX-INGRESOS-PAGOS'!$H$48,0)</f>
        <v>0</v>
      </c>
      <c r="DR15" s="147">
        <f>IF(DR$3=ROUNDUP('01_MODELO'!$I$37,0),(SUMPRODUCT($B$10:$FZ$10,--($B$3:$FZ$3&lt;ROUNDUP('01_MODELO'!$I$37,0)))*'10_CAPEX-INGRESOS-PAGOS'!$H$27)*'10_CAPEX-INGRESOS-PAGOS'!$H$48,0)</f>
        <v>0</v>
      </c>
      <c r="DS15" s="147">
        <f>IF(DS$3=ROUNDUP('01_MODELO'!$I$37,0),(SUMPRODUCT($B$10:$FZ$10,--($B$3:$FZ$3&lt;ROUNDUP('01_MODELO'!$I$37,0)))*'10_CAPEX-INGRESOS-PAGOS'!$H$27)*'10_CAPEX-INGRESOS-PAGOS'!$H$48,0)</f>
        <v>0</v>
      </c>
      <c r="DT15" s="147">
        <f>IF(DT$3=ROUNDUP('01_MODELO'!$I$37,0),(SUMPRODUCT($B$10:$FZ$10,--($B$3:$FZ$3&lt;ROUNDUP('01_MODELO'!$I$37,0)))*'10_CAPEX-INGRESOS-PAGOS'!$H$27)*'10_CAPEX-INGRESOS-PAGOS'!$H$48,0)</f>
        <v>0</v>
      </c>
      <c r="DU15" s="147">
        <f>IF(DU$3=ROUNDUP('01_MODELO'!$I$37,0),(SUMPRODUCT($B$10:$FZ$10,--($B$3:$FZ$3&lt;ROUNDUP('01_MODELO'!$I$37,0)))*'10_CAPEX-INGRESOS-PAGOS'!$H$27)*'10_CAPEX-INGRESOS-PAGOS'!$H$48,0)</f>
        <v>0</v>
      </c>
      <c r="DV15" s="147">
        <f>IF(DV$3=ROUNDUP('01_MODELO'!$I$37,0),(SUMPRODUCT($B$10:$FZ$10,--($B$3:$FZ$3&lt;ROUNDUP('01_MODELO'!$I$37,0)))*'10_CAPEX-INGRESOS-PAGOS'!$H$27)*'10_CAPEX-INGRESOS-PAGOS'!$H$48,0)</f>
        <v>0</v>
      </c>
      <c r="DW15" s="147">
        <f>IF(DW$3=ROUNDUP('01_MODELO'!$I$37,0),(SUMPRODUCT($B$10:$FZ$10,--($B$3:$FZ$3&lt;ROUNDUP('01_MODELO'!$I$37,0)))*'10_CAPEX-INGRESOS-PAGOS'!$H$27)*'10_CAPEX-INGRESOS-PAGOS'!$H$48,0)</f>
        <v>0</v>
      </c>
      <c r="DX15" s="147">
        <f>IF(DX$3=ROUNDUP('01_MODELO'!$I$37,0),(SUMPRODUCT($B$10:$FZ$10,--($B$3:$FZ$3&lt;ROUNDUP('01_MODELO'!$I$37,0)))*'10_CAPEX-INGRESOS-PAGOS'!$H$27)*'10_CAPEX-INGRESOS-PAGOS'!$H$48,0)</f>
        <v>0</v>
      </c>
      <c r="DY15" s="147">
        <f>IF(DY$3=ROUNDUP('01_MODELO'!$I$37,0),(SUMPRODUCT($B$10:$FZ$10,--($B$3:$FZ$3&lt;ROUNDUP('01_MODELO'!$I$37,0)))*'10_CAPEX-INGRESOS-PAGOS'!$H$27)*'10_CAPEX-INGRESOS-PAGOS'!$H$48,0)</f>
        <v>0</v>
      </c>
      <c r="DZ15" s="147">
        <f>IF(DZ$3=ROUNDUP('01_MODELO'!$I$37,0),(SUMPRODUCT($B$10:$FZ$10,--($B$3:$FZ$3&lt;ROUNDUP('01_MODELO'!$I$37,0)))*'10_CAPEX-INGRESOS-PAGOS'!$H$27)*'10_CAPEX-INGRESOS-PAGOS'!$H$48,0)</f>
        <v>0</v>
      </c>
      <c r="EA15" s="147">
        <f>IF(EA$3=ROUNDUP('01_MODELO'!$I$37,0),(SUMPRODUCT($B$10:$FZ$10,--($B$3:$FZ$3&lt;ROUNDUP('01_MODELO'!$I$37,0)))*'10_CAPEX-INGRESOS-PAGOS'!$H$27)*'10_CAPEX-INGRESOS-PAGOS'!$H$48,0)</f>
        <v>0</v>
      </c>
      <c r="EB15" s="147">
        <f>IF(EB$3=ROUNDUP('01_MODELO'!$I$37,0),(SUMPRODUCT($B$10:$FZ$10,--($B$3:$FZ$3&lt;ROUNDUP('01_MODELO'!$I$37,0)))*'10_CAPEX-INGRESOS-PAGOS'!$H$27)*'10_CAPEX-INGRESOS-PAGOS'!$H$48,0)</f>
        <v>0</v>
      </c>
      <c r="EC15" s="147">
        <f>IF(EC$3=ROUNDUP('01_MODELO'!$I$37,0),(SUMPRODUCT($B$10:$FZ$10,--($B$3:$FZ$3&lt;ROUNDUP('01_MODELO'!$I$37,0)))*'10_CAPEX-INGRESOS-PAGOS'!$H$27)*'10_CAPEX-INGRESOS-PAGOS'!$H$48,0)</f>
        <v>0</v>
      </c>
      <c r="ED15" s="147">
        <f>IF(ED$3=ROUNDUP('01_MODELO'!$I$37,0),(SUMPRODUCT($B$10:$FZ$10,--($B$3:$FZ$3&lt;ROUNDUP('01_MODELO'!$I$37,0)))*'10_CAPEX-INGRESOS-PAGOS'!$H$27)*'10_CAPEX-INGRESOS-PAGOS'!$H$48,0)</f>
        <v>0</v>
      </c>
      <c r="EE15" s="147">
        <f>IF(EE$3=ROUNDUP('01_MODELO'!$I$37,0),(SUMPRODUCT($B$10:$FZ$10,--($B$3:$FZ$3&lt;ROUNDUP('01_MODELO'!$I$37,0)))*'10_CAPEX-INGRESOS-PAGOS'!$H$27)*'10_CAPEX-INGRESOS-PAGOS'!$H$48,0)</f>
        <v>0</v>
      </c>
      <c r="EF15" s="147">
        <f>IF(EF$3=ROUNDUP('01_MODELO'!$I$37,0),(SUMPRODUCT($B$10:$FZ$10,--($B$3:$FZ$3&lt;ROUNDUP('01_MODELO'!$I$37,0)))*'10_CAPEX-INGRESOS-PAGOS'!$H$27)*'10_CAPEX-INGRESOS-PAGOS'!$H$48,0)</f>
        <v>0</v>
      </c>
      <c r="EG15" s="147">
        <f>IF(EG$3=ROUNDUP('01_MODELO'!$I$37,0),(SUMPRODUCT($B$10:$FZ$10,--($B$3:$FZ$3&lt;ROUNDUP('01_MODELO'!$I$37,0)))*'10_CAPEX-INGRESOS-PAGOS'!$H$27)*'10_CAPEX-INGRESOS-PAGOS'!$H$48,0)</f>
        <v>0</v>
      </c>
      <c r="EH15" s="147">
        <f>IF(EH$3=ROUNDUP('01_MODELO'!$I$37,0),(SUMPRODUCT($B$10:$FZ$10,--($B$3:$FZ$3&lt;ROUNDUP('01_MODELO'!$I$37,0)))*'10_CAPEX-INGRESOS-PAGOS'!$H$27)*'10_CAPEX-INGRESOS-PAGOS'!$H$48,0)</f>
        <v>0</v>
      </c>
      <c r="EI15" s="147">
        <f>IF(EI$3=ROUNDUP('01_MODELO'!$I$37,0),(SUMPRODUCT($B$10:$FZ$10,--($B$3:$FZ$3&lt;ROUNDUP('01_MODELO'!$I$37,0)))*'10_CAPEX-INGRESOS-PAGOS'!$H$27)*'10_CAPEX-INGRESOS-PAGOS'!$H$48,0)</f>
        <v>0</v>
      </c>
      <c r="EJ15" s="147">
        <f>IF(EJ$3=ROUNDUP('01_MODELO'!$I$37,0),(SUMPRODUCT($B$10:$FZ$10,--($B$3:$FZ$3&lt;ROUNDUP('01_MODELO'!$I$37,0)))*'10_CAPEX-INGRESOS-PAGOS'!$H$27)*'10_CAPEX-INGRESOS-PAGOS'!$H$48,0)</f>
        <v>0</v>
      </c>
      <c r="EK15" s="147">
        <f>IF(EK$3=ROUNDUP('01_MODELO'!$I$37,0),(SUMPRODUCT($B$10:$FZ$10,--($B$3:$FZ$3&lt;ROUNDUP('01_MODELO'!$I$37,0)))*'10_CAPEX-INGRESOS-PAGOS'!$H$27)*'10_CAPEX-INGRESOS-PAGOS'!$H$48,0)</f>
        <v>0</v>
      </c>
      <c r="EL15" s="147">
        <f>IF(EL$3=ROUNDUP('01_MODELO'!$I$37,0),(SUMPRODUCT($B$10:$FZ$10,--($B$3:$FZ$3&lt;ROUNDUP('01_MODELO'!$I$37,0)))*'10_CAPEX-INGRESOS-PAGOS'!$H$27)*'10_CAPEX-INGRESOS-PAGOS'!$H$48,0)</f>
        <v>0</v>
      </c>
      <c r="EM15" s="147">
        <f>IF(EM$3=ROUNDUP('01_MODELO'!$I$37,0),(SUMPRODUCT($B$10:$FZ$10,--($B$3:$FZ$3&lt;ROUNDUP('01_MODELO'!$I$37,0)))*'10_CAPEX-INGRESOS-PAGOS'!$H$27)*'10_CAPEX-INGRESOS-PAGOS'!$H$48,0)</f>
        <v>0</v>
      </c>
      <c r="EN15" s="147">
        <f>IF(EN$3=ROUNDUP('01_MODELO'!$I$37,0),(SUMPRODUCT($B$10:$FZ$10,--($B$3:$FZ$3&lt;ROUNDUP('01_MODELO'!$I$37,0)))*'10_CAPEX-INGRESOS-PAGOS'!$H$27)*'10_CAPEX-INGRESOS-PAGOS'!$H$48,0)</f>
        <v>0</v>
      </c>
      <c r="EO15" s="147">
        <f>IF(EO$3=ROUNDUP('01_MODELO'!$I$37,0),(SUMPRODUCT($B$10:$FZ$10,--($B$3:$FZ$3&lt;ROUNDUP('01_MODELO'!$I$37,0)))*'10_CAPEX-INGRESOS-PAGOS'!$H$27)*'10_CAPEX-INGRESOS-PAGOS'!$H$48,0)</f>
        <v>0</v>
      </c>
      <c r="EP15" s="147">
        <f>IF(EP$3=ROUNDUP('01_MODELO'!$I$37,0),(SUMPRODUCT($B$10:$FZ$10,--($B$3:$FZ$3&lt;ROUNDUP('01_MODELO'!$I$37,0)))*'10_CAPEX-INGRESOS-PAGOS'!$H$27)*'10_CAPEX-INGRESOS-PAGOS'!$H$48,0)</f>
        <v>0</v>
      </c>
      <c r="EQ15" s="147">
        <f>IF(EQ$3=ROUNDUP('01_MODELO'!$I$37,0),(SUMPRODUCT($B$10:$FZ$10,--($B$3:$FZ$3&lt;ROUNDUP('01_MODELO'!$I$37,0)))*'10_CAPEX-INGRESOS-PAGOS'!$H$27)*'10_CAPEX-INGRESOS-PAGOS'!$H$48,0)</f>
        <v>0</v>
      </c>
      <c r="ER15" s="147">
        <f>IF(ER$3=ROUNDUP('01_MODELO'!$I$37,0),(SUMPRODUCT($B$10:$FZ$10,--($B$3:$FZ$3&lt;ROUNDUP('01_MODELO'!$I$37,0)))*'10_CAPEX-INGRESOS-PAGOS'!$H$27)*'10_CAPEX-INGRESOS-PAGOS'!$H$48,0)</f>
        <v>0</v>
      </c>
      <c r="ES15" s="147">
        <f>IF(ES$3=ROUNDUP('01_MODELO'!$I$37,0),(SUMPRODUCT($B$10:$FZ$10,--($B$3:$FZ$3&lt;ROUNDUP('01_MODELO'!$I$37,0)))*'10_CAPEX-INGRESOS-PAGOS'!$H$27)*'10_CAPEX-INGRESOS-PAGOS'!$H$48,0)</f>
        <v>0</v>
      </c>
      <c r="ET15" s="147">
        <f>IF(ET$3=ROUNDUP('01_MODELO'!$I$37,0),(SUMPRODUCT($B$10:$FZ$10,--($B$3:$FZ$3&lt;ROUNDUP('01_MODELO'!$I$37,0)))*'10_CAPEX-INGRESOS-PAGOS'!$H$27)*'10_CAPEX-INGRESOS-PAGOS'!$H$48,0)</f>
        <v>0</v>
      </c>
      <c r="EU15" s="147">
        <f>IF(EU$3=ROUNDUP('01_MODELO'!$I$37,0),(SUMPRODUCT($B$10:$FZ$10,--($B$3:$FZ$3&lt;ROUNDUP('01_MODELO'!$I$37,0)))*'10_CAPEX-INGRESOS-PAGOS'!$H$27)*'10_CAPEX-INGRESOS-PAGOS'!$H$48,0)</f>
        <v>0</v>
      </c>
      <c r="EV15" s="147">
        <f>IF(EV$3=ROUNDUP('01_MODELO'!$I$37,0),(SUMPRODUCT($B$10:$FZ$10,--($B$3:$FZ$3&lt;ROUNDUP('01_MODELO'!$I$37,0)))*'10_CAPEX-INGRESOS-PAGOS'!$H$27)*'10_CAPEX-INGRESOS-PAGOS'!$H$48,0)</f>
        <v>0</v>
      </c>
      <c r="EW15" s="147">
        <f>IF(EW$3=ROUNDUP('01_MODELO'!$I$37,0),(SUMPRODUCT($B$10:$FZ$10,--($B$3:$FZ$3&lt;ROUNDUP('01_MODELO'!$I$37,0)))*'10_CAPEX-INGRESOS-PAGOS'!$H$27)*'10_CAPEX-INGRESOS-PAGOS'!$H$48,0)</f>
        <v>0</v>
      </c>
      <c r="EX15" s="147">
        <f>IF(EX$3=ROUNDUP('01_MODELO'!$I$37,0),(SUMPRODUCT($B$10:$FZ$10,--($B$3:$FZ$3&lt;ROUNDUP('01_MODELO'!$I$37,0)))*'10_CAPEX-INGRESOS-PAGOS'!$H$27)*'10_CAPEX-INGRESOS-PAGOS'!$H$48,0)</f>
        <v>0</v>
      </c>
      <c r="EY15" s="147">
        <f>IF(EY$3=ROUNDUP('01_MODELO'!$I$37,0),(SUMPRODUCT($B$10:$FZ$10,--($B$3:$FZ$3&lt;ROUNDUP('01_MODELO'!$I$37,0)))*'10_CAPEX-INGRESOS-PAGOS'!$H$27)*'10_CAPEX-INGRESOS-PAGOS'!$H$48,0)</f>
        <v>0</v>
      </c>
      <c r="EZ15" s="147">
        <f>IF(EZ$3=ROUNDUP('01_MODELO'!$I$37,0),(SUMPRODUCT($B$10:$FZ$10,--($B$3:$FZ$3&lt;ROUNDUP('01_MODELO'!$I$37,0)))*'10_CAPEX-INGRESOS-PAGOS'!$H$27)*'10_CAPEX-INGRESOS-PAGOS'!$H$48,0)</f>
        <v>0</v>
      </c>
      <c r="FA15" s="147">
        <f>IF(FA$3=ROUNDUP('01_MODELO'!$I$37,0),(SUMPRODUCT($B$10:$FZ$10,--($B$3:$FZ$3&lt;ROUNDUP('01_MODELO'!$I$37,0)))*'10_CAPEX-INGRESOS-PAGOS'!$H$27)*'10_CAPEX-INGRESOS-PAGOS'!$H$48,0)</f>
        <v>0</v>
      </c>
      <c r="FB15" s="147">
        <f>IF(FB$3=ROUNDUP('01_MODELO'!$I$37,0),(SUMPRODUCT($B$10:$FZ$10,--($B$3:$FZ$3&lt;ROUNDUP('01_MODELO'!$I$37,0)))*'10_CAPEX-INGRESOS-PAGOS'!$H$27)*'10_CAPEX-INGRESOS-PAGOS'!$H$48,0)</f>
        <v>0</v>
      </c>
      <c r="FC15" s="147">
        <f>IF(FC$3=ROUNDUP('01_MODELO'!$I$37,0),(SUMPRODUCT($B$10:$FZ$10,--($B$3:$FZ$3&lt;ROUNDUP('01_MODELO'!$I$37,0)))*'10_CAPEX-INGRESOS-PAGOS'!$H$27)*'10_CAPEX-INGRESOS-PAGOS'!$H$48,0)</f>
        <v>0</v>
      </c>
      <c r="FD15" s="147">
        <f>IF(FD$3=ROUNDUP('01_MODELO'!$I$37,0),(SUMPRODUCT($B$10:$FZ$10,--($B$3:$FZ$3&lt;ROUNDUP('01_MODELO'!$I$37,0)))*'10_CAPEX-INGRESOS-PAGOS'!$H$27)*'10_CAPEX-INGRESOS-PAGOS'!$H$48,0)</f>
        <v>0</v>
      </c>
      <c r="FE15" s="147">
        <f>IF(FE$3=ROUNDUP('01_MODELO'!$I$37,0),(SUMPRODUCT($B$10:$FZ$10,--($B$3:$FZ$3&lt;ROUNDUP('01_MODELO'!$I$37,0)))*'10_CAPEX-INGRESOS-PAGOS'!$H$27)*'10_CAPEX-INGRESOS-PAGOS'!$H$48,0)</f>
        <v>0</v>
      </c>
      <c r="FF15" s="147">
        <f>IF(FF$3=ROUNDUP('01_MODELO'!$I$37,0),(SUMPRODUCT($B$10:$FZ$10,--($B$3:$FZ$3&lt;ROUNDUP('01_MODELO'!$I$37,0)))*'10_CAPEX-INGRESOS-PAGOS'!$H$27)*'10_CAPEX-INGRESOS-PAGOS'!$H$48,0)</f>
        <v>0</v>
      </c>
      <c r="FG15" s="147">
        <f>IF(FG$3=ROUNDUP('01_MODELO'!$I$37,0),(SUMPRODUCT($B$10:$FZ$10,--($B$3:$FZ$3&lt;ROUNDUP('01_MODELO'!$I$37,0)))*'10_CAPEX-INGRESOS-PAGOS'!$H$27)*'10_CAPEX-INGRESOS-PAGOS'!$H$48,0)</f>
        <v>0</v>
      </c>
      <c r="FH15" s="147">
        <f>IF(FH$3=ROUNDUP('01_MODELO'!$I$37,0),(SUMPRODUCT($B$10:$FZ$10,--($B$3:$FZ$3&lt;ROUNDUP('01_MODELO'!$I$37,0)))*'10_CAPEX-INGRESOS-PAGOS'!$H$27)*'10_CAPEX-INGRESOS-PAGOS'!$H$48,0)</f>
        <v>0</v>
      </c>
      <c r="FI15" s="147">
        <f>IF(FI$3=ROUNDUP('01_MODELO'!$I$37,0),(SUMPRODUCT($B$10:$FZ$10,--($B$3:$FZ$3&lt;ROUNDUP('01_MODELO'!$I$37,0)))*'10_CAPEX-INGRESOS-PAGOS'!$H$27)*'10_CAPEX-INGRESOS-PAGOS'!$H$48,0)</f>
        <v>0</v>
      </c>
      <c r="FJ15" s="147">
        <f>IF(FJ$3=ROUNDUP('01_MODELO'!$I$37,0),(SUMPRODUCT($B$10:$FZ$10,--($B$3:$FZ$3&lt;ROUNDUP('01_MODELO'!$I$37,0)))*'10_CAPEX-INGRESOS-PAGOS'!$H$27)*'10_CAPEX-INGRESOS-PAGOS'!$H$48,0)</f>
        <v>0</v>
      </c>
      <c r="FK15" s="147">
        <f>IF(FK$3=ROUNDUP('01_MODELO'!$I$37,0),(SUMPRODUCT($B$10:$FZ$10,--($B$3:$FZ$3&lt;ROUNDUP('01_MODELO'!$I$37,0)))*'10_CAPEX-INGRESOS-PAGOS'!$H$27)*'10_CAPEX-INGRESOS-PAGOS'!$H$48,0)</f>
        <v>0</v>
      </c>
      <c r="FL15" s="147">
        <f>IF(FL$3=ROUNDUP('01_MODELO'!$I$37,0),(SUMPRODUCT($B$10:$FZ$10,--($B$3:$FZ$3&lt;ROUNDUP('01_MODELO'!$I$37,0)))*'10_CAPEX-INGRESOS-PAGOS'!$H$27)*'10_CAPEX-INGRESOS-PAGOS'!$H$48,0)</f>
        <v>0</v>
      </c>
      <c r="FM15" s="147">
        <f>IF(FM$3=ROUNDUP('01_MODELO'!$I$37,0),(SUMPRODUCT($B$10:$FZ$10,--($B$3:$FZ$3&lt;ROUNDUP('01_MODELO'!$I$37,0)))*'10_CAPEX-INGRESOS-PAGOS'!$H$27)*'10_CAPEX-INGRESOS-PAGOS'!$H$48,0)</f>
        <v>0</v>
      </c>
      <c r="FN15" s="147">
        <f>IF(FN$3=ROUNDUP('01_MODELO'!$I$37,0),(SUMPRODUCT($B$10:$FZ$10,--($B$3:$FZ$3&lt;ROUNDUP('01_MODELO'!$I$37,0)))*'10_CAPEX-INGRESOS-PAGOS'!$H$27)*'10_CAPEX-INGRESOS-PAGOS'!$H$48,0)</f>
        <v>0</v>
      </c>
      <c r="FO15" s="147">
        <f>IF(FO$3=ROUNDUP('01_MODELO'!$I$37,0),(SUMPRODUCT($B$10:$FZ$10,--($B$3:$FZ$3&lt;ROUNDUP('01_MODELO'!$I$37,0)))*'10_CAPEX-INGRESOS-PAGOS'!$H$27)*'10_CAPEX-INGRESOS-PAGOS'!$H$48,0)</f>
        <v>0</v>
      </c>
      <c r="FP15" s="147">
        <f>IF(FP$3=ROUNDUP('01_MODELO'!$I$37,0),(SUMPRODUCT($B$10:$FZ$10,--($B$3:$FZ$3&lt;ROUNDUP('01_MODELO'!$I$37,0)))*'10_CAPEX-INGRESOS-PAGOS'!$H$27)*'10_CAPEX-INGRESOS-PAGOS'!$H$48,0)</f>
        <v>0</v>
      </c>
      <c r="FQ15" s="147">
        <f>IF(FQ$3=ROUNDUP('01_MODELO'!$I$37,0),(SUMPRODUCT($B$10:$FZ$10,--($B$3:$FZ$3&lt;ROUNDUP('01_MODELO'!$I$37,0)))*'10_CAPEX-INGRESOS-PAGOS'!$H$27)*'10_CAPEX-INGRESOS-PAGOS'!$H$48,0)</f>
        <v>0</v>
      </c>
      <c r="FR15" s="147">
        <f>IF(FR$3=ROUNDUP('01_MODELO'!$I$37,0),(SUMPRODUCT($B$10:$FZ$10,--($B$3:$FZ$3&lt;ROUNDUP('01_MODELO'!$I$37,0)))*'10_CAPEX-INGRESOS-PAGOS'!$H$27)*'10_CAPEX-INGRESOS-PAGOS'!$H$48,0)</f>
        <v>0</v>
      </c>
      <c r="FS15" s="147">
        <f>IF(FS$3=ROUNDUP('01_MODELO'!$I$37,0),(SUMPRODUCT($B$10:$FZ$10,--($B$3:$FZ$3&lt;ROUNDUP('01_MODELO'!$I$37,0)))*'10_CAPEX-INGRESOS-PAGOS'!$H$27)*'10_CAPEX-INGRESOS-PAGOS'!$H$48,0)</f>
        <v>0</v>
      </c>
      <c r="FT15" s="147">
        <f>IF(FT$3=ROUNDUP('01_MODELO'!$I$37,0),(SUMPRODUCT($B$10:$FZ$10,--($B$3:$FZ$3&lt;ROUNDUP('01_MODELO'!$I$37,0)))*'10_CAPEX-INGRESOS-PAGOS'!$H$27)*'10_CAPEX-INGRESOS-PAGOS'!$H$48,0)</f>
        <v>0</v>
      </c>
      <c r="FU15" s="147">
        <f>IF(FU$3=ROUNDUP('01_MODELO'!$I$37,0),(SUMPRODUCT($B$10:$FZ$10,--($B$3:$FZ$3&lt;ROUNDUP('01_MODELO'!$I$37,0)))*'10_CAPEX-INGRESOS-PAGOS'!$H$27)*'10_CAPEX-INGRESOS-PAGOS'!$H$48,0)</f>
        <v>0</v>
      </c>
      <c r="FV15" s="147">
        <f>IF(FV$3=ROUNDUP('01_MODELO'!$I$37,0),(SUMPRODUCT($B$10:$FZ$10,--($B$3:$FZ$3&lt;ROUNDUP('01_MODELO'!$I$37,0)))*'10_CAPEX-INGRESOS-PAGOS'!$H$27)*'10_CAPEX-INGRESOS-PAGOS'!$H$48,0)</f>
        <v>0</v>
      </c>
      <c r="FW15" s="147">
        <f>IF(FW$3=ROUNDUP('01_MODELO'!$I$37,0),(SUMPRODUCT($B$10:$FZ$10,--($B$3:$FZ$3&lt;ROUNDUP('01_MODELO'!$I$37,0)))*'10_CAPEX-INGRESOS-PAGOS'!$H$27)*'10_CAPEX-INGRESOS-PAGOS'!$H$48,0)</f>
        <v>0</v>
      </c>
      <c r="FX15" s="147">
        <f>IF(FX$3=ROUNDUP('01_MODELO'!$I$37,0),(SUMPRODUCT($B$10:$FZ$10,--($B$3:$FZ$3&lt;ROUNDUP('01_MODELO'!$I$37,0)))*'10_CAPEX-INGRESOS-PAGOS'!$H$27)*'10_CAPEX-INGRESOS-PAGOS'!$H$48,0)</f>
        <v>0</v>
      </c>
      <c r="FY15" s="147">
        <f>IF(FY$3=ROUNDUP('01_MODELO'!$I$37,0),(SUMPRODUCT($B$10:$FZ$10,--($B$3:$FZ$3&lt;ROUNDUP('01_MODELO'!$I$37,0)))*'10_CAPEX-INGRESOS-PAGOS'!$H$27)*'10_CAPEX-INGRESOS-PAGOS'!$H$48,0)</f>
        <v>0</v>
      </c>
      <c r="FZ15" s="147">
        <f>IF(FZ$3=ROUNDUP('01_MODELO'!$I$37,0),(SUMPRODUCT($B$10:$FZ$10,--($B$3:$FZ$3&lt;ROUNDUP('01_MODELO'!$I$37,0)))*'10_CAPEX-INGRESOS-PAGOS'!$H$27)*'10_CAPEX-INGRESOS-PAGOS'!$H$48,0)</f>
        <v>0</v>
      </c>
    </row>
    <row r="16" spans="1:182" x14ac:dyDescent="0.25">
      <c r="A16" s="33" t="s">
        <v>270</v>
      </c>
      <c r="B16" s="147">
        <f>SUMPRODUCT($B$10:$FZ$10*'10_CAPEX-INGRESOS-PAGOS'!$H$27*'10_CAPEX-INGRESOS-PAGOS'!$H$50*--($B$3:$FZ$3&gt;=ROUNDUP('01_MODELO'!$I$37,0))*--($B$3:$FZ$3+2=B$3))</f>
        <v>0</v>
      </c>
      <c r="C16" s="147">
        <f>SUMPRODUCT($B$10:$FZ$10*'10_CAPEX-INGRESOS-PAGOS'!$H$27*'10_CAPEX-INGRESOS-PAGOS'!$H$50*--($B$3:$FZ$3&gt;=ROUNDUP('01_MODELO'!$I$37,0))*--($B$3:$FZ$3+2=C$3))</f>
        <v>0</v>
      </c>
      <c r="D16" s="147">
        <f>SUMPRODUCT($B$10:$FZ$10*'10_CAPEX-INGRESOS-PAGOS'!$H$27*'10_CAPEX-INGRESOS-PAGOS'!$H$50*--($B$3:$FZ$3&gt;=ROUNDUP('01_MODELO'!$I$37,0))*--($B$3:$FZ$3+2=D$3))</f>
        <v>0</v>
      </c>
      <c r="E16" s="147">
        <f>SUMPRODUCT($B$10:$FZ$10*'10_CAPEX-INGRESOS-PAGOS'!$H$27*'10_CAPEX-INGRESOS-PAGOS'!$H$50*--($B$3:$FZ$3&gt;=ROUNDUP('01_MODELO'!$I$37,0))*--($B$3:$FZ$3+2=E$3))</f>
        <v>0</v>
      </c>
      <c r="F16" s="147">
        <f>SUMPRODUCT($B$10:$FZ$10*'10_CAPEX-INGRESOS-PAGOS'!$H$27*'10_CAPEX-INGRESOS-PAGOS'!$H$50*--($B$3:$FZ$3&gt;=ROUNDUP('01_MODELO'!$I$37,0))*--($B$3:$FZ$3+2=F$3))</f>
        <v>0</v>
      </c>
      <c r="G16" s="147">
        <f>SUMPRODUCT($B$10:$FZ$10*'10_CAPEX-INGRESOS-PAGOS'!$H$27*'10_CAPEX-INGRESOS-PAGOS'!$H$50*--($B$3:$FZ$3&gt;=ROUNDUP('01_MODELO'!$I$37,0))*--($B$3:$FZ$3+2=G$3))</f>
        <v>0</v>
      </c>
      <c r="H16" s="147">
        <f>SUMPRODUCT($B$10:$FZ$10*'10_CAPEX-INGRESOS-PAGOS'!$H$27*'10_CAPEX-INGRESOS-PAGOS'!$H$50*--($B$3:$FZ$3&gt;=ROUNDUP('01_MODELO'!$I$37,0))*--($B$3:$FZ$3+2=H$3))</f>
        <v>0</v>
      </c>
      <c r="I16" s="147">
        <f>SUMPRODUCT($B$10:$FZ$10*'10_CAPEX-INGRESOS-PAGOS'!$H$27*'10_CAPEX-INGRESOS-PAGOS'!$H$50*--($B$3:$FZ$3&gt;=ROUNDUP('01_MODELO'!$I$37,0))*--($B$3:$FZ$3+2=I$3))</f>
        <v>0</v>
      </c>
      <c r="J16" s="147">
        <f>SUMPRODUCT($B$10:$FZ$10*'10_CAPEX-INGRESOS-PAGOS'!$H$27*'10_CAPEX-INGRESOS-PAGOS'!$H$50*--($B$3:$FZ$3&gt;=ROUNDUP('01_MODELO'!$I$37,0))*--($B$3:$FZ$3+2=J$3))</f>
        <v>0</v>
      </c>
      <c r="K16" s="147">
        <f>SUMPRODUCT($B$10:$FZ$10*'10_CAPEX-INGRESOS-PAGOS'!$H$27*'10_CAPEX-INGRESOS-PAGOS'!$H$50*--($B$3:$FZ$3&gt;=ROUNDUP('01_MODELO'!$I$37,0))*--($B$3:$FZ$3+2=K$3))</f>
        <v>0</v>
      </c>
      <c r="L16" s="147">
        <f>SUMPRODUCT($B$10:$FZ$10*'10_CAPEX-INGRESOS-PAGOS'!$H$27*'10_CAPEX-INGRESOS-PAGOS'!$H$50*--($B$3:$FZ$3&gt;=ROUNDUP('01_MODELO'!$I$37,0))*--($B$3:$FZ$3+2=L$3))</f>
        <v>0</v>
      </c>
      <c r="M16" s="147">
        <f>SUMPRODUCT($B$10:$FZ$10*'10_CAPEX-INGRESOS-PAGOS'!$H$27*'10_CAPEX-INGRESOS-PAGOS'!$H$50*--($B$3:$FZ$3&gt;=ROUNDUP('01_MODELO'!$I$37,0))*--($B$3:$FZ$3+2=M$3))</f>
        <v>0</v>
      </c>
      <c r="N16" s="147">
        <f>SUMPRODUCT($B$10:$FZ$10*'10_CAPEX-INGRESOS-PAGOS'!$H$27*'10_CAPEX-INGRESOS-PAGOS'!$H$50*--($B$3:$FZ$3&gt;=ROUNDUP('01_MODELO'!$I$37,0))*--($B$3:$FZ$3+2=N$3))</f>
        <v>0</v>
      </c>
      <c r="O16" s="147">
        <f>SUMPRODUCT($B$10:$FZ$10*'10_CAPEX-INGRESOS-PAGOS'!$H$27*'10_CAPEX-INGRESOS-PAGOS'!$H$50*--($B$3:$FZ$3&gt;=ROUNDUP('01_MODELO'!$I$37,0))*--($B$3:$FZ$3+2=O$3))</f>
        <v>0</v>
      </c>
      <c r="P16" s="147">
        <f>SUMPRODUCT($B$10:$FZ$10*'10_CAPEX-INGRESOS-PAGOS'!$H$27*'10_CAPEX-INGRESOS-PAGOS'!$H$50*--($B$3:$FZ$3&gt;=ROUNDUP('01_MODELO'!$I$37,0))*--($B$3:$FZ$3+2=P$3))</f>
        <v>0</v>
      </c>
      <c r="Q16" s="147">
        <f>SUMPRODUCT($B$10:$FZ$10*'10_CAPEX-INGRESOS-PAGOS'!$H$27*'10_CAPEX-INGRESOS-PAGOS'!$H$50*--($B$3:$FZ$3&gt;=ROUNDUP('01_MODELO'!$I$37,0))*--($B$3:$FZ$3+2=Q$3))</f>
        <v>0</v>
      </c>
      <c r="R16" s="147">
        <f>SUMPRODUCT($B$10:$FZ$10*'10_CAPEX-INGRESOS-PAGOS'!$H$27*'10_CAPEX-INGRESOS-PAGOS'!$H$50*--($B$3:$FZ$3&gt;=ROUNDUP('01_MODELO'!$I$37,0))*--($B$3:$FZ$3+2=R$3))</f>
        <v>0</v>
      </c>
      <c r="S16" s="147">
        <f>SUMPRODUCT($B$10:$FZ$10*'10_CAPEX-INGRESOS-PAGOS'!$H$27*'10_CAPEX-INGRESOS-PAGOS'!$H$50*--($B$3:$FZ$3&gt;=ROUNDUP('01_MODELO'!$I$37,0))*--($B$3:$FZ$3+2=S$3))</f>
        <v>0</v>
      </c>
      <c r="T16" s="147">
        <f>SUMPRODUCT($B$10:$FZ$10*'10_CAPEX-INGRESOS-PAGOS'!$H$27*'10_CAPEX-INGRESOS-PAGOS'!$H$50*--($B$3:$FZ$3&gt;=ROUNDUP('01_MODELO'!$I$37,0))*--($B$3:$FZ$3+2=T$3))</f>
        <v>0</v>
      </c>
      <c r="U16" s="147">
        <f>SUMPRODUCT($B$10:$FZ$10*'10_CAPEX-INGRESOS-PAGOS'!$H$27*'10_CAPEX-INGRESOS-PAGOS'!$H$50*--($B$3:$FZ$3&gt;=ROUNDUP('01_MODELO'!$I$37,0))*--($B$3:$FZ$3+2=U$3))</f>
        <v>0</v>
      </c>
      <c r="V16" s="147">
        <f>SUMPRODUCT($B$10:$FZ$10*'10_CAPEX-INGRESOS-PAGOS'!$H$27*'10_CAPEX-INGRESOS-PAGOS'!$H$50*--($B$3:$FZ$3&gt;=ROUNDUP('01_MODELO'!$I$37,0))*--($B$3:$FZ$3+2=V$3))</f>
        <v>0</v>
      </c>
      <c r="W16" s="147">
        <f>SUMPRODUCT($B$10:$FZ$10*'10_CAPEX-INGRESOS-PAGOS'!$H$27*'10_CAPEX-INGRESOS-PAGOS'!$H$50*--($B$3:$FZ$3&gt;=ROUNDUP('01_MODELO'!$I$37,0))*--($B$3:$FZ$3+2=W$3))</f>
        <v>0</v>
      </c>
      <c r="X16" s="147">
        <f>SUMPRODUCT($B$10:$FZ$10*'10_CAPEX-INGRESOS-PAGOS'!$H$27*'10_CAPEX-INGRESOS-PAGOS'!$H$50*--($B$3:$FZ$3&gt;=ROUNDUP('01_MODELO'!$I$37,0))*--($B$3:$FZ$3+2=X$3))</f>
        <v>0</v>
      </c>
      <c r="Y16" s="147">
        <f>SUMPRODUCT($B$10:$FZ$10*'10_CAPEX-INGRESOS-PAGOS'!$H$27*'10_CAPEX-INGRESOS-PAGOS'!$H$50*--($B$3:$FZ$3&gt;=ROUNDUP('01_MODELO'!$I$37,0))*--($B$3:$FZ$3+2=Y$3))</f>
        <v>0</v>
      </c>
      <c r="Z16" s="147">
        <f>SUMPRODUCT($B$10:$FZ$10*'10_CAPEX-INGRESOS-PAGOS'!$H$27*'10_CAPEX-INGRESOS-PAGOS'!$H$50*--($B$3:$FZ$3&gt;=ROUNDUP('01_MODELO'!$I$37,0))*--($B$3:$FZ$3+2=Z$3))</f>
        <v>0</v>
      </c>
      <c r="AA16" s="147">
        <f>SUMPRODUCT($B$10:$FZ$10*'10_CAPEX-INGRESOS-PAGOS'!$H$27*'10_CAPEX-INGRESOS-PAGOS'!$H$50*--($B$3:$FZ$3&gt;=ROUNDUP('01_MODELO'!$I$37,0))*--($B$3:$FZ$3+2=AA$3))</f>
        <v>0</v>
      </c>
      <c r="AB16" s="147">
        <f>SUMPRODUCT($B$10:$FZ$10*'10_CAPEX-INGRESOS-PAGOS'!$H$27*'10_CAPEX-INGRESOS-PAGOS'!$H$50*--($B$3:$FZ$3&gt;=ROUNDUP('01_MODELO'!$I$37,0))*--($B$3:$FZ$3+2=AB$3))</f>
        <v>0</v>
      </c>
      <c r="AC16" s="147">
        <f>SUMPRODUCT($B$10:$FZ$10*'10_CAPEX-INGRESOS-PAGOS'!$H$27*'10_CAPEX-INGRESOS-PAGOS'!$H$50*--($B$3:$FZ$3&gt;=ROUNDUP('01_MODELO'!$I$37,0))*--($B$3:$FZ$3+2=AC$3))</f>
        <v>0</v>
      </c>
      <c r="AD16" s="147">
        <f>SUMPRODUCT($B$10:$FZ$10*'10_CAPEX-INGRESOS-PAGOS'!$H$27*'10_CAPEX-INGRESOS-PAGOS'!$H$50*--($B$3:$FZ$3&gt;=ROUNDUP('01_MODELO'!$I$37,0))*--($B$3:$FZ$3+2=AD$3))</f>
        <v>0</v>
      </c>
      <c r="AE16" s="147">
        <f>SUMPRODUCT($B$10:$FZ$10*'10_CAPEX-INGRESOS-PAGOS'!$H$27*'10_CAPEX-INGRESOS-PAGOS'!$H$50*--($B$3:$FZ$3&gt;=ROUNDUP('01_MODELO'!$I$37,0))*--($B$3:$FZ$3+2=AE$3))</f>
        <v>0</v>
      </c>
      <c r="AF16" s="147">
        <f>SUMPRODUCT($B$10:$FZ$10*'10_CAPEX-INGRESOS-PAGOS'!$H$27*'10_CAPEX-INGRESOS-PAGOS'!$H$50*--($B$3:$FZ$3&gt;=ROUNDUP('01_MODELO'!$I$37,0))*--($B$3:$FZ$3+2=AF$3))</f>
        <v>0</v>
      </c>
      <c r="AG16" s="147">
        <f>SUMPRODUCT($B$10:$FZ$10*'10_CAPEX-INGRESOS-PAGOS'!$H$27*'10_CAPEX-INGRESOS-PAGOS'!$H$50*--($B$3:$FZ$3&gt;=ROUNDUP('01_MODELO'!$I$37,0))*--($B$3:$FZ$3+2=AG$3))</f>
        <v>0</v>
      </c>
      <c r="AH16" s="147">
        <f>SUMPRODUCT($B$10:$FZ$10*'10_CAPEX-INGRESOS-PAGOS'!$H$27*'10_CAPEX-INGRESOS-PAGOS'!$H$50*--($B$3:$FZ$3&gt;=ROUNDUP('01_MODELO'!$I$37,0))*--($B$3:$FZ$3+2=AH$3))</f>
        <v>0</v>
      </c>
      <c r="AI16" s="147">
        <f>SUMPRODUCT($B$10:$FZ$10*'10_CAPEX-INGRESOS-PAGOS'!$H$27*'10_CAPEX-INGRESOS-PAGOS'!$H$50*--($B$3:$FZ$3&gt;=ROUNDUP('01_MODELO'!$I$37,0))*--($B$3:$FZ$3+2=AI$3))</f>
        <v>0</v>
      </c>
      <c r="AJ16" s="147">
        <f>SUMPRODUCT($B$10:$FZ$10*'10_CAPEX-INGRESOS-PAGOS'!$H$27*'10_CAPEX-INGRESOS-PAGOS'!$H$50*--($B$3:$FZ$3&gt;=ROUNDUP('01_MODELO'!$I$37,0))*--($B$3:$FZ$3+2=AJ$3))</f>
        <v>0</v>
      </c>
      <c r="AK16" s="147">
        <f>SUMPRODUCT($B$10:$FZ$10*'10_CAPEX-INGRESOS-PAGOS'!$H$27*'10_CAPEX-INGRESOS-PAGOS'!$H$50*--($B$3:$FZ$3&gt;=ROUNDUP('01_MODELO'!$I$37,0))*--($B$3:$FZ$3+2=AK$3))</f>
        <v>0</v>
      </c>
      <c r="AL16" s="147">
        <f>SUMPRODUCT($B$10:$FZ$10*'10_CAPEX-INGRESOS-PAGOS'!$H$27*'10_CAPEX-INGRESOS-PAGOS'!$H$50*--($B$3:$FZ$3&gt;=ROUNDUP('01_MODELO'!$I$37,0))*--($B$3:$FZ$3+2=AL$3))</f>
        <v>0</v>
      </c>
      <c r="AM16" s="147">
        <f>SUMPRODUCT($B$10:$FZ$10*'10_CAPEX-INGRESOS-PAGOS'!$H$27*'10_CAPEX-INGRESOS-PAGOS'!$H$50*--($B$3:$FZ$3&gt;=ROUNDUP('01_MODELO'!$I$37,0))*--($B$3:$FZ$3+2=AM$3))</f>
        <v>0</v>
      </c>
      <c r="AN16" s="147">
        <f>SUMPRODUCT($B$10:$FZ$10*'10_CAPEX-INGRESOS-PAGOS'!$H$27*'10_CAPEX-INGRESOS-PAGOS'!$H$50*--($B$3:$FZ$3&gt;=ROUNDUP('01_MODELO'!$I$37,0))*--($B$3:$FZ$3+2=AN$3))</f>
        <v>0</v>
      </c>
      <c r="AO16" s="147">
        <f>SUMPRODUCT($B$10:$FZ$10*'10_CAPEX-INGRESOS-PAGOS'!$H$27*'10_CAPEX-INGRESOS-PAGOS'!$H$50*--($B$3:$FZ$3&gt;=ROUNDUP('01_MODELO'!$I$37,0))*--($B$3:$FZ$3+2=AO$3))</f>
        <v>0</v>
      </c>
      <c r="AP16" s="147">
        <f>SUMPRODUCT($B$10:$FZ$10*'10_CAPEX-INGRESOS-PAGOS'!$H$27*'10_CAPEX-INGRESOS-PAGOS'!$H$50*--($B$3:$FZ$3&gt;=ROUNDUP('01_MODELO'!$I$37,0))*--($B$3:$FZ$3+2=AP$3))</f>
        <v>0</v>
      </c>
      <c r="AQ16" s="147">
        <f>SUMPRODUCT($B$10:$FZ$10*'10_CAPEX-INGRESOS-PAGOS'!$H$27*'10_CAPEX-INGRESOS-PAGOS'!$H$50*--($B$3:$FZ$3&gt;=ROUNDUP('01_MODELO'!$I$37,0))*--($B$3:$FZ$3+2=AQ$3))</f>
        <v>0</v>
      </c>
      <c r="AR16" s="147">
        <f>SUMPRODUCT($B$10:$FZ$10*'10_CAPEX-INGRESOS-PAGOS'!$H$27*'10_CAPEX-INGRESOS-PAGOS'!$H$50*--($B$3:$FZ$3&gt;=ROUNDUP('01_MODELO'!$I$37,0))*--($B$3:$FZ$3+2=AR$3))</f>
        <v>0</v>
      </c>
      <c r="AS16" s="147">
        <f>SUMPRODUCT($B$10:$FZ$10*'10_CAPEX-INGRESOS-PAGOS'!$H$27*'10_CAPEX-INGRESOS-PAGOS'!$H$50*--($B$3:$FZ$3&gt;=ROUNDUP('01_MODELO'!$I$37,0))*--($B$3:$FZ$3+2=AS$3))</f>
        <v>0</v>
      </c>
      <c r="AT16" s="147">
        <f>SUMPRODUCT($B$10:$FZ$10*'10_CAPEX-INGRESOS-PAGOS'!$H$27*'10_CAPEX-INGRESOS-PAGOS'!$H$50*--($B$3:$FZ$3&gt;=ROUNDUP('01_MODELO'!$I$37,0))*--($B$3:$FZ$3+2=AT$3))</f>
        <v>0</v>
      </c>
      <c r="AU16" s="147">
        <f>SUMPRODUCT($B$10:$FZ$10*'10_CAPEX-INGRESOS-PAGOS'!$H$27*'10_CAPEX-INGRESOS-PAGOS'!$H$50*--($B$3:$FZ$3&gt;=ROUNDUP('01_MODELO'!$I$37,0))*--($B$3:$FZ$3+2=AU$3))</f>
        <v>0</v>
      </c>
      <c r="AV16" s="147">
        <f>SUMPRODUCT($B$10:$FZ$10*'10_CAPEX-INGRESOS-PAGOS'!$H$27*'10_CAPEX-INGRESOS-PAGOS'!$H$50*--($B$3:$FZ$3&gt;=ROUNDUP('01_MODELO'!$I$37,0))*--($B$3:$FZ$3+2=AV$3))</f>
        <v>0</v>
      </c>
      <c r="AW16" s="147">
        <f>SUMPRODUCT($B$10:$FZ$10*'10_CAPEX-INGRESOS-PAGOS'!$H$27*'10_CAPEX-INGRESOS-PAGOS'!$H$50*--($B$3:$FZ$3&gt;=ROUNDUP('01_MODELO'!$I$37,0))*--($B$3:$FZ$3+2=AW$3))</f>
        <v>0</v>
      </c>
      <c r="AX16" s="147">
        <f>SUMPRODUCT($B$10:$FZ$10*'10_CAPEX-INGRESOS-PAGOS'!$H$27*'10_CAPEX-INGRESOS-PAGOS'!$H$50*--($B$3:$FZ$3&gt;=ROUNDUP('01_MODELO'!$I$37,0))*--($B$3:$FZ$3+2=AX$3))</f>
        <v>0</v>
      </c>
      <c r="AY16" s="147">
        <f>SUMPRODUCT($B$10:$FZ$10*'10_CAPEX-INGRESOS-PAGOS'!$H$27*'10_CAPEX-INGRESOS-PAGOS'!$H$50*--($B$3:$FZ$3&gt;=ROUNDUP('01_MODELO'!$I$37,0))*--($B$3:$FZ$3+2=AY$3))</f>
        <v>0</v>
      </c>
      <c r="AZ16" s="147">
        <f>SUMPRODUCT($B$10:$FZ$10*'10_CAPEX-INGRESOS-PAGOS'!$H$27*'10_CAPEX-INGRESOS-PAGOS'!$H$50*--($B$3:$FZ$3&gt;=ROUNDUP('01_MODELO'!$I$37,0))*--($B$3:$FZ$3+2=AZ$3))</f>
        <v>0</v>
      </c>
      <c r="BA16" s="147">
        <f>SUMPRODUCT($B$10:$FZ$10*'10_CAPEX-INGRESOS-PAGOS'!$H$27*'10_CAPEX-INGRESOS-PAGOS'!$H$50*--($B$3:$FZ$3&gt;=ROUNDUP('01_MODELO'!$I$37,0))*--($B$3:$FZ$3+2=BA$3))</f>
        <v>0</v>
      </c>
      <c r="BB16" s="147">
        <f>SUMPRODUCT($B$10:$FZ$10*'10_CAPEX-INGRESOS-PAGOS'!$H$27*'10_CAPEX-INGRESOS-PAGOS'!$H$50*--($B$3:$FZ$3&gt;=ROUNDUP('01_MODELO'!$I$37,0))*--($B$3:$FZ$3+2=BB$3))</f>
        <v>0</v>
      </c>
      <c r="BC16" s="147">
        <f>SUMPRODUCT($B$10:$FZ$10*'10_CAPEX-INGRESOS-PAGOS'!$H$27*'10_CAPEX-INGRESOS-PAGOS'!$H$50*--($B$3:$FZ$3&gt;=ROUNDUP('01_MODELO'!$I$37,0))*--($B$3:$FZ$3+2=BC$3))</f>
        <v>0</v>
      </c>
      <c r="BD16" s="147">
        <f>SUMPRODUCT($B$10:$FZ$10*'10_CAPEX-INGRESOS-PAGOS'!$H$27*'10_CAPEX-INGRESOS-PAGOS'!$H$50*--($B$3:$FZ$3&gt;=ROUNDUP('01_MODELO'!$I$37,0))*--($B$3:$FZ$3+2=BD$3))</f>
        <v>0</v>
      </c>
      <c r="BE16" s="147">
        <f>SUMPRODUCT($B$10:$FZ$10*'10_CAPEX-INGRESOS-PAGOS'!$H$27*'10_CAPEX-INGRESOS-PAGOS'!$H$50*--($B$3:$FZ$3&gt;=ROUNDUP('01_MODELO'!$I$37,0))*--($B$3:$FZ$3+2=BE$3))</f>
        <v>0</v>
      </c>
      <c r="BF16" s="147">
        <f>SUMPRODUCT($B$10:$FZ$10*'10_CAPEX-INGRESOS-PAGOS'!$H$27*'10_CAPEX-INGRESOS-PAGOS'!$H$50*--($B$3:$FZ$3&gt;=ROUNDUP('01_MODELO'!$I$37,0))*--($B$3:$FZ$3+2=BF$3))</f>
        <v>0</v>
      </c>
      <c r="BG16" s="147">
        <f>SUMPRODUCT($B$10:$FZ$10*'10_CAPEX-INGRESOS-PAGOS'!$H$27*'10_CAPEX-INGRESOS-PAGOS'!$H$50*--($B$3:$FZ$3&gt;=ROUNDUP('01_MODELO'!$I$37,0))*--($B$3:$FZ$3+2=BG$3))</f>
        <v>0</v>
      </c>
      <c r="BH16" s="147">
        <f>SUMPRODUCT($B$10:$FZ$10*'10_CAPEX-INGRESOS-PAGOS'!$H$27*'10_CAPEX-INGRESOS-PAGOS'!$H$50*--($B$3:$FZ$3&gt;=ROUNDUP('01_MODELO'!$I$37,0))*--($B$3:$FZ$3+2=BH$3))</f>
        <v>0</v>
      </c>
      <c r="BI16" s="147">
        <f>SUMPRODUCT($B$10:$FZ$10*'10_CAPEX-INGRESOS-PAGOS'!$H$27*'10_CAPEX-INGRESOS-PAGOS'!$H$50*--($B$3:$FZ$3&gt;=ROUNDUP('01_MODELO'!$I$37,0))*--($B$3:$FZ$3+2=BI$3))</f>
        <v>0</v>
      </c>
      <c r="BJ16" s="147">
        <f>SUMPRODUCT($B$10:$FZ$10*'10_CAPEX-INGRESOS-PAGOS'!$H$27*'10_CAPEX-INGRESOS-PAGOS'!$H$50*--($B$3:$FZ$3&gt;=ROUNDUP('01_MODELO'!$I$37,0))*--($B$3:$FZ$3+2=BJ$3))</f>
        <v>0</v>
      </c>
      <c r="BK16" s="147">
        <f>SUMPRODUCT($B$10:$FZ$10*'10_CAPEX-INGRESOS-PAGOS'!$H$27*'10_CAPEX-INGRESOS-PAGOS'!$H$50*--($B$3:$FZ$3&gt;=ROUNDUP('01_MODELO'!$I$37,0))*--($B$3:$FZ$3+2=BK$3))</f>
        <v>0</v>
      </c>
      <c r="BL16" s="147">
        <f>SUMPRODUCT($B$10:$FZ$10*'10_CAPEX-INGRESOS-PAGOS'!$H$27*'10_CAPEX-INGRESOS-PAGOS'!$H$50*--($B$3:$FZ$3&gt;=ROUNDUP('01_MODELO'!$I$37,0))*--($B$3:$FZ$3+2=BL$3))</f>
        <v>0</v>
      </c>
      <c r="BM16" s="147">
        <f>SUMPRODUCT($B$10:$FZ$10*'10_CAPEX-INGRESOS-PAGOS'!$H$27*'10_CAPEX-INGRESOS-PAGOS'!$H$50*--($B$3:$FZ$3&gt;=ROUNDUP('01_MODELO'!$I$37,0))*--($B$3:$FZ$3+2=BM$3))</f>
        <v>0</v>
      </c>
      <c r="BN16" s="147">
        <f>SUMPRODUCT($B$10:$FZ$10*'10_CAPEX-INGRESOS-PAGOS'!$H$27*'10_CAPEX-INGRESOS-PAGOS'!$H$50*--($B$3:$FZ$3&gt;=ROUNDUP('01_MODELO'!$I$37,0))*--($B$3:$FZ$3+2=BN$3))</f>
        <v>0</v>
      </c>
      <c r="BO16" s="147">
        <f>SUMPRODUCT($B$10:$FZ$10*'10_CAPEX-INGRESOS-PAGOS'!$H$27*'10_CAPEX-INGRESOS-PAGOS'!$H$50*--($B$3:$FZ$3&gt;=ROUNDUP('01_MODELO'!$I$37,0))*--($B$3:$FZ$3+2=BO$3))</f>
        <v>0</v>
      </c>
      <c r="BP16" s="147">
        <f>SUMPRODUCT($B$10:$FZ$10*'10_CAPEX-INGRESOS-PAGOS'!$H$27*'10_CAPEX-INGRESOS-PAGOS'!$H$50*--($B$3:$FZ$3&gt;=ROUNDUP('01_MODELO'!$I$37,0))*--($B$3:$FZ$3+2=BP$3))</f>
        <v>0</v>
      </c>
      <c r="BQ16" s="147">
        <f>SUMPRODUCT($B$10:$FZ$10*'10_CAPEX-INGRESOS-PAGOS'!$H$27*'10_CAPEX-INGRESOS-PAGOS'!$H$50*--($B$3:$FZ$3&gt;=ROUNDUP('01_MODELO'!$I$37,0))*--($B$3:$FZ$3+2=BQ$3))</f>
        <v>0</v>
      </c>
      <c r="BR16" s="147">
        <f>SUMPRODUCT($B$10:$FZ$10*'10_CAPEX-INGRESOS-PAGOS'!$H$27*'10_CAPEX-INGRESOS-PAGOS'!$H$50*--($B$3:$FZ$3&gt;=ROUNDUP('01_MODELO'!$I$37,0))*--($B$3:$FZ$3+2=BR$3))</f>
        <v>0</v>
      </c>
      <c r="BS16" s="147">
        <f>SUMPRODUCT($B$10:$FZ$10*'10_CAPEX-INGRESOS-PAGOS'!$H$27*'10_CAPEX-INGRESOS-PAGOS'!$H$50*--($B$3:$FZ$3&gt;=ROUNDUP('01_MODELO'!$I$37,0))*--($B$3:$FZ$3+2=BS$3))</f>
        <v>0</v>
      </c>
      <c r="BT16" s="147">
        <f>SUMPRODUCT($B$10:$FZ$10*'10_CAPEX-INGRESOS-PAGOS'!$H$27*'10_CAPEX-INGRESOS-PAGOS'!$H$50*--($B$3:$FZ$3&gt;=ROUNDUP('01_MODELO'!$I$37,0))*--($B$3:$FZ$3+2=BT$3))</f>
        <v>0</v>
      </c>
      <c r="BU16" s="147">
        <f>SUMPRODUCT($B$10:$FZ$10*'10_CAPEX-INGRESOS-PAGOS'!$H$27*'10_CAPEX-INGRESOS-PAGOS'!$H$50*--($B$3:$FZ$3&gt;=ROUNDUP('01_MODELO'!$I$37,0))*--($B$3:$FZ$3+2=BU$3))</f>
        <v>0</v>
      </c>
      <c r="BV16" s="147">
        <f>SUMPRODUCT($B$10:$FZ$10*'10_CAPEX-INGRESOS-PAGOS'!$H$27*'10_CAPEX-INGRESOS-PAGOS'!$H$50*--($B$3:$FZ$3&gt;=ROUNDUP('01_MODELO'!$I$37,0))*--($B$3:$FZ$3+2=BV$3))</f>
        <v>0</v>
      </c>
      <c r="BW16" s="147">
        <f>SUMPRODUCT($B$10:$FZ$10*'10_CAPEX-INGRESOS-PAGOS'!$H$27*'10_CAPEX-INGRESOS-PAGOS'!$H$50*--($B$3:$FZ$3&gt;=ROUNDUP('01_MODELO'!$I$37,0))*--($B$3:$FZ$3+2=BW$3))</f>
        <v>0</v>
      </c>
      <c r="BX16" s="147">
        <f>SUMPRODUCT($B$10:$FZ$10*'10_CAPEX-INGRESOS-PAGOS'!$H$27*'10_CAPEX-INGRESOS-PAGOS'!$H$50*--($B$3:$FZ$3&gt;=ROUNDUP('01_MODELO'!$I$37,0))*--($B$3:$FZ$3+2=BX$3))</f>
        <v>0</v>
      </c>
      <c r="BY16" s="147">
        <f>SUMPRODUCT($B$10:$FZ$10*'10_CAPEX-INGRESOS-PAGOS'!$H$27*'10_CAPEX-INGRESOS-PAGOS'!$H$50*--($B$3:$FZ$3&gt;=ROUNDUP('01_MODELO'!$I$37,0))*--($B$3:$FZ$3+2=BY$3))</f>
        <v>0</v>
      </c>
      <c r="BZ16" s="147">
        <f>SUMPRODUCT($B$10:$FZ$10*'10_CAPEX-INGRESOS-PAGOS'!$H$27*'10_CAPEX-INGRESOS-PAGOS'!$H$50*--($B$3:$FZ$3&gt;=ROUNDUP('01_MODELO'!$I$37,0))*--($B$3:$FZ$3+2=BZ$3))</f>
        <v>0</v>
      </c>
      <c r="CA16" s="147">
        <f>SUMPRODUCT($B$10:$FZ$10*'10_CAPEX-INGRESOS-PAGOS'!$H$27*'10_CAPEX-INGRESOS-PAGOS'!$H$50*--($B$3:$FZ$3&gt;=ROUNDUP('01_MODELO'!$I$37,0))*--($B$3:$FZ$3+2=CA$3))</f>
        <v>0</v>
      </c>
      <c r="CB16" s="147">
        <f>SUMPRODUCT($B$10:$FZ$10*'10_CAPEX-INGRESOS-PAGOS'!$H$27*'10_CAPEX-INGRESOS-PAGOS'!$H$50*--($B$3:$FZ$3&gt;=ROUNDUP('01_MODELO'!$I$37,0))*--($B$3:$FZ$3+2=CB$3))</f>
        <v>0</v>
      </c>
      <c r="CC16" s="147">
        <f>SUMPRODUCT($B$10:$FZ$10*'10_CAPEX-INGRESOS-PAGOS'!$H$27*'10_CAPEX-INGRESOS-PAGOS'!$H$50*--($B$3:$FZ$3&gt;=ROUNDUP('01_MODELO'!$I$37,0))*--($B$3:$FZ$3+2=CC$3))</f>
        <v>0</v>
      </c>
      <c r="CD16" s="147">
        <f>SUMPRODUCT($B$10:$FZ$10*'10_CAPEX-INGRESOS-PAGOS'!$H$27*'10_CAPEX-INGRESOS-PAGOS'!$H$50*--($B$3:$FZ$3&gt;=ROUNDUP('01_MODELO'!$I$37,0))*--($B$3:$FZ$3+2=CD$3))</f>
        <v>0</v>
      </c>
      <c r="CE16" s="147">
        <f>SUMPRODUCT($B$10:$FZ$10*'10_CAPEX-INGRESOS-PAGOS'!$H$27*'10_CAPEX-INGRESOS-PAGOS'!$H$50*--($B$3:$FZ$3&gt;=ROUNDUP('01_MODELO'!$I$37,0))*--($B$3:$FZ$3+2=CE$3))</f>
        <v>0</v>
      </c>
      <c r="CF16" s="147">
        <f>SUMPRODUCT($B$10:$FZ$10*'10_CAPEX-INGRESOS-PAGOS'!$H$27*'10_CAPEX-INGRESOS-PAGOS'!$H$50*--($B$3:$FZ$3&gt;=ROUNDUP('01_MODELO'!$I$37,0))*--($B$3:$FZ$3+2=CF$3))</f>
        <v>0</v>
      </c>
      <c r="CG16" s="147">
        <f>SUMPRODUCT($B$10:$FZ$10*'10_CAPEX-INGRESOS-PAGOS'!$H$27*'10_CAPEX-INGRESOS-PAGOS'!$H$50*--($B$3:$FZ$3&gt;=ROUNDUP('01_MODELO'!$I$37,0))*--($B$3:$FZ$3+2=CG$3))</f>
        <v>0</v>
      </c>
      <c r="CH16" s="147">
        <f>SUMPRODUCT($B$10:$FZ$10*'10_CAPEX-INGRESOS-PAGOS'!$H$27*'10_CAPEX-INGRESOS-PAGOS'!$H$50*--($B$3:$FZ$3&gt;=ROUNDUP('01_MODELO'!$I$37,0))*--($B$3:$FZ$3+2=CH$3))</f>
        <v>0</v>
      </c>
      <c r="CI16" s="147">
        <f>SUMPRODUCT($B$10:$FZ$10*'10_CAPEX-INGRESOS-PAGOS'!$H$27*'10_CAPEX-INGRESOS-PAGOS'!$H$50*--($B$3:$FZ$3&gt;=ROUNDUP('01_MODELO'!$I$37,0))*--($B$3:$FZ$3+2=CI$3))</f>
        <v>0</v>
      </c>
      <c r="CJ16" s="147">
        <f>SUMPRODUCT($B$10:$FZ$10*'10_CAPEX-INGRESOS-PAGOS'!$H$27*'10_CAPEX-INGRESOS-PAGOS'!$H$50*--($B$3:$FZ$3&gt;=ROUNDUP('01_MODELO'!$I$37,0))*--($B$3:$FZ$3+2=CJ$3))</f>
        <v>0</v>
      </c>
      <c r="CK16" s="147">
        <f>SUMPRODUCT($B$10:$FZ$10*'10_CAPEX-INGRESOS-PAGOS'!$H$27*'10_CAPEX-INGRESOS-PAGOS'!$H$50*--($B$3:$FZ$3&gt;=ROUNDUP('01_MODELO'!$I$37,0))*--($B$3:$FZ$3+2=CK$3))</f>
        <v>0</v>
      </c>
      <c r="CL16" s="147">
        <f>SUMPRODUCT($B$10:$FZ$10*'10_CAPEX-INGRESOS-PAGOS'!$H$27*'10_CAPEX-INGRESOS-PAGOS'!$H$50*--($B$3:$FZ$3&gt;=ROUNDUP('01_MODELO'!$I$37,0))*--($B$3:$FZ$3+2=CL$3))</f>
        <v>0</v>
      </c>
      <c r="CM16" s="147">
        <f>SUMPRODUCT($B$10:$FZ$10*'10_CAPEX-INGRESOS-PAGOS'!$H$27*'10_CAPEX-INGRESOS-PAGOS'!$H$50*--($B$3:$FZ$3&gt;=ROUNDUP('01_MODELO'!$I$37,0))*--($B$3:$FZ$3+2=CM$3))</f>
        <v>0</v>
      </c>
      <c r="CN16" s="147">
        <f>SUMPRODUCT($B$10:$FZ$10*'10_CAPEX-INGRESOS-PAGOS'!$H$27*'10_CAPEX-INGRESOS-PAGOS'!$H$50*--($B$3:$FZ$3&gt;=ROUNDUP('01_MODELO'!$I$37,0))*--($B$3:$FZ$3+2=CN$3))</f>
        <v>0</v>
      </c>
      <c r="CO16" s="147">
        <f>SUMPRODUCT($B$10:$FZ$10*'10_CAPEX-INGRESOS-PAGOS'!$H$27*'10_CAPEX-INGRESOS-PAGOS'!$H$50*--($B$3:$FZ$3&gt;=ROUNDUP('01_MODELO'!$I$37,0))*--($B$3:$FZ$3+2=CO$3))</f>
        <v>0</v>
      </c>
      <c r="CP16" s="147">
        <f>SUMPRODUCT($B$10:$FZ$10*'10_CAPEX-INGRESOS-PAGOS'!$H$27*'10_CAPEX-INGRESOS-PAGOS'!$H$50*--($B$3:$FZ$3&gt;=ROUNDUP('01_MODELO'!$I$37,0))*--($B$3:$FZ$3+2=CP$3))</f>
        <v>0</v>
      </c>
      <c r="CQ16" s="147">
        <f>SUMPRODUCT($B$10:$FZ$10*'10_CAPEX-INGRESOS-PAGOS'!$H$27*'10_CAPEX-INGRESOS-PAGOS'!$H$50*--($B$3:$FZ$3&gt;=ROUNDUP('01_MODELO'!$I$37,0))*--($B$3:$FZ$3+2=CQ$3))</f>
        <v>0</v>
      </c>
      <c r="CR16" s="147">
        <f>SUMPRODUCT($B$10:$FZ$10*'10_CAPEX-INGRESOS-PAGOS'!$H$27*'10_CAPEX-INGRESOS-PAGOS'!$H$50*--($B$3:$FZ$3&gt;=ROUNDUP('01_MODELO'!$I$37,0))*--($B$3:$FZ$3+2=CR$3))</f>
        <v>0</v>
      </c>
      <c r="CS16" s="147">
        <f>SUMPRODUCT($B$10:$FZ$10*'10_CAPEX-INGRESOS-PAGOS'!$H$27*'10_CAPEX-INGRESOS-PAGOS'!$H$50*--($B$3:$FZ$3&gt;=ROUNDUP('01_MODELO'!$I$37,0))*--($B$3:$FZ$3+2=CS$3))</f>
        <v>0</v>
      </c>
      <c r="CT16" s="147">
        <f>SUMPRODUCT($B$10:$FZ$10*'10_CAPEX-INGRESOS-PAGOS'!$H$27*'10_CAPEX-INGRESOS-PAGOS'!$H$50*--($B$3:$FZ$3&gt;=ROUNDUP('01_MODELO'!$I$37,0))*--($B$3:$FZ$3+2=CT$3))</f>
        <v>0</v>
      </c>
      <c r="CU16" s="147">
        <f>SUMPRODUCT($B$10:$FZ$10*'10_CAPEX-INGRESOS-PAGOS'!$H$27*'10_CAPEX-INGRESOS-PAGOS'!$H$50*--($B$3:$FZ$3&gt;=ROUNDUP('01_MODELO'!$I$37,0))*--($B$3:$FZ$3+2=CU$3))</f>
        <v>0</v>
      </c>
      <c r="CV16" s="147">
        <f>SUMPRODUCT($B$10:$FZ$10*'10_CAPEX-INGRESOS-PAGOS'!$H$27*'10_CAPEX-INGRESOS-PAGOS'!$H$50*--($B$3:$FZ$3&gt;=ROUNDUP('01_MODELO'!$I$37,0))*--($B$3:$FZ$3+2=CV$3))</f>
        <v>0</v>
      </c>
      <c r="CW16" s="147">
        <f>SUMPRODUCT($B$10:$FZ$10*'10_CAPEX-INGRESOS-PAGOS'!$H$27*'10_CAPEX-INGRESOS-PAGOS'!$H$50*--($B$3:$FZ$3&gt;=ROUNDUP('01_MODELO'!$I$37,0))*--($B$3:$FZ$3+2=CW$3))</f>
        <v>0</v>
      </c>
      <c r="CX16" s="147">
        <f>SUMPRODUCT($B$10:$FZ$10*'10_CAPEX-INGRESOS-PAGOS'!$H$27*'10_CAPEX-INGRESOS-PAGOS'!$H$50*--($B$3:$FZ$3&gt;=ROUNDUP('01_MODELO'!$I$37,0))*--($B$3:$FZ$3+2=CX$3))</f>
        <v>0</v>
      </c>
      <c r="CY16" s="147">
        <f>SUMPRODUCT($B$10:$FZ$10*'10_CAPEX-INGRESOS-PAGOS'!$H$27*'10_CAPEX-INGRESOS-PAGOS'!$H$50*--($B$3:$FZ$3&gt;=ROUNDUP('01_MODELO'!$I$37,0))*--($B$3:$FZ$3+2=CY$3))</f>
        <v>0</v>
      </c>
      <c r="CZ16" s="147">
        <f>SUMPRODUCT($B$10:$FZ$10*'10_CAPEX-INGRESOS-PAGOS'!$H$27*'10_CAPEX-INGRESOS-PAGOS'!$H$50*--($B$3:$FZ$3&gt;=ROUNDUP('01_MODELO'!$I$37,0))*--($B$3:$FZ$3+2=CZ$3))</f>
        <v>0</v>
      </c>
      <c r="DA16" s="147">
        <f>SUMPRODUCT($B$10:$FZ$10*'10_CAPEX-INGRESOS-PAGOS'!$H$27*'10_CAPEX-INGRESOS-PAGOS'!$H$50*--($B$3:$FZ$3&gt;=ROUNDUP('01_MODELO'!$I$37,0))*--($B$3:$FZ$3+2=DA$3))</f>
        <v>0</v>
      </c>
      <c r="DB16" s="147">
        <f>SUMPRODUCT($B$10:$FZ$10*'10_CAPEX-INGRESOS-PAGOS'!$H$27*'10_CAPEX-INGRESOS-PAGOS'!$H$50*--($B$3:$FZ$3&gt;=ROUNDUP('01_MODELO'!$I$37,0))*--($B$3:$FZ$3+2=DB$3))</f>
        <v>0</v>
      </c>
      <c r="DC16" s="147">
        <f>SUMPRODUCT($B$10:$FZ$10*'10_CAPEX-INGRESOS-PAGOS'!$H$27*'10_CAPEX-INGRESOS-PAGOS'!$H$50*--($B$3:$FZ$3&gt;=ROUNDUP('01_MODELO'!$I$37,0))*--($B$3:$FZ$3+2=DC$3))</f>
        <v>0</v>
      </c>
      <c r="DD16" s="147">
        <f>SUMPRODUCT($B$10:$FZ$10*'10_CAPEX-INGRESOS-PAGOS'!$H$27*'10_CAPEX-INGRESOS-PAGOS'!$H$50*--($B$3:$FZ$3&gt;=ROUNDUP('01_MODELO'!$I$37,0))*--($B$3:$FZ$3+2=DD$3))</f>
        <v>0</v>
      </c>
      <c r="DE16" s="147">
        <f>SUMPRODUCT($B$10:$FZ$10*'10_CAPEX-INGRESOS-PAGOS'!$H$27*'10_CAPEX-INGRESOS-PAGOS'!$H$50*--($B$3:$FZ$3&gt;=ROUNDUP('01_MODELO'!$I$37,0))*--($B$3:$FZ$3+2=DE$3))</f>
        <v>0</v>
      </c>
      <c r="DF16" s="147">
        <f>SUMPRODUCT($B$10:$FZ$10*'10_CAPEX-INGRESOS-PAGOS'!$H$27*'10_CAPEX-INGRESOS-PAGOS'!$H$50*--($B$3:$FZ$3&gt;=ROUNDUP('01_MODELO'!$I$37,0))*--($B$3:$FZ$3+2=DF$3))</f>
        <v>0</v>
      </c>
      <c r="DG16" s="147">
        <f>SUMPRODUCT($B$10:$FZ$10*'10_CAPEX-INGRESOS-PAGOS'!$H$27*'10_CAPEX-INGRESOS-PAGOS'!$H$50*--($B$3:$FZ$3&gt;=ROUNDUP('01_MODELO'!$I$37,0))*--($B$3:$FZ$3+2=DG$3))</f>
        <v>0</v>
      </c>
      <c r="DH16" s="147">
        <f>SUMPRODUCT($B$10:$FZ$10*'10_CAPEX-INGRESOS-PAGOS'!$H$27*'10_CAPEX-INGRESOS-PAGOS'!$H$50*--($B$3:$FZ$3&gt;=ROUNDUP('01_MODELO'!$I$37,0))*--($B$3:$FZ$3+2=DH$3))</f>
        <v>0</v>
      </c>
      <c r="DI16" s="147">
        <f>SUMPRODUCT($B$10:$FZ$10*'10_CAPEX-INGRESOS-PAGOS'!$H$27*'10_CAPEX-INGRESOS-PAGOS'!$H$50*--($B$3:$FZ$3&gt;=ROUNDUP('01_MODELO'!$I$37,0))*--($B$3:$FZ$3+2=DI$3))</f>
        <v>0</v>
      </c>
      <c r="DJ16" s="147">
        <f>SUMPRODUCT($B$10:$FZ$10*'10_CAPEX-INGRESOS-PAGOS'!$H$27*'10_CAPEX-INGRESOS-PAGOS'!$H$50*--($B$3:$FZ$3&gt;=ROUNDUP('01_MODELO'!$I$37,0))*--($B$3:$FZ$3+2=DJ$3))</f>
        <v>0</v>
      </c>
      <c r="DK16" s="147">
        <f>SUMPRODUCT($B$10:$FZ$10*'10_CAPEX-INGRESOS-PAGOS'!$H$27*'10_CAPEX-INGRESOS-PAGOS'!$H$50*--($B$3:$FZ$3&gt;=ROUNDUP('01_MODELO'!$I$37,0))*--($B$3:$FZ$3+2=DK$3))</f>
        <v>0</v>
      </c>
      <c r="DL16" s="147">
        <f>SUMPRODUCT($B$10:$FZ$10*'10_CAPEX-INGRESOS-PAGOS'!$H$27*'10_CAPEX-INGRESOS-PAGOS'!$H$50*--($B$3:$FZ$3&gt;=ROUNDUP('01_MODELO'!$I$37,0))*--($B$3:$FZ$3+2=DL$3))</f>
        <v>0</v>
      </c>
      <c r="DM16" s="147">
        <f>SUMPRODUCT($B$10:$FZ$10*'10_CAPEX-INGRESOS-PAGOS'!$H$27*'10_CAPEX-INGRESOS-PAGOS'!$H$50*--($B$3:$FZ$3&gt;=ROUNDUP('01_MODELO'!$I$37,0))*--($B$3:$FZ$3+2=DM$3))</f>
        <v>0</v>
      </c>
      <c r="DN16" s="147">
        <f>SUMPRODUCT($B$10:$FZ$10*'10_CAPEX-INGRESOS-PAGOS'!$H$27*'10_CAPEX-INGRESOS-PAGOS'!$H$50*--($B$3:$FZ$3&gt;=ROUNDUP('01_MODELO'!$I$37,0))*--($B$3:$FZ$3+2=DN$3))</f>
        <v>0</v>
      </c>
      <c r="DO16" s="147">
        <f>SUMPRODUCT($B$10:$FZ$10*'10_CAPEX-INGRESOS-PAGOS'!$H$27*'10_CAPEX-INGRESOS-PAGOS'!$H$50*--($B$3:$FZ$3&gt;=ROUNDUP('01_MODELO'!$I$37,0))*--($B$3:$FZ$3+2=DO$3))</f>
        <v>0</v>
      </c>
      <c r="DP16" s="147">
        <f>SUMPRODUCT($B$10:$FZ$10*'10_CAPEX-INGRESOS-PAGOS'!$H$27*'10_CAPEX-INGRESOS-PAGOS'!$H$50*--($B$3:$FZ$3&gt;=ROUNDUP('01_MODELO'!$I$37,0))*--($B$3:$FZ$3+2=DP$3))</f>
        <v>0</v>
      </c>
      <c r="DQ16" s="147">
        <f>SUMPRODUCT($B$10:$FZ$10*'10_CAPEX-INGRESOS-PAGOS'!$H$27*'10_CAPEX-INGRESOS-PAGOS'!$H$50*--($B$3:$FZ$3&gt;=ROUNDUP('01_MODELO'!$I$37,0))*--($B$3:$FZ$3+2=DQ$3))</f>
        <v>0</v>
      </c>
      <c r="DR16" s="147">
        <f>SUMPRODUCT($B$10:$FZ$10*'10_CAPEX-INGRESOS-PAGOS'!$H$27*'10_CAPEX-INGRESOS-PAGOS'!$H$50*--($B$3:$FZ$3&gt;=ROUNDUP('01_MODELO'!$I$37,0))*--($B$3:$FZ$3+2=DR$3))</f>
        <v>0</v>
      </c>
      <c r="DS16" s="147">
        <f>SUMPRODUCT($B$10:$FZ$10*'10_CAPEX-INGRESOS-PAGOS'!$H$27*'10_CAPEX-INGRESOS-PAGOS'!$H$50*--($B$3:$FZ$3&gt;=ROUNDUP('01_MODELO'!$I$37,0))*--($B$3:$FZ$3+2=DS$3))</f>
        <v>0</v>
      </c>
      <c r="DT16" s="147">
        <f>SUMPRODUCT($B$10:$FZ$10*'10_CAPEX-INGRESOS-PAGOS'!$H$27*'10_CAPEX-INGRESOS-PAGOS'!$H$50*--($B$3:$FZ$3&gt;=ROUNDUP('01_MODELO'!$I$37,0))*--($B$3:$FZ$3+2=DT$3))</f>
        <v>0</v>
      </c>
      <c r="DU16" s="147">
        <f>SUMPRODUCT($B$10:$FZ$10*'10_CAPEX-INGRESOS-PAGOS'!$H$27*'10_CAPEX-INGRESOS-PAGOS'!$H$50*--($B$3:$FZ$3&gt;=ROUNDUP('01_MODELO'!$I$37,0))*--($B$3:$FZ$3+2=DU$3))</f>
        <v>0</v>
      </c>
      <c r="DV16" s="147">
        <f>SUMPRODUCT($B$10:$FZ$10*'10_CAPEX-INGRESOS-PAGOS'!$H$27*'10_CAPEX-INGRESOS-PAGOS'!$H$50*--($B$3:$FZ$3&gt;=ROUNDUP('01_MODELO'!$I$37,0))*--($B$3:$FZ$3+2=DV$3))</f>
        <v>0</v>
      </c>
      <c r="DW16" s="147">
        <f>SUMPRODUCT($B$10:$FZ$10*'10_CAPEX-INGRESOS-PAGOS'!$H$27*'10_CAPEX-INGRESOS-PAGOS'!$H$50*--($B$3:$FZ$3&gt;=ROUNDUP('01_MODELO'!$I$37,0))*--($B$3:$FZ$3+2=DW$3))</f>
        <v>0</v>
      </c>
      <c r="DX16" s="147">
        <f>SUMPRODUCT($B$10:$FZ$10*'10_CAPEX-INGRESOS-PAGOS'!$H$27*'10_CAPEX-INGRESOS-PAGOS'!$H$50*--($B$3:$FZ$3&gt;=ROUNDUP('01_MODELO'!$I$37,0))*--($B$3:$FZ$3+2=DX$3))</f>
        <v>0</v>
      </c>
      <c r="DY16" s="147">
        <f>SUMPRODUCT($B$10:$FZ$10*'10_CAPEX-INGRESOS-PAGOS'!$H$27*'10_CAPEX-INGRESOS-PAGOS'!$H$50*--($B$3:$FZ$3&gt;=ROUNDUP('01_MODELO'!$I$37,0))*--($B$3:$FZ$3+2=DY$3))</f>
        <v>0</v>
      </c>
      <c r="DZ16" s="147">
        <f>SUMPRODUCT($B$10:$FZ$10*'10_CAPEX-INGRESOS-PAGOS'!$H$27*'10_CAPEX-INGRESOS-PAGOS'!$H$50*--($B$3:$FZ$3&gt;=ROUNDUP('01_MODELO'!$I$37,0))*--($B$3:$FZ$3+2=DZ$3))</f>
        <v>0</v>
      </c>
      <c r="EA16" s="147">
        <f>SUMPRODUCT($B$10:$FZ$10*'10_CAPEX-INGRESOS-PAGOS'!$H$27*'10_CAPEX-INGRESOS-PAGOS'!$H$50*--($B$3:$FZ$3&gt;=ROUNDUP('01_MODELO'!$I$37,0))*--($B$3:$FZ$3+2=EA$3))</f>
        <v>0</v>
      </c>
      <c r="EB16" s="147">
        <f>SUMPRODUCT($B$10:$FZ$10*'10_CAPEX-INGRESOS-PAGOS'!$H$27*'10_CAPEX-INGRESOS-PAGOS'!$H$50*--($B$3:$FZ$3&gt;=ROUNDUP('01_MODELO'!$I$37,0))*--($B$3:$FZ$3+2=EB$3))</f>
        <v>0</v>
      </c>
      <c r="EC16" s="147">
        <f>SUMPRODUCT($B$10:$FZ$10*'10_CAPEX-INGRESOS-PAGOS'!$H$27*'10_CAPEX-INGRESOS-PAGOS'!$H$50*--($B$3:$FZ$3&gt;=ROUNDUP('01_MODELO'!$I$37,0))*--($B$3:$FZ$3+2=EC$3))</f>
        <v>0</v>
      </c>
      <c r="ED16" s="147">
        <f>SUMPRODUCT($B$10:$FZ$10*'10_CAPEX-INGRESOS-PAGOS'!$H$27*'10_CAPEX-INGRESOS-PAGOS'!$H$50*--($B$3:$FZ$3&gt;=ROUNDUP('01_MODELO'!$I$37,0))*--($B$3:$FZ$3+2=ED$3))</f>
        <v>0</v>
      </c>
      <c r="EE16" s="147">
        <f>SUMPRODUCT($B$10:$FZ$10*'10_CAPEX-INGRESOS-PAGOS'!$H$27*'10_CAPEX-INGRESOS-PAGOS'!$H$50*--($B$3:$FZ$3&gt;=ROUNDUP('01_MODELO'!$I$37,0))*--($B$3:$FZ$3+2=EE$3))</f>
        <v>0</v>
      </c>
      <c r="EF16" s="147">
        <f>SUMPRODUCT($B$10:$FZ$10*'10_CAPEX-INGRESOS-PAGOS'!$H$27*'10_CAPEX-INGRESOS-PAGOS'!$H$50*--($B$3:$FZ$3&gt;=ROUNDUP('01_MODELO'!$I$37,0))*--($B$3:$FZ$3+2=EF$3))</f>
        <v>0</v>
      </c>
      <c r="EG16" s="147">
        <f>SUMPRODUCT($B$10:$FZ$10*'10_CAPEX-INGRESOS-PAGOS'!$H$27*'10_CAPEX-INGRESOS-PAGOS'!$H$50*--($B$3:$FZ$3&gt;=ROUNDUP('01_MODELO'!$I$37,0))*--($B$3:$FZ$3+2=EG$3))</f>
        <v>0</v>
      </c>
      <c r="EH16" s="147">
        <f>SUMPRODUCT($B$10:$FZ$10*'10_CAPEX-INGRESOS-PAGOS'!$H$27*'10_CAPEX-INGRESOS-PAGOS'!$H$50*--($B$3:$FZ$3&gt;=ROUNDUP('01_MODELO'!$I$37,0))*--($B$3:$FZ$3+2=EH$3))</f>
        <v>0</v>
      </c>
      <c r="EI16" s="147">
        <f>SUMPRODUCT($B$10:$FZ$10*'10_CAPEX-INGRESOS-PAGOS'!$H$27*'10_CAPEX-INGRESOS-PAGOS'!$H$50*--($B$3:$FZ$3&gt;=ROUNDUP('01_MODELO'!$I$37,0))*--($B$3:$FZ$3+2=EI$3))</f>
        <v>0</v>
      </c>
      <c r="EJ16" s="147">
        <f>SUMPRODUCT($B$10:$FZ$10*'10_CAPEX-INGRESOS-PAGOS'!$H$27*'10_CAPEX-INGRESOS-PAGOS'!$H$50*--($B$3:$FZ$3&gt;=ROUNDUP('01_MODELO'!$I$37,0))*--($B$3:$FZ$3+2=EJ$3))</f>
        <v>0</v>
      </c>
      <c r="EK16" s="147">
        <f>SUMPRODUCT($B$10:$FZ$10*'10_CAPEX-INGRESOS-PAGOS'!$H$27*'10_CAPEX-INGRESOS-PAGOS'!$H$50*--($B$3:$FZ$3&gt;=ROUNDUP('01_MODELO'!$I$37,0))*--($B$3:$FZ$3+2=EK$3))</f>
        <v>0</v>
      </c>
      <c r="EL16" s="147">
        <f>SUMPRODUCT($B$10:$FZ$10*'10_CAPEX-INGRESOS-PAGOS'!$H$27*'10_CAPEX-INGRESOS-PAGOS'!$H$50*--($B$3:$FZ$3&gt;=ROUNDUP('01_MODELO'!$I$37,0))*--($B$3:$FZ$3+2=EL$3))</f>
        <v>0</v>
      </c>
      <c r="EM16" s="147">
        <f>SUMPRODUCT($B$10:$FZ$10*'10_CAPEX-INGRESOS-PAGOS'!$H$27*'10_CAPEX-INGRESOS-PAGOS'!$H$50*--($B$3:$FZ$3&gt;=ROUNDUP('01_MODELO'!$I$37,0))*--($B$3:$FZ$3+2=EM$3))</f>
        <v>0</v>
      </c>
      <c r="EN16" s="147">
        <f>SUMPRODUCT($B$10:$FZ$10*'10_CAPEX-INGRESOS-PAGOS'!$H$27*'10_CAPEX-INGRESOS-PAGOS'!$H$50*--($B$3:$FZ$3&gt;=ROUNDUP('01_MODELO'!$I$37,0))*--($B$3:$FZ$3+2=EN$3))</f>
        <v>0</v>
      </c>
      <c r="EO16" s="147">
        <f>SUMPRODUCT($B$10:$FZ$10*'10_CAPEX-INGRESOS-PAGOS'!$H$27*'10_CAPEX-INGRESOS-PAGOS'!$H$50*--($B$3:$FZ$3&gt;=ROUNDUP('01_MODELO'!$I$37,0))*--($B$3:$FZ$3+2=EO$3))</f>
        <v>0</v>
      </c>
      <c r="EP16" s="147">
        <f>SUMPRODUCT($B$10:$FZ$10*'10_CAPEX-INGRESOS-PAGOS'!$H$27*'10_CAPEX-INGRESOS-PAGOS'!$H$50*--($B$3:$FZ$3&gt;=ROUNDUP('01_MODELO'!$I$37,0))*--($B$3:$FZ$3+2=EP$3))</f>
        <v>0</v>
      </c>
      <c r="EQ16" s="147">
        <f>SUMPRODUCT($B$10:$FZ$10*'10_CAPEX-INGRESOS-PAGOS'!$H$27*'10_CAPEX-INGRESOS-PAGOS'!$H$50*--($B$3:$FZ$3&gt;=ROUNDUP('01_MODELO'!$I$37,0))*--($B$3:$FZ$3+2=EQ$3))</f>
        <v>0</v>
      </c>
      <c r="ER16" s="147">
        <f>SUMPRODUCT($B$10:$FZ$10*'10_CAPEX-INGRESOS-PAGOS'!$H$27*'10_CAPEX-INGRESOS-PAGOS'!$H$50*--($B$3:$FZ$3&gt;=ROUNDUP('01_MODELO'!$I$37,0))*--($B$3:$FZ$3+2=ER$3))</f>
        <v>0</v>
      </c>
      <c r="ES16" s="147">
        <f>SUMPRODUCT($B$10:$FZ$10*'10_CAPEX-INGRESOS-PAGOS'!$H$27*'10_CAPEX-INGRESOS-PAGOS'!$H$50*--($B$3:$FZ$3&gt;=ROUNDUP('01_MODELO'!$I$37,0))*--($B$3:$FZ$3+2=ES$3))</f>
        <v>0</v>
      </c>
      <c r="ET16" s="147">
        <f>SUMPRODUCT($B$10:$FZ$10*'10_CAPEX-INGRESOS-PAGOS'!$H$27*'10_CAPEX-INGRESOS-PAGOS'!$H$50*--($B$3:$FZ$3&gt;=ROUNDUP('01_MODELO'!$I$37,0))*--($B$3:$FZ$3+2=ET$3))</f>
        <v>0</v>
      </c>
      <c r="EU16" s="147">
        <f>SUMPRODUCT($B$10:$FZ$10*'10_CAPEX-INGRESOS-PAGOS'!$H$27*'10_CAPEX-INGRESOS-PAGOS'!$H$50*--($B$3:$FZ$3&gt;=ROUNDUP('01_MODELO'!$I$37,0))*--($B$3:$FZ$3+2=EU$3))</f>
        <v>0</v>
      </c>
      <c r="EV16" s="147">
        <f>SUMPRODUCT($B$10:$FZ$10*'10_CAPEX-INGRESOS-PAGOS'!$H$27*'10_CAPEX-INGRESOS-PAGOS'!$H$50*--($B$3:$FZ$3&gt;=ROUNDUP('01_MODELO'!$I$37,0))*--($B$3:$FZ$3+2=EV$3))</f>
        <v>0</v>
      </c>
      <c r="EW16" s="147">
        <f>SUMPRODUCT($B$10:$FZ$10*'10_CAPEX-INGRESOS-PAGOS'!$H$27*'10_CAPEX-INGRESOS-PAGOS'!$H$50*--($B$3:$FZ$3&gt;=ROUNDUP('01_MODELO'!$I$37,0))*--($B$3:$FZ$3+2=EW$3))</f>
        <v>0</v>
      </c>
      <c r="EX16" s="147">
        <f>SUMPRODUCT($B$10:$FZ$10*'10_CAPEX-INGRESOS-PAGOS'!$H$27*'10_CAPEX-INGRESOS-PAGOS'!$H$50*--($B$3:$FZ$3&gt;=ROUNDUP('01_MODELO'!$I$37,0))*--($B$3:$FZ$3+2=EX$3))</f>
        <v>0</v>
      </c>
      <c r="EY16" s="147">
        <f>SUMPRODUCT($B$10:$FZ$10*'10_CAPEX-INGRESOS-PAGOS'!$H$27*'10_CAPEX-INGRESOS-PAGOS'!$H$50*--($B$3:$FZ$3&gt;=ROUNDUP('01_MODELO'!$I$37,0))*--($B$3:$FZ$3+2=EY$3))</f>
        <v>0</v>
      </c>
      <c r="EZ16" s="147">
        <f>SUMPRODUCT($B$10:$FZ$10*'10_CAPEX-INGRESOS-PAGOS'!$H$27*'10_CAPEX-INGRESOS-PAGOS'!$H$50*--($B$3:$FZ$3&gt;=ROUNDUP('01_MODELO'!$I$37,0))*--($B$3:$FZ$3+2=EZ$3))</f>
        <v>0</v>
      </c>
      <c r="FA16" s="147">
        <f>SUMPRODUCT($B$10:$FZ$10*'10_CAPEX-INGRESOS-PAGOS'!$H$27*'10_CAPEX-INGRESOS-PAGOS'!$H$50*--($B$3:$FZ$3&gt;=ROUNDUP('01_MODELO'!$I$37,0))*--($B$3:$FZ$3+2=FA$3))</f>
        <v>0</v>
      </c>
      <c r="FB16" s="147">
        <f>SUMPRODUCT($B$10:$FZ$10*'10_CAPEX-INGRESOS-PAGOS'!$H$27*'10_CAPEX-INGRESOS-PAGOS'!$H$50*--($B$3:$FZ$3&gt;=ROUNDUP('01_MODELO'!$I$37,0))*--($B$3:$FZ$3+2=FB$3))</f>
        <v>0</v>
      </c>
      <c r="FC16" s="147">
        <f>SUMPRODUCT($B$10:$FZ$10*'10_CAPEX-INGRESOS-PAGOS'!$H$27*'10_CAPEX-INGRESOS-PAGOS'!$H$50*--($B$3:$FZ$3&gt;=ROUNDUP('01_MODELO'!$I$37,0))*--($B$3:$FZ$3+2=FC$3))</f>
        <v>0</v>
      </c>
      <c r="FD16" s="147">
        <f>SUMPRODUCT($B$10:$FZ$10*'10_CAPEX-INGRESOS-PAGOS'!$H$27*'10_CAPEX-INGRESOS-PAGOS'!$H$50*--($B$3:$FZ$3&gt;=ROUNDUP('01_MODELO'!$I$37,0))*--($B$3:$FZ$3+2=FD$3))</f>
        <v>0</v>
      </c>
      <c r="FE16" s="147">
        <f>SUMPRODUCT($B$10:$FZ$10*'10_CAPEX-INGRESOS-PAGOS'!$H$27*'10_CAPEX-INGRESOS-PAGOS'!$H$50*--($B$3:$FZ$3&gt;=ROUNDUP('01_MODELO'!$I$37,0))*--($B$3:$FZ$3+2=FE$3))</f>
        <v>0</v>
      </c>
      <c r="FF16" s="147">
        <f>SUMPRODUCT($B$10:$FZ$10*'10_CAPEX-INGRESOS-PAGOS'!$H$27*'10_CAPEX-INGRESOS-PAGOS'!$H$50*--($B$3:$FZ$3&gt;=ROUNDUP('01_MODELO'!$I$37,0))*--($B$3:$FZ$3+2=FF$3))</f>
        <v>0</v>
      </c>
      <c r="FG16" s="147">
        <f>SUMPRODUCT($B$10:$FZ$10*'10_CAPEX-INGRESOS-PAGOS'!$H$27*'10_CAPEX-INGRESOS-PAGOS'!$H$50*--($B$3:$FZ$3&gt;=ROUNDUP('01_MODELO'!$I$37,0))*--($B$3:$FZ$3+2=FG$3))</f>
        <v>0</v>
      </c>
      <c r="FH16" s="147">
        <f>SUMPRODUCT($B$10:$FZ$10*'10_CAPEX-INGRESOS-PAGOS'!$H$27*'10_CAPEX-INGRESOS-PAGOS'!$H$50*--($B$3:$FZ$3&gt;=ROUNDUP('01_MODELO'!$I$37,0))*--($B$3:$FZ$3+2=FH$3))</f>
        <v>0</v>
      </c>
      <c r="FI16" s="147">
        <f>SUMPRODUCT($B$10:$FZ$10*'10_CAPEX-INGRESOS-PAGOS'!$H$27*'10_CAPEX-INGRESOS-PAGOS'!$H$50*--($B$3:$FZ$3&gt;=ROUNDUP('01_MODELO'!$I$37,0))*--($B$3:$FZ$3+2=FI$3))</f>
        <v>0</v>
      </c>
      <c r="FJ16" s="147">
        <f>SUMPRODUCT($B$10:$FZ$10*'10_CAPEX-INGRESOS-PAGOS'!$H$27*'10_CAPEX-INGRESOS-PAGOS'!$H$50*--($B$3:$FZ$3&gt;=ROUNDUP('01_MODELO'!$I$37,0))*--($B$3:$FZ$3+2=FJ$3))</f>
        <v>0</v>
      </c>
      <c r="FK16" s="147">
        <f>SUMPRODUCT($B$10:$FZ$10*'10_CAPEX-INGRESOS-PAGOS'!$H$27*'10_CAPEX-INGRESOS-PAGOS'!$H$50*--($B$3:$FZ$3&gt;=ROUNDUP('01_MODELO'!$I$37,0))*--($B$3:$FZ$3+2=FK$3))</f>
        <v>0</v>
      </c>
      <c r="FL16" s="147">
        <f>SUMPRODUCT($B$10:$FZ$10*'10_CAPEX-INGRESOS-PAGOS'!$H$27*'10_CAPEX-INGRESOS-PAGOS'!$H$50*--($B$3:$FZ$3&gt;=ROUNDUP('01_MODELO'!$I$37,0))*--($B$3:$FZ$3+2=FL$3))</f>
        <v>0</v>
      </c>
      <c r="FM16" s="147">
        <f>SUMPRODUCT($B$10:$FZ$10*'10_CAPEX-INGRESOS-PAGOS'!$H$27*'10_CAPEX-INGRESOS-PAGOS'!$H$50*--($B$3:$FZ$3&gt;=ROUNDUP('01_MODELO'!$I$37,0))*--($B$3:$FZ$3+2=FM$3))</f>
        <v>0</v>
      </c>
      <c r="FN16" s="147">
        <f>SUMPRODUCT($B$10:$FZ$10*'10_CAPEX-INGRESOS-PAGOS'!$H$27*'10_CAPEX-INGRESOS-PAGOS'!$H$50*--($B$3:$FZ$3&gt;=ROUNDUP('01_MODELO'!$I$37,0))*--($B$3:$FZ$3+2=FN$3))</f>
        <v>0</v>
      </c>
      <c r="FO16" s="147">
        <f>SUMPRODUCT($B$10:$FZ$10*'10_CAPEX-INGRESOS-PAGOS'!$H$27*'10_CAPEX-INGRESOS-PAGOS'!$H$50*--($B$3:$FZ$3&gt;=ROUNDUP('01_MODELO'!$I$37,0))*--($B$3:$FZ$3+2=FO$3))</f>
        <v>0</v>
      </c>
      <c r="FP16" s="147">
        <f>SUMPRODUCT($B$10:$FZ$10*'10_CAPEX-INGRESOS-PAGOS'!$H$27*'10_CAPEX-INGRESOS-PAGOS'!$H$50*--($B$3:$FZ$3&gt;=ROUNDUP('01_MODELO'!$I$37,0))*--($B$3:$FZ$3+2=FP$3))</f>
        <v>0</v>
      </c>
      <c r="FQ16" s="147">
        <f>SUMPRODUCT($B$10:$FZ$10*'10_CAPEX-INGRESOS-PAGOS'!$H$27*'10_CAPEX-INGRESOS-PAGOS'!$H$50*--($B$3:$FZ$3&gt;=ROUNDUP('01_MODELO'!$I$37,0))*--($B$3:$FZ$3+2=FQ$3))</f>
        <v>0</v>
      </c>
      <c r="FR16" s="147">
        <f>SUMPRODUCT($B$10:$FZ$10*'10_CAPEX-INGRESOS-PAGOS'!$H$27*'10_CAPEX-INGRESOS-PAGOS'!$H$50*--($B$3:$FZ$3&gt;=ROUNDUP('01_MODELO'!$I$37,0))*--($B$3:$FZ$3+2=FR$3))</f>
        <v>0</v>
      </c>
      <c r="FS16" s="147">
        <f>SUMPRODUCT($B$10:$FZ$10*'10_CAPEX-INGRESOS-PAGOS'!$H$27*'10_CAPEX-INGRESOS-PAGOS'!$H$50*--($B$3:$FZ$3&gt;=ROUNDUP('01_MODELO'!$I$37,0))*--($B$3:$FZ$3+2=FS$3))</f>
        <v>0</v>
      </c>
      <c r="FT16" s="147">
        <f>SUMPRODUCT($B$10:$FZ$10*'10_CAPEX-INGRESOS-PAGOS'!$H$27*'10_CAPEX-INGRESOS-PAGOS'!$H$50*--($B$3:$FZ$3&gt;=ROUNDUP('01_MODELO'!$I$37,0))*--($B$3:$FZ$3+2=FT$3))</f>
        <v>0</v>
      </c>
      <c r="FU16" s="147">
        <f>SUMPRODUCT($B$10:$FZ$10*'10_CAPEX-INGRESOS-PAGOS'!$H$27*'10_CAPEX-INGRESOS-PAGOS'!$H$50*--($B$3:$FZ$3&gt;=ROUNDUP('01_MODELO'!$I$37,0))*--($B$3:$FZ$3+2=FU$3))</f>
        <v>0</v>
      </c>
      <c r="FV16" s="147">
        <f>SUMPRODUCT($B$10:$FZ$10*'10_CAPEX-INGRESOS-PAGOS'!$H$27*'10_CAPEX-INGRESOS-PAGOS'!$H$50*--($B$3:$FZ$3&gt;=ROUNDUP('01_MODELO'!$I$37,0))*--($B$3:$FZ$3+2=FV$3))</f>
        <v>0</v>
      </c>
      <c r="FW16" s="147">
        <f>SUMPRODUCT($B$10:$FZ$10*'10_CAPEX-INGRESOS-PAGOS'!$H$27*'10_CAPEX-INGRESOS-PAGOS'!$H$50*--($B$3:$FZ$3&gt;=ROUNDUP('01_MODELO'!$I$37,0))*--($B$3:$FZ$3+2=FW$3))</f>
        <v>0</v>
      </c>
      <c r="FX16" s="147">
        <f>SUMPRODUCT($B$10:$FZ$10*'10_CAPEX-INGRESOS-PAGOS'!$H$27*'10_CAPEX-INGRESOS-PAGOS'!$H$50*--($B$3:$FZ$3&gt;=ROUNDUP('01_MODELO'!$I$37,0))*--($B$3:$FZ$3+2=FX$3))</f>
        <v>0</v>
      </c>
      <c r="FY16" s="147">
        <f>SUMPRODUCT($B$10:$FZ$10*'10_CAPEX-INGRESOS-PAGOS'!$H$27*'10_CAPEX-INGRESOS-PAGOS'!$H$50*--($B$3:$FZ$3&gt;=ROUNDUP('01_MODELO'!$I$37,0))*--($B$3:$FZ$3+2=FY$3))</f>
        <v>0</v>
      </c>
      <c r="FZ16" s="147">
        <f>SUMPRODUCT($B$10:$FZ$10*'10_CAPEX-INGRESOS-PAGOS'!$H$27*'10_CAPEX-INGRESOS-PAGOS'!$H$50*--($B$3:$FZ$3&gt;=ROUNDUP('01_MODELO'!$I$37,0))*--($B$3:$FZ$3+2=FZ$3))</f>
        <v>0</v>
      </c>
    </row>
    <row r="17" spans="1:182" x14ac:dyDescent="0.25">
      <c r="A17" s="33" t="s">
        <v>271</v>
      </c>
      <c r="B17" s="147">
        <f t="shared" ref="B17:AG17" si="6">SUM(B$12:B$16)</f>
        <v>0</v>
      </c>
      <c r="C17" s="147">
        <f t="shared" si="6"/>
        <v>0</v>
      </c>
      <c r="D17" s="147">
        <f t="shared" si="6"/>
        <v>0</v>
      </c>
      <c r="E17" s="147">
        <f t="shared" si="6"/>
        <v>0</v>
      </c>
      <c r="F17" s="147">
        <f t="shared" si="6"/>
        <v>0</v>
      </c>
      <c r="G17" s="147">
        <f t="shared" si="6"/>
        <v>0</v>
      </c>
      <c r="H17" s="147">
        <f t="shared" si="6"/>
        <v>0</v>
      </c>
      <c r="I17" s="147">
        <f t="shared" si="6"/>
        <v>0</v>
      </c>
      <c r="J17" s="147">
        <f t="shared" si="6"/>
        <v>0</v>
      </c>
      <c r="K17" s="147">
        <f t="shared" si="6"/>
        <v>0</v>
      </c>
      <c r="L17" s="147">
        <f t="shared" si="6"/>
        <v>0</v>
      </c>
      <c r="M17" s="147">
        <f t="shared" si="6"/>
        <v>0</v>
      </c>
      <c r="N17" s="147">
        <f t="shared" si="6"/>
        <v>0</v>
      </c>
      <c r="O17" s="147">
        <f t="shared" si="6"/>
        <v>0</v>
      </c>
      <c r="P17" s="147">
        <f t="shared" si="6"/>
        <v>0</v>
      </c>
      <c r="Q17" s="147">
        <f t="shared" si="6"/>
        <v>0</v>
      </c>
      <c r="R17" s="147">
        <f t="shared" si="6"/>
        <v>0</v>
      </c>
      <c r="S17" s="147">
        <f t="shared" si="6"/>
        <v>0</v>
      </c>
      <c r="T17" s="147">
        <f t="shared" si="6"/>
        <v>0</v>
      </c>
      <c r="U17" s="147">
        <f t="shared" si="6"/>
        <v>0</v>
      </c>
      <c r="V17" s="147">
        <f t="shared" si="6"/>
        <v>0</v>
      </c>
      <c r="W17" s="147">
        <f t="shared" si="6"/>
        <v>0</v>
      </c>
      <c r="X17" s="147">
        <f t="shared" si="6"/>
        <v>0</v>
      </c>
      <c r="Y17" s="147">
        <f t="shared" si="6"/>
        <v>44687.5</v>
      </c>
      <c r="Z17" s="147">
        <f t="shared" si="6"/>
        <v>44687.5</v>
      </c>
      <c r="AA17" s="147">
        <f t="shared" si="6"/>
        <v>218562.5</v>
      </c>
      <c r="AB17" s="147">
        <f t="shared" si="6"/>
        <v>218562.5</v>
      </c>
      <c r="AC17" s="147">
        <f t="shared" si="6"/>
        <v>218562.5</v>
      </c>
      <c r="AD17" s="147">
        <f t="shared" si="6"/>
        <v>218562.5</v>
      </c>
      <c r="AE17" s="147">
        <f t="shared" si="6"/>
        <v>218562.5</v>
      </c>
      <c r="AF17" s="147">
        <f t="shared" si="6"/>
        <v>218562.5</v>
      </c>
      <c r="AG17" s="147">
        <f t="shared" si="6"/>
        <v>218562.5</v>
      </c>
      <c r="AH17" s="147">
        <f t="shared" ref="AH17:BM17" si="7">SUM(AH$12:AH$16)</f>
        <v>218562.5</v>
      </c>
      <c r="AI17" s="147">
        <f t="shared" si="7"/>
        <v>191750</v>
      </c>
      <c r="AJ17" s="147">
        <f t="shared" si="7"/>
        <v>173875</v>
      </c>
      <c r="AK17" s="147">
        <f t="shared" si="7"/>
        <v>7091500</v>
      </c>
      <c r="AL17" s="147">
        <f t="shared" si="7"/>
        <v>0</v>
      </c>
      <c r="AM17" s="147">
        <f t="shared" si="7"/>
        <v>0</v>
      </c>
      <c r="AN17" s="147">
        <f t="shared" si="7"/>
        <v>0</v>
      </c>
      <c r="AO17" s="147">
        <f t="shared" si="7"/>
        <v>0</v>
      </c>
      <c r="AP17" s="147">
        <f t="shared" si="7"/>
        <v>0</v>
      </c>
      <c r="AQ17" s="147">
        <f t="shared" si="7"/>
        <v>0</v>
      </c>
      <c r="AR17" s="147">
        <f t="shared" si="7"/>
        <v>0</v>
      </c>
      <c r="AS17" s="147">
        <f t="shared" si="7"/>
        <v>0</v>
      </c>
      <c r="AT17" s="147">
        <f t="shared" si="7"/>
        <v>0</v>
      </c>
      <c r="AU17" s="147">
        <f t="shared" si="7"/>
        <v>0</v>
      </c>
      <c r="AV17" s="147">
        <f t="shared" si="7"/>
        <v>0</v>
      </c>
      <c r="AW17" s="147">
        <f t="shared" si="7"/>
        <v>0</v>
      </c>
      <c r="AX17" s="147">
        <f t="shared" si="7"/>
        <v>0</v>
      </c>
      <c r="AY17" s="147">
        <f t="shared" si="7"/>
        <v>0</v>
      </c>
      <c r="AZ17" s="147">
        <f t="shared" si="7"/>
        <v>0</v>
      </c>
      <c r="BA17" s="147">
        <f t="shared" si="7"/>
        <v>0</v>
      </c>
      <c r="BB17" s="147">
        <f t="shared" si="7"/>
        <v>0</v>
      </c>
      <c r="BC17" s="147">
        <f t="shared" si="7"/>
        <v>0</v>
      </c>
      <c r="BD17" s="147">
        <f t="shared" si="7"/>
        <v>0</v>
      </c>
      <c r="BE17" s="147">
        <f t="shared" si="7"/>
        <v>0</v>
      </c>
      <c r="BF17" s="147">
        <f t="shared" si="7"/>
        <v>0</v>
      </c>
      <c r="BG17" s="147">
        <f t="shared" si="7"/>
        <v>0</v>
      </c>
      <c r="BH17" s="147">
        <f t="shared" si="7"/>
        <v>0</v>
      </c>
      <c r="BI17" s="147">
        <f t="shared" si="7"/>
        <v>0</v>
      </c>
      <c r="BJ17" s="147">
        <f t="shared" si="7"/>
        <v>0</v>
      </c>
      <c r="BK17" s="147">
        <f t="shared" si="7"/>
        <v>0</v>
      </c>
      <c r="BL17" s="147">
        <f t="shared" si="7"/>
        <v>0</v>
      </c>
      <c r="BM17" s="147">
        <f t="shared" si="7"/>
        <v>0</v>
      </c>
      <c r="BN17" s="147">
        <f t="shared" ref="BN17:CS17" si="8">SUM(BN$12:BN$16)</f>
        <v>0</v>
      </c>
      <c r="BO17" s="147">
        <f t="shared" si="8"/>
        <v>0</v>
      </c>
      <c r="BP17" s="147">
        <f t="shared" si="8"/>
        <v>0</v>
      </c>
      <c r="BQ17" s="147">
        <f t="shared" si="8"/>
        <v>0</v>
      </c>
      <c r="BR17" s="147">
        <f t="shared" si="8"/>
        <v>0</v>
      </c>
      <c r="BS17" s="147">
        <f t="shared" si="8"/>
        <v>0</v>
      </c>
      <c r="BT17" s="147">
        <f t="shared" si="8"/>
        <v>0</v>
      </c>
      <c r="BU17" s="147">
        <f t="shared" si="8"/>
        <v>0</v>
      </c>
      <c r="BV17" s="147">
        <f t="shared" si="8"/>
        <v>0</v>
      </c>
      <c r="BW17" s="147">
        <f t="shared" si="8"/>
        <v>0</v>
      </c>
      <c r="BX17" s="147">
        <f t="shared" si="8"/>
        <v>0</v>
      </c>
      <c r="BY17" s="147">
        <f t="shared" si="8"/>
        <v>0</v>
      </c>
      <c r="BZ17" s="147">
        <f t="shared" si="8"/>
        <v>0</v>
      </c>
      <c r="CA17" s="147">
        <f t="shared" si="8"/>
        <v>0</v>
      </c>
      <c r="CB17" s="147">
        <f t="shared" si="8"/>
        <v>0</v>
      </c>
      <c r="CC17" s="147">
        <f t="shared" si="8"/>
        <v>0</v>
      </c>
      <c r="CD17" s="147">
        <f t="shared" si="8"/>
        <v>0</v>
      </c>
      <c r="CE17" s="147">
        <f t="shared" si="8"/>
        <v>0</v>
      </c>
      <c r="CF17" s="147">
        <f t="shared" si="8"/>
        <v>0</v>
      </c>
      <c r="CG17" s="147">
        <f t="shared" si="8"/>
        <v>0</v>
      </c>
      <c r="CH17" s="147">
        <f t="shared" si="8"/>
        <v>0</v>
      </c>
      <c r="CI17" s="147">
        <f t="shared" si="8"/>
        <v>0</v>
      </c>
      <c r="CJ17" s="147">
        <f t="shared" si="8"/>
        <v>0</v>
      </c>
      <c r="CK17" s="147">
        <f t="shared" si="8"/>
        <v>0</v>
      </c>
      <c r="CL17" s="147">
        <f t="shared" si="8"/>
        <v>0</v>
      </c>
      <c r="CM17" s="147">
        <f t="shared" si="8"/>
        <v>0</v>
      </c>
      <c r="CN17" s="147">
        <f t="shared" si="8"/>
        <v>0</v>
      </c>
      <c r="CO17" s="147">
        <f t="shared" si="8"/>
        <v>0</v>
      </c>
      <c r="CP17" s="147">
        <f t="shared" si="8"/>
        <v>0</v>
      </c>
      <c r="CQ17" s="147">
        <f t="shared" si="8"/>
        <v>0</v>
      </c>
      <c r="CR17" s="147">
        <f t="shared" si="8"/>
        <v>0</v>
      </c>
      <c r="CS17" s="147">
        <f t="shared" si="8"/>
        <v>0</v>
      </c>
      <c r="CT17" s="147">
        <f t="shared" ref="CT17:DY17" si="9">SUM(CT$12:CT$16)</f>
        <v>0</v>
      </c>
      <c r="CU17" s="147">
        <f t="shared" si="9"/>
        <v>0</v>
      </c>
      <c r="CV17" s="147">
        <f t="shared" si="9"/>
        <v>0</v>
      </c>
      <c r="CW17" s="147">
        <f t="shared" si="9"/>
        <v>0</v>
      </c>
      <c r="CX17" s="147">
        <f t="shared" si="9"/>
        <v>0</v>
      </c>
      <c r="CY17" s="147">
        <f t="shared" si="9"/>
        <v>0</v>
      </c>
      <c r="CZ17" s="147">
        <f t="shared" si="9"/>
        <v>0</v>
      </c>
      <c r="DA17" s="147">
        <f t="shared" si="9"/>
        <v>0</v>
      </c>
      <c r="DB17" s="147">
        <f t="shared" si="9"/>
        <v>0</v>
      </c>
      <c r="DC17" s="147">
        <f t="shared" si="9"/>
        <v>0</v>
      </c>
      <c r="DD17" s="147">
        <f t="shared" si="9"/>
        <v>0</v>
      </c>
      <c r="DE17" s="147">
        <f t="shared" si="9"/>
        <v>0</v>
      </c>
      <c r="DF17" s="147">
        <f t="shared" si="9"/>
        <v>0</v>
      </c>
      <c r="DG17" s="147">
        <f t="shared" si="9"/>
        <v>0</v>
      </c>
      <c r="DH17" s="147">
        <f t="shared" si="9"/>
        <v>0</v>
      </c>
      <c r="DI17" s="147">
        <f t="shared" si="9"/>
        <v>0</v>
      </c>
      <c r="DJ17" s="147">
        <f t="shared" si="9"/>
        <v>0</v>
      </c>
      <c r="DK17" s="147">
        <f t="shared" si="9"/>
        <v>0</v>
      </c>
      <c r="DL17" s="147">
        <f t="shared" si="9"/>
        <v>0</v>
      </c>
      <c r="DM17" s="147">
        <f t="shared" si="9"/>
        <v>0</v>
      </c>
      <c r="DN17" s="147">
        <f t="shared" si="9"/>
        <v>0</v>
      </c>
      <c r="DO17" s="147">
        <f t="shared" si="9"/>
        <v>0</v>
      </c>
      <c r="DP17" s="147">
        <f t="shared" si="9"/>
        <v>0</v>
      </c>
      <c r="DQ17" s="147">
        <f t="shared" si="9"/>
        <v>0</v>
      </c>
      <c r="DR17" s="147">
        <f t="shared" si="9"/>
        <v>0</v>
      </c>
      <c r="DS17" s="147">
        <f t="shared" si="9"/>
        <v>0</v>
      </c>
      <c r="DT17" s="147">
        <f t="shared" si="9"/>
        <v>0</v>
      </c>
      <c r="DU17" s="147">
        <f t="shared" si="9"/>
        <v>0</v>
      </c>
      <c r="DV17" s="147">
        <f t="shared" si="9"/>
        <v>0</v>
      </c>
      <c r="DW17" s="147">
        <f t="shared" si="9"/>
        <v>0</v>
      </c>
      <c r="DX17" s="147">
        <f t="shared" si="9"/>
        <v>0</v>
      </c>
      <c r="DY17" s="147">
        <f t="shared" si="9"/>
        <v>0</v>
      </c>
      <c r="DZ17" s="147">
        <f t="shared" ref="DZ17:FE17" si="10">SUM(DZ$12:DZ$16)</f>
        <v>0</v>
      </c>
      <c r="EA17" s="147">
        <f t="shared" si="10"/>
        <v>0</v>
      </c>
      <c r="EB17" s="147">
        <f t="shared" si="10"/>
        <v>0</v>
      </c>
      <c r="EC17" s="147">
        <f t="shared" si="10"/>
        <v>0</v>
      </c>
      <c r="ED17" s="147">
        <f t="shared" si="10"/>
        <v>0</v>
      </c>
      <c r="EE17" s="147">
        <f t="shared" si="10"/>
        <v>0</v>
      </c>
      <c r="EF17" s="147">
        <f t="shared" si="10"/>
        <v>0</v>
      </c>
      <c r="EG17" s="147">
        <f t="shared" si="10"/>
        <v>0</v>
      </c>
      <c r="EH17" s="147">
        <f t="shared" si="10"/>
        <v>0</v>
      </c>
      <c r="EI17" s="147">
        <f t="shared" si="10"/>
        <v>0</v>
      </c>
      <c r="EJ17" s="147">
        <f t="shared" si="10"/>
        <v>0</v>
      </c>
      <c r="EK17" s="147">
        <f t="shared" si="10"/>
        <v>0</v>
      </c>
      <c r="EL17" s="147">
        <f t="shared" si="10"/>
        <v>0</v>
      </c>
      <c r="EM17" s="147">
        <f t="shared" si="10"/>
        <v>0</v>
      </c>
      <c r="EN17" s="147">
        <f t="shared" si="10"/>
        <v>0</v>
      </c>
      <c r="EO17" s="147">
        <f t="shared" si="10"/>
        <v>0</v>
      </c>
      <c r="EP17" s="147">
        <f t="shared" si="10"/>
        <v>0</v>
      </c>
      <c r="EQ17" s="147">
        <f t="shared" si="10"/>
        <v>0</v>
      </c>
      <c r="ER17" s="147">
        <f t="shared" si="10"/>
        <v>0</v>
      </c>
      <c r="ES17" s="147">
        <f t="shared" si="10"/>
        <v>0</v>
      </c>
      <c r="ET17" s="147">
        <f t="shared" si="10"/>
        <v>0</v>
      </c>
      <c r="EU17" s="147">
        <f t="shared" si="10"/>
        <v>0</v>
      </c>
      <c r="EV17" s="147">
        <f t="shared" si="10"/>
        <v>0</v>
      </c>
      <c r="EW17" s="147">
        <f t="shared" si="10"/>
        <v>0</v>
      </c>
      <c r="EX17" s="147">
        <f t="shared" si="10"/>
        <v>0</v>
      </c>
      <c r="EY17" s="147">
        <f t="shared" si="10"/>
        <v>0</v>
      </c>
      <c r="EZ17" s="147">
        <f t="shared" si="10"/>
        <v>0</v>
      </c>
      <c r="FA17" s="147">
        <f t="shared" si="10"/>
        <v>0</v>
      </c>
      <c r="FB17" s="147">
        <f t="shared" si="10"/>
        <v>0</v>
      </c>
      <c r="FC17" s="147">
        <f t="shared" si="10"/>
        <v>0</v>
      </c>
      <c r="FD17" s="147">
        <f t="shared" si="10"/>
        <v>0</v>
      </c>
      <c r="FE17" s="147">
        <f t="shared" si="10"/>
        <v>0</v>
      </c>
      <c r="FF17" s="147">
        <f t="shared" ref="FF17:FZ17" si="11">SUM(FF$12:FF$16)</f>
        <v>0</v>
      </c>
      <c r="FG17" s="147">
        <f t="shared" si="11"/>
        <v>0</v>
      </c>
      <c r="FH17" s="147">
        <f t="shared" si="11"/>
        <v>0</v>
      </c>
      <c r="FI17" s="147">
        <f t="shared" si="11"/>
        <v>0</v>
      </c>
      <c r="FJ17" s="147">
        <f t="shared" si="11"/>
        <v>0</v>
      </c>
      <c r="FK17" s="147">
        <f t="shared" si="11"/>
        <v>0</v>
      </c>
      <c r="FL17" s="147">
        <f t="shared" si="11"/>
        <v>0</v>
      </c>
      <c r="FM17" s="147">
        <f t="shared" si="11"/>
        <v>0</v>
      </c>
      <c r="FN17" s="147">
        <f t="shared" si="11"/>
        <v>0</v>
      </c>
      <c r="FO17" s="147">
        <f t="shared" si="11"/>
        <v>0</v>
      </c>
      <c r="FP17" s="147">
        <f t="shared" si="11"/>
        <v>0</v>
      </c>
      <c r="FQ17" s="147">
        <f t="shared" si="11"/>
        <v>0</v>
      </c>
      <c r="FR17" s="147">
        <f t="shared" si="11"/>
        <v>0</v>
      </c>
      <c r="FS17" s="147">
        <f t="shared" si="11"/>
        <v>0</v>
      </c>
      <c r="FT17" s="147">
        <f t="shared" si="11"/>
        <v>0</v>
      </c>
      <c r="FU17" s="147">
        <f t="shared" si="11"/>
        <v>0</v>
      </c>
      <c r="FV17" s="147">
        <f t="shared" si="11"/>
        <v>0</v>
      </c>
      <c r="FW17" s="147">
        <f t="shared" si="11"/>
        <v>0</v>
      </c>
      <c r="FX17" s="147">
        <f t="shared" si="11"/>
        <v>0</v>
      </c>
      <c r="FY17" s="147">
        <f t="shared" si="11"/>
        <v>0</v>
      </c>
      <c r="FZ17" s="147">
        <f t="shared" si="11"/>
        <v>0</v>
      </c>
    </row>
    <row r="18" spans="1:182" ht="15.75" customHeight="1" x14ac:dyDescent="0.25">
      <c r="A18" s="138" t="s">
        <v>272</v>
      </c>
      <c r="B18" s="147">
        <f>B$10*'10_CAPEX-INGRESOS-PAGOS'!$H$27*'10_CAPEX-INGRESOS-PAGOS'!$H$29</f>
        <v>0</v>
      </c>
      <c r="C18" s="147">
        <f>C$10*'10_CAPEX-INGRESOS-PAGOS'!$H$27*'10_CAPEX-INGRESOS-PAGOS'!$H$29</f>
        <v>0</v>
      </c>
      <c r="D18" s="147">
        <f>D$10*'10_CAPEX-INGRESOS-PAGOS'!$H$27*'10_CAPEX-INGRESOS-PAGOS'!$H$29</f>
        <v>0</v>
      </c>
      <c r="E18" s="147">
        <f>E$10*'10_CAPEX-INGRESOS-PAGOS'!$H$27*'10_CAPEX-INGRESOS-PAGOS'!$H$29</f>
        <v>0</v>
      </c>
      <c r="F18" s="147">
        <f>F$10*'10_CAPEX-INGRESOS-PAGOS'!$H$27*'10_CAPEX-INGRESOS-PAGOS'!$H$29</f>
        <v>0</v>
      </c>
      <c r="G18" s="147">
        <f>G$10*'10_CAPEX-INGRESOS-PAGOS'!$H$27*'10_CAPEX-INGRESOS-PAGOS'!$H$29</f>
        <v>0</v>
      </c>
      <c r="H18" s="147">
        <f>H$10*'10_CAPEX-INGRESOS-PAGOS'!$H$27*'10_CAPEX-INGRESOS-PAGOS'!$H$29</f>
        <v>0</v>
      </c>
      <c r="I18" s="147">
        <f>I$10*'10_CAPEX-INGRESOS-PAGOS'!$H$27*'10_CAPEX-INGRESOS-PAGOS'!$H$29</f>
        <v>0</v>
      </c>
      <c r="J18" s="147">
        <f>J$10*'10_CAPEX-INGRESOS-PAGOS'!$H$27*'10_CAPEX-INGRESOS-PAGOS'!$H$29</f>
        <v>0</v>
      </c>
      <c r="K18" s="147">
        <f>K$10*'10_CAPEX-INGRESOS-PAGOS'!$H$27*'10_CAPEX-INGRESOS-PAGOS'!$H$29</f>
        <v>0</v>
      </c>
      <c r="L18" s="147">
        <f>L$10*'10_CAPEX-INGRESOS-PAGOS'!$H$27*'10_CAPEX-INGRESOS-PAGOS'!$H$29</f>
        <v>0</v>
      </c>
      <c r="M18" s="147">
        <f>M$10*'10_CAPEX-INGRESOS-PAGOS'!$H$27*'10_CAPEX-INGRESOS-PAGOS'!$H$29</f>
        <v>0</v>
      </c>
      <c r="N18" s="147">
        <f>N$10*'10_CAPEX-INGRESOS-PAGOS'!$H$27*'10_CAPEX-INGRESOS-PAGOS'!$H$29</f>
        <v>0</v>
      </c>
      <c r="O18" s="147">
        <f>O$10*'10_CAPEX-INGRESOS-PAGOS'!$H$27*'10_CAPEX-INGRESOS-PAGOS'!$H$29</f>
        <v>0</v>
      </c>
      <c r="P18" s="147">
        <f>P$10*'10_CAPEX-INGRESOS-PAGOS'!$H$27*'10_CAPEX-INGRESOS-PAGOS'!$H$29</f>
        <v>0</v>
      </c>
      <c r="Q18" s="147">
        <f>Q$10*'10_CAPEX-INGRESOS-PAGOS'!$H$27*'10_CAPEX-INGRESOS-PAGOS'!$H$29</f>
        <v>0</v>
      </c>
      <c r="R18" s="147">
        <f>R$10*'10_CAPEX-INGRESOS-PAGOS'!$H$27*'10_CAPEX-INGRESOS-PAGOS'!$H$29</f>
        <v>0</v>
      </c>
      <c r="S18" s="147">
        <f>S$10*'10_CAPEX-INGRESOS-PAGOS'!$H$27*'10_CAPEX-INGRESOS-PAGOS'!$H$29</f>
        <v>0</v>
      </c>
      <c r="T18" s="147">
        <f>T$10*'10_CAPEX-INGRESOS-PAGOS'!$H$27*'10_CAPEX-INGRESOS-PAGOS'!$H$29</f>
        <v>0</v>
      </c>
      <c r="U18" s="147">
        <f>U$10*'10_CAPEX-INGRESOS-PAGOS'!$H$27*'10_CAPEX-INGRESOS-PAGOS'!$H$29</f>
        <v>0</v>
      </c>
      <c r="V18" s="147">
        <f>V$10*'10_CAPEX-INGRESOS-PAGOS'!$H$27*'10_CAPEX-INGRESOS-PAGOS'!$H$29</f>
        <v>0</v>
      </c>
      <c r="W18" s="147">
        <f>W$10*'10_CAPEX-INGRESOS-PAGOS'!$H$27*'10_CAPEX-INGRESOS-PAGOS'!$H$29</f>
        <v>0</v>
      </c>
      <c r="X18" s="147">
        <f>X$10*'10_CAPEX-INGRESOS-PAGOS'!$H$27*'10_CAPEX-INGRESOS-PAGOS'!$H$29</f>
        <v>0</v>
      </c>
      <c r="Y18" s="147">
        <f>Y$10*'10_CAPEX-INGRESOS-PAGOS'!$H$27*'10_CAPEX-INGRESOS-PAGOS'!$H$29</f>
        <v>26812.5</v>
      </c>
      <c r="Z18" s="147">
        <f>Z$10*'10_CAPEX-INGRESOS-PAGOS'!$H$27*'10_CAPEX-INGRESOS-PAGOS'!$H$29</f>
        <v>26812.5</v>
      </c>
      <c r="AA18" s="147">
        <f>AA$10*'10_CAPEX-INGRESOS-PAGOS'!$H$27*'10_CAPEX-INGRESOS-PAGOS'!$H$29</f>
        <v>26812.5</v>
      </c>
      <c r="AB18" s="147">
        <f>AB$10*'10_CAPEX-INGRESOS-PAGOS'!$H$27*'10_CAPEX-INGRESOS-PAGOS'!$H$29</f>
        <v>26812.5</v>
      </c>
      <c r="AC18" s="147">
        <f>AC$10*'10_CAPEX-INGRESOS-PAGOS'!$H$27*'10_CAPEX-INGRESOS-PAGOS'!$H$29</f>
        <v>26812.5</v>
      </c>
      <c r="AD18" s="147">
        <f>AD$10*'10_CAPEX-INGRESOS-PAGOS'!$H$27*'10_CAPEX-INGRESOS-PAGOS'!$H$29</f>
        <v>26812.5</v>
      </c>
      <c r="AE18" s="147">
        <f>AE$10*'10_CAPEX-INGRESOS-PAGOS'!$H$27*'10_CAPEX-INGRESOS-PAGOS'!$H$29</f>
        <v>26812.5</v>
      </c>
      <c r="AF18" s="147">
        <f>AF$10*'10_CAPEX-INGRESOS-PAGOS'!$H$27*'10_CAPEX-INGRESOS-PAGOS'!$H$29</f>
        <v>26812.5</v>
      </c>
      <c r="AG18" s="147">
        <f>AG$10*'10_CAPEX-INGRESOS-PAGOS'!$H$27*'10_CAPEX-INGRESOS-PAGOS'!$H$29</f>
        <v>26812.5</v>
      </c>
      <c r="AH18" s="147">
        <f>AH$10*'10_CAPEX-INGRESOS-PAGOS'!$H$27*'10_CAPEX-INGRESOS-PAGOS'!$H$29</f>
        <v>26812.5</v>
      </c>
      <c r="AI18" s="147">
        <f>AI$10*'10_CAPEX-INGRESOS-PAGOS'!$H$27*'10_CAPEX-INGRESOS-PAGOS'!$H$29</f>
        <v>10725</v>
      </c>
      <c r="AJ18" s="147">
        <f>AJ$10*'10_CAPEX-INGRESOS-PAGOS'!$H$27*'10_CAPEX-INGRESOS-PAGOS'!$H$29</f>
        <v>0</v>
      </c>
      <c r="AK18" s="147">
        <f>AK$10*'10_CAPEX-INGRESOS-PAGOS'!$H$27*'10_CAPEX-INGRESOS-PAGOS'!$H$29</f>
        <v>0</v>
      </c>
      <c r="AL18" s="147">
        <f>AL$10*'10_CAPEX-INGRESOS-PAGOS'!$H$27*'10_CAPEX-INGRESOS-PAGOS'!$H$29</f>
        <v>0</v>
      </c>
      <c r="AM18" s="147">
        <f>AM$10*'10_CAPEX-INGRESOS-PAGOS'!$H$27*'10_CAPEX-INGRESOS-PAGOS'!$H$29</f>
        <v>0</v>
      </c>
      <c r="AN18" s="147">
        <f>AN$10*'10_CAPEX-INGRESOS-PAGOS'!$H$27*'10_CAPEX-INGRESOS-PAGOS'!$H$29</f>
        <v>0</v>
      </c>
      <c r="AO18" s="147">
        <f>AO$10*'10_CAPEX-INGRESOS-PAGOS'!$H$27*'10_CAPEX-INGRESOS-PAGOS'!$H$29</f>
        <v>0</v>
      </c>
      <c r="AP18" s="147">
        <f>AP$10*'10_CAPEX-INGRESOS-PAGOS'!$H$27*'10_CAPEX-INGRESOS-PAGOS'!$H$29</f>
        <v>0</v>
      </c>
      <c r="AQ18" s="147">
        <f>AQ$10*'10_CAPEX-INGRESOS-PAGOS'!$H$27*'10_CAPEX-INGRESOS-PAGOS'!$H$29</f>
        <v>0</v>
      </c>
      <c r="AR18" s="147">
        <f>AR$10*'10_CAPEX-INGRESOS-PAGOS'!$H$27*'10_CAPEX-INGRESOS-PAGOS'!$H$29</f>
        <v>0</v>
      </c>
      <c r="AS18" s="147">
        <f>AS$10*'10_CAPEX-INGRESOS-PAGOS'!$H$27*'10_CAPEX-INGRESOS-PAGOS'!$H$29</f>
        <v>0</v>
      </c>
      <c r="AT18" s="147">
        <f>AT$10*'10_CAPEX-INGRESOS-PAGOS'!$H$27*'10_CAPEX-INGRESOS-PAGOS'!$H$29</f>
        <v>0</v>
      </c>
      <c r="AU18" s="147">
        <f>AU$10*'10_CAPEX-INGRESOS-PAGOS'!$H$27*'10_CAPEX-INGRESOS-PAGOS'!$H$29</f>
        <v>0</v>
      </c>
      <c r="AV18" s="147">
        <f>AV$10*'10_CAPEX-INGRESOS-PAGOS'!$H$27*'10_CAPEX-INGRESOS-PAGOS'!$H$29</f>
        <v>0</v>
      </c>
      <c r="AW18" s="147">
        <f>AW$10*'10_CAPEX-INGRESOS-PAGOS'!$H$27*'10_CAPEX-INGRESOS-PAGOS'!$H$29</f>
        <v>0</v>
      </c>
      <c r="AX18" s="147">
        <f>AX$10*'10_CAPEX-INGRESOS-PAGOS'!$H$27*'10_CAPEX-INGRESOS-PAGOS'!$H$29</f>
        <v>0</v>
      </c>
      <c r="AY18" s="147">
        <f>AY$10*'10_CAPEX-INGRESOS-PAGOS'!$H$27*'10_CAPEX-INGRESOS-PAGOS'!$H$29</f>
        <v>0</v>
      </c>
      <c r="AZ18" s="147">
        <f>AZ$10*'10_CAPEX-INGRESOS-PAGOS'!$H$27*'10_CAPEX-INGRESOS-PAGOS'!$H$29</f>
        <v>0</v>
      </c>
      <c r="BA18" s="147">
        <f>BA$10*'10_CAPEX-INGRESOS-PAGOS'!$H$27*'10_CAPEX-INGRESOS-PAGOS'!$H$29</f>
        <v>0</v>
      </c>
      <c r="BB18" s="147">
        <f>BB$10*'10_CAPEX-INGRESOS-PAGOS'!$H$27*'10_CAPEX-INGRESOS-PAGOS'!$H$29</f>
        <v>0</v>
      </c>
      <c r="BC18" s="147">
        <f>BC$10*'10_CAPEX-INGRESOS-PAGOS'!$H$27*'10_CAPEX-INGRESOS-PAGOS'!$H$29</f>
        <v>0</v>
      </c>
      <c r="BD18" s="147">
        <f>BD$10*'10_CAPEX-INGRESOS-PAGOS'!$H$27*'10_CAPEX-INGRESOS-PAGOS'!$H$29</f>
        <v>0</v>
      </c>
      <c r="BE18" s="147">
        <f>BE$10*'10_CAPEX-INGRESOS-PAGOS'!$H$27*'10_CAPEX-INGRESOS-PAGOS'!$H$29</f>
        <v>0</v>
      </c>
      <c r="BF18" s="147">
        <f>BF$10*'10_CAPEX-INGRESOS-PAGOS'!$H$27*'10_CAPEX-INGRESOS-PAGOS'!$H$29</f>
        <v>0</v>
      </c>
      <c r="BG18" s="147">
        <f>BG$10*'10_CAPEX-INGRESOS-PAGOS'!$H$27*'10_CAPEX-INGRESOS-PAGOS'!$H$29</f>
        <v>0</v>
      </c>
      <c r="BH18" s="147">
        <f>BH$10*'10_CAPEX-INGRESOS-PAGOS'!$H$27*'10_CAPEX-INGRESOS-PAGOS'!$H$29</f>
        <v>0</v>
      </c>
      <c r="BI18" s="147">
        <f>BI$10*'10_CAPEX-INGRESOS-PAGOS'!$H$27*'10_CAPEX-INGRESOS-PAGOS'!$H$29</f>
        <v>0</v>
      </c>
      <c r="BJ18" s="147">
        <f>BJ$10*'10_CAPEX-INGRESOS-PAGOS'!$H$27*'10_CAPEX-INGRESOS-PAGOS'!$H$29</f>
        <v>0</v>
      </c>
      <c r="BK18" s="147">
        <f>BK$10*'10_CAPEX-INGRESOS-PAGOS'!$H$27*'10_CAPEX-INGRESOS-PAGOS'!$H$29</f>
        <v>0</v>
      </c>
      <c r="BL18" s="147">
        <f>BL$10*'10_CAPEX-INGRESOS-PAGOS'!$H$27*'10_CAPEX-INGRESOS-PAGOS'!$H$29</f>
        <v>0</v>
      </c>
      <c r="BM18" s="147">
        <f>BM$10*'10_CAPEX-INGRESOS-PAGOS'!$H$27*'10_CAPEX-INGRESOS-PAGOS'!$H$29</f>
        <v>0</v>
      </c>
      <c r="BN18" s="147">
        <f>BN$10*'10_CAPEX-INGRESOS-PAGOS'!$H$27*'10_CAPEX-INGRESOS-PAGOS'!$H$29</f>
        <v>0</v>
      </c>
      <c r="BO18" s="147">
        <f>BO$10*'10_CAPEX-INGRESOS-PAGOS'!$H$27*'10_CAPEX-INGRESOS-PAGOS'!$H$29</f>
        <v>0</v>
      </c>
      <c r="BP18" s="147">
        <f>BP$10*'10_CAPEX-INGRESOS-PAGOS'!$H$27*'10_CAPEX-INGRESOS-PAGOS'!$H$29</f>
        <v>0</v>
      </c>
      <c r="BQ18" s="147">
        <f>BQ$10*'10_CAPEX-INGRESOS-PAGOS'!$H$27*'10_CAPEX-INGRESOS-PAGOS'!$H$29</f>
        <v>0</v>
      </c>
      <c r="BR18" s="147">
        <f>BR$10*'10_CAPEX-INGRESOS-PAGOS'!$H$27*'10_CAPEX-INGRESOS-PAGOS'!$H$29</f>
        <v>0</v>
      </c>
      <c r="BS18" s="147">
        <f>BS$10*'10_CAPEX-INGRESOS-PAGOS'!$H$27*'10_CAPEX-INGRESOS-PAGOS'!$H$29</f>
        <v>0</v>
      </c>
      <c r="BT18" s="147">
        <f>BT$10*'10_CAPEX-INGRESOS-PAGOS'!$H$27*'10_CAPEX-INGRESOS-PAGOS'!$H$29</f>
        <v>0</v>
      </c>
      <c r="BU18" s="147">
        <f>BU$10*'10_CAPEX-INGRESOS-PAGOS'!$H$27*'10_CAPEX-INGRESOS-PAGOS'!$H$29</f>
        <v>0</v>
      </c>
      <c r="BV18" s="147">
        <f>BV$10*'10_CAPEX-INGRESOS-PAGOS'!$H$27*'10_CAPEX-INGRESOS-PAGOS'!$H$29</f>
        <v>0</v>
      </c>
      <c r="BW18" s="147">
        <f>BW$10*'10_CAPEX-INGRESOS-PAGOS'!$H$27*'10_CAPEX-INGRESOS-PAGOS'!$H$29</f>
        <v>0</v>
      </c>
      <c r="BX18" s="147">
        <f>BX$10*'10_CAPEX-INGRESOS-PAGOS'!$H$27*'10_CAPEX-INGRESOS-PAGOS'!$H$29</f>
        <v>0</v>
      </c>
      <c r="BY18" s="147">
        <f>BY$10*'10_CAPEX-INGRESOS-PAGOS'!$H$27*'10_CAPEX-INGRESOS-PAGOS'!$H$29</f>
        <v>0</v>
      </c>
      <c r="BZ18" s="147">
        <f>BZ$10*'10_CAPEX-INGRESOS-PAGOS'!$H$27*'10_CAPEX-INGRESOS-PAGOS'!$H$29</f>
        <v>0</v>
      </c>
      <c r="CA18" s="147">
        <f>CA$10*'10_CAPEX-INGRESOS-PAGOS'!$H$27*'10_CAPEX-INGRESOS-PAGOS'!$H$29</f>
        <v>0</v>
      </c>
      <c r="CB18" s="147">
        <f>CB$10*'10_CAPEX-INGRESOS-PAGOS'!$H$27*'10_CAPEX-INGRESOS-PAGOS'!$H$29</f>
        <v>0</v>
      </c>
      <c r="CC18" s="147">
        <f>CC$10*'10_CAPEX-INGRESOS-PAGOS'!$H$27*'10_CAPEX-INGRESOS-PAGOS'!$H$29</f>
        <v>0</v>
      </c>
      <c r="CD18" s="147">
        <f>CD$10*'10_CAPEX-INGRESOS-PAGOS'!$H$27*'10_CAPEX-INGRESOS-PAGOS'!$H$29</f>
        <v>0</v>
      </c>
      <c r="CE18" s="147">
        <f>CE$10*'10_CAPEX-INGRESOS-PAGOS'!$H$27*'10_CAPEX-INGRESOS-PAGOS'!$H$29</f>
        <v>0</v>
      </c>
      <c r="CF18" s="147">
        <f>CF$10*'10_CAPEX-INGRESOS-PAGOS'!$H$27*'10_CAPEX-INGRESOS-PAGOS'!$H$29</f>
        <v>0</v>
      </c>
      <c r="CG18" s="147">
        <f>CG$10*'10_CAPEX-INGRESOS-PAGOS'!$H$27*'10_CAPEX-INGRESOS-PAGOS'!$H$29</f>
        <v>0</v>
      </c>
      <c r="CH18" s="147">
        <f>CH$10*'10_CAPEX-INGRESOS-PAGOS'!$H$27*'10_CAPEX-INGRESOS-PAGOS'!$H$29</f>
        <v>0</v>
      </c>
      <c r="CI18" s="147">
        <f>CI$10*'10_CAPEX-INGRESOS-PAGOS'!$H$27*'10_CAPEX-INGRESOS-PAGOS'!$H$29</f>
        <v>0</v>
      </c>
      <c r="CJ18" s="147">
        <f>CJ$10*'10_CAPEX-INGRESOS-PAGOS'!$H$27*'10_CAPEX-INGRESOS-PAGOS'!$H$29</f>
        <v>0</v>
      </c>
      <c r="CK18" s="147">
        <f>CK$10*'10_CAPEX-INGRESOS-PAGOS'!$H$27*'10_CAPEX-INGRESOS-PAGOS'!$H$29</f>
        <v>0</v>
      </c>
      <c r="CL18" s="147">
        <f>CL$10*'10_CAPEX-INGRESOS-PAGOS'!$H$27*'10_CAPEX-INGRESOS-PAGOS'!$H$29</f>
        <v>0</v>
      </c>
      <c r="CM18" s="147">
        <f>CM$10*'10_CAPEX-INGRESOS-PAGOS'!$H$27*'10_CAPEX-INGRESOS-PAGOS'!$H$29</f>
        <v>0</v>
      </c>
      <c r="CN18" s="147">
        <f>CN$10*'10_CAPEX-INGRESOS-PAGOS'!$H$27*'10_CAPEX-INGRESOS-PAGOS'!$H$29</f>
        <v>0</v>
      </c>
      <c r="CO18" s="147">
        <f>CO$10*'10_CAPEX-INGRESOS-PAGOS'!$H$27*'10_CAPEX-INGRESOS-PAGOS'!$H$29</f>
        <v>0</v>
      </c>
      <c r="CP18" s="147">
        <f>CP$10*'10_CAPEX-INGRESOS-PAGOS'!$H$27*'10_CAPEX-INGRESOS-PAGOS'!$H$29</f>
        <v>0</v>
      </c>
      <c r="CQ18" s="147">
        <f>CQ$10*'10_CAPEX-INGRESOS-PAGOS'!$H$27*'10_CAPEX-INGRESOS-PAGOS'!$H$29</f>
        <v>0</v>
      </c>
      <c r="CR18" s="147">
        <f>CR$10*'10_CAPEX-INGRESOS-PAGOS'!$H$27*'10_CAPEX-INGRESOS-PAGOS'!$H$29</f>
        <v>0</v>
      </c>
      <c r="CS18" s="147">
        <f>CS$10*'10_CAPEX-INGRESOS-PAGOS'!$H$27*'10_CAPEX-INGRESOS-PAGOS'!$H$29</f>
        <v>0</v>
      </c>
      <c r="CT18" s="147">
        <f>CT$10*'10_CAPEX-INGRESOS-PAGOS'!$H$27*'10_CAPEX-INGRESOS-PAGOS'!$H$29</f>
        <v>0</v>
      </c>
      <c r="CU18" s="147">
        <f>CU$10*'10_CAPEX-INGRESOS-PAGOS'!$H$27*'10_CAPEX-INGRESOS-PAGOS'!$H$29</f>
        <v>0</v>
      </c>
      <c r="CV18" s="147">
        <f>CV$10*'10_CAPEX-INGRESOS-PAGOS'!$H$27*'10_CAPEX-INGRESOS-PAGOS'!$H$29</f>
        <v>0</v>
      </c>
      <c r="CW18" s="147">
        <f>CW$10*'10_CAPEX-INGRESOS-PAGOS'!$H$27*'10_CAPEX-INGRESOS-PAGOS'!$H$29</f>
        <v>0</v>
      </c>
      <c r="CX18" s="147">
        <f>CX$10*'10_CAPEX-INGRESOS-PAGOS'!$H$27*'10_CAPEX-INGRESOS-PAGOS'!$H$29</f>
        <v>0</v>
      </c>
      <c r="CY18" s="147">
        <f>CY$10*'10_CAPEX-INGRESOS-PAGOS'!$H$27*'10_CAPEX-INGRESOS-PAGOS'!$H$29</f>
        <v>0</v>
      </c>
      <c r="CZ18" s="147">
        <f>CZ$10*'10_CAPEX-INGRESOS-PAGOS'!$H$27*'10_CAPEX-INGRESOS-PAGOS'!$H$29</f>
        <v>0</v>
      </c>
      <c r="DA18" s="147">
        <f>DA$10*'10_CAPEX-INGRESOS-PAGOS'!$H$27*'10_CAPEX-INGRESOS-PAGOS'!$H$29</f>
        <v>0</v>
      </c>
      <c r="DB18" s="147">
        <f>DB$10*'10_CAPEX-INGRESOS-PAGOS'!$H$27*'10_CAPEX-INGRESOS-PAGOS'!$H$29</f>
        <v>0</v>
      </c>
      <c r="DC18" s="147">
        <f>DC$10*'10_CAPEX-INGRESOS-PAGOS'!$H$27*'10_CAPEX-INGRESOS-PAGOS'!$H$29</f>
        <v>0</v>
      </c>
      <c r="DD18" s="147">
        <f>DD$10*'10_CAPEX-INGRESOS-PAGOS'!$H$27*'10_CAPEX-INGRESOS-PAGOS'!$H$29</f>
        <v>0</v>
      </c>
      <c r="DE18" s="147">
        <f>DE$10*'10_CAPEX-INGRESOS-PAGOS'!$H$27*'10_CAPEX-INGRESOS-PAGOS'!$H$29</f>
        <v>0</v>
      </c>
      <c r="DF18" s="147">
        <f>DF$10*'10_CAPEX-INGRESOS-PAGOS'!$H$27*'10_CAPEX-INGRESOS-PAGOS'!$H$29</f>
        <v>0</v>
      </c>
      <c r="DG18" s="147">
        <f>DG$10*'10_CAPEX-INGRESOS-PAGOS'!$H$27*'10_CAPEX-INGRESOS-PAGOS'!$H$29</f>
        <v>0</v>
      </c>
      <c r="DH18" s="147">
        <f>DH$10*'10_CAPEX-INGRESOS-PAGOS'!$H$27*'10_CAPEX-INGRESOS-PAGOS'!$H$29</f>
        <v>0</v>
      </c>
      <c r="DI18" s="147">
        <f>DI$10*'10_CAPEX-INGRESOS-PAGOS'!$H$27*'10_CAPEX-INGRESOS-PAGOS'!$H$29</f>
        <v>0</v>
      </c>
      <c r="DJ18" s="147">
        <f>DJ$10*'10_CAPEX-INGRESOS-PAGOS'!$H$27*'10_CAPEX-INGRESOS-PAGOS'!$H$29</f>
        <v>0</v>
      </c>
      <c r="DK18" s="147">
        <f>DK$10*'10_CAPEX-INGRESOS-PAGOS'!$H$27*'10_CAPEX-INGRESOS-PAGOS'!$H$29</f>
        <v>0</v>
      </c>
      <c r="DL18" s="147">
        <f>DL$10*'10_CAPEX-INGRESOS-PAGOS'!$H$27*'10_CAPEX-INGRESOS-PAGOS'!$H$29</f>
        <v>0</v>
      </c>
      <c r="DM18" s="147">
        <f>DM$10*'10_CAPEX-INGRESOS-PAGOS'!$H$27*'10_CAPEX-INGRESOS-PAGOS'!$H$29</f>
        <v>0</v>
      </c>
      <c r="DN18" s="147">
        <f>DN$10*'10_CAPEX-INGRESOS-PAGOS'!$H$27*'10_CAPEX-INGRESOS-PAGOS'!$H$29</f>
        <v>0</v>
      </c>
      <c r="DO18" s="147">
        <f>DO$10*'10_CAPEX-INGRESOS-PAGOS'!$H$27*'10_CAPEX-INGRESOS-PAGOS'!$H$29</f>
        <v>0</v>
      </c>
      <c r="DP18" s="147">
        <f>DP$10*'10_CAPEX-INGRESOS-PAGOS'!$H$27*'10_CAPEX-INGRESOS-PAGOS'!$H$29</f>
        <v>0</v>
      </c>
      <c r="DQ18" s="147">
        <f>DQ$10*'10_CAPEX-INGRESOS-PAGOS'!$H$27*'10_CAPEX-INGRESOS-PAGOS'!$H$29</f>
        <v>0</v>
      </c>
      <c r="DR18" s="147">
        <f>DR$10*'10_CAPEX-INGRESOS-PAGOS'!$H$27*'10_CAPEX-INGRESOS-PAGOS'!$H$29</f>
        <v>0</v>
      </c>
      <c r="DS18" s="147">
        <f>DS$10*'10_CAPEX-INGRESOS-PAGOS'!$H$27*'10_CAPEX-INGRESOS-PAGOS'!$H$29</f>
        <v>0</v>
      </c>
      <c r="DT18" s="147">
        <f>DT$10*'10_CAPEX-INGRESOS-PAGOS'!$H$27*'10_CAPEX-INGRESOS-PAGOS'!$H$29</f>
        <v>0</v>
      </c>
      <c r="DU18" s="147">
        <f>DU$10*'10_CAPEX-INGRESOS-PAGOS'!$H$27*'10_CAPEX-INGRESOS-PAGOS'!$H$29</f>
        <v>0</v>
      </c>
      <c r="DV18" s="147">
        <f>DV$10*'10_CAPEX-INGRESOS-PAGOS'!$H$27*'10_CAPEX-INGRESOS-PAGOS'!$H$29</f>
        <v>0</v>
      </c>
      <c r="DW18" s="147">
        <f>DW$10*'10_CAPEX-INGRESOS-PAGOS'!$H$27*'10_CAPEX-INGRESOS-PAGOS'!$H$29</f>
        <v>0</v>
      </c>
      <c r="DX18" s="147">
        <f>DX$10*'10_CAPEX-INGRESOS-PAGOS'!$H$27*'10_CAPEX-INGRESOS-PAGOS'!$H$29</f>
        <v>0</v>
      </c>
      <c r="DY18" s="147">
        <f>DY$10*'10_CAPEX-INGRESOS-PAGOS'!$H$27*'10_CAPEX-INGRESOS-PAGOS'!$H$29</f>
        <v>0</v>
      </c>
      <c r="DZ18" s="147">
        <f>DZ$10*'10_CAPEX-INGRESOS-PAGOS'!$H$27*'10_CAPEX-INGRESOS-PAGOS'!$H$29</f>
        <v>0</v>
      </c>
      <c r="EA18" s="147">
        <f>EA$10*'10_CAPEX-INGRESOS-PAGOS'!$H$27*'10_CAPEX-INGRESOS-PAGOS'!$H$29</f>
        <v>0</v>
      </c>
      <c r="EB18" s="147">
        <f>EB$10*'10_CAPEX-INGRESOS-PAGOS'!$H$27*'10_CAPEX-INGRESOS-PAGOS'!$H$29</f>
        <v>0</v>
      </c>
      <c r="EC18" s="147">
        <f>EC$10*'10_CAPEX-INGRESOS-PAGOS'!$H$27*'10_CAPEX-INGRESOS-PAGOS'!$H$29</f>
        <v>0</v>
      </c>
      <c r="ED18" s="147">
        <f>ED$10*'10_CAPEX-INGRESOS-PAGOS'!$H$27*'10_CAPEX-INGRESOS-PAGOS'!$H$29</f>
        <v>0</v>
      </c>
      <c r="EE18" s="147">
        <f>EE$10*'10_CAPEX-INGRESOS-PAGOS'!$H$27*'10_CAPEX-INGRESOS-PAGOS'!$H$29</f>
        <v>0</v>
      </c>
      <c r="EF18" s="147">
        <f>EF$10*'10_CAPEX-INGRESOS-PAGOS'!$H$27*'10_CAPEX-INGRESOS-PAGOS'!$H$29</f>
        <v>0</v>
      </c>
      <c r="EG18" s="147">
        <f>EG$10*'10_CAPEX-INGRESOS-PAGOS'!$H$27*'10_CAPEX-INGRESOS-PAGOS'!$H$29</f>
        <v>0</v>
      </c>
      <c r="EH18" s="147">
        <f>EH$10*'10_CAPEX-INGRESOS-PAGOS'!$H$27*'10_CAPEX-INGRESOS-PAGOS'!$H$29</f>
        <v>0</v>
      </c>
      <c r="EI18" s="147">
        <f>EI$10*'10_CAPEX-INGRESOS-PAGOS'!$H$27*'10_CAPEX-INGRESOS-PAGOS'!$H$29</f>
        <v>0</v>
      </c>
      <c r="EJ18" s="147">
        <f>EJ$10*'10_CAPEX-INGRESOS-PAGOS'!$H$27*'10_CAPEX-INGRESOS-PAGOS'!$H$29</f>
        <v>0</v>
      </c>
      <c r="EK18" s="147">
        <f>EK$10*'10_CAPEX-INGRESOS-PAGOS'!$H$27*'10_CAPEX-INGRESOS-PAGOS'!$H$29</f>
        <v>0</v>
      </c>
      <c r="EL18" s="147">
        <f>EL$10*'10_CAPEX-INGRESOS-PAGOS'!$H$27*'10_CAPEX-INGRESOS-PAGOS'!$H$29</f>
        <v>0</v>
      </c>
      <c r="EM18" s="147">
        <f>EM$10*'10_CAPEX-INGRESOS-PAGOS'!$H$27*'10_CAPEX-INGRESOS-PAGOS'!$H$29</f>
        <v>0</v>
      </c>
      <c r="EN18" s="147">
        <f>EN$10*'10_CAPEX-INGRESOS-PAGOS'!$H$27*'10_CAPEX-INGRESOS-PAGOS'!$H$29</f>
        <v>0</v>
      </c>
      <c r="EO18" s="147">
        <f>EO$10*'10_CAPEX-INGRESOS-PAGOS'!$H$27*'10_CAPEX-INGRESOS-PAGOS'!$H$29</f>
        <v>0</v>
      </c>
      <c r="EP18" s="147">
        <f>EP$10*'10_CAPEX-INGRESOS-PAGOS'!$H$27*'10_CAPEX-INGRESOS-PAGOS'!$H$29</f>
        <v>0</v>
      </c>
      <c r="EQ18" s="147">
        <f>EQ$10*'10_CAPEX-INGRESOS-PAGOS'!$H$27*'10_CAPEX-INGRESOS-PAGOS'!$H$29</f>
        <v>0</v>
      </c>
      <c r="ER18" s="147">
        <f>ER$10*'10_CAPEX-INGRESOS-PAGOS'!$H$27*'10_CAPEX-INGRESOS-PAGOS'!$H$29</f>
        <v>0</v>
      </c>
      <c r="ES18" s="147">
        <f>ES$10*'10_CAPEX-INGRESOS-PAGOS'!$H$27*'10_CAPEX-INGRESOS-PAGOS'!$H$29</f>
        <v>0</v>
      </c>
      <c r="ET18" s="147">
        <f>ET$10*'10_CAPEX-INGRESOS-PAGOS'!$H$27*'10_CAPEX-INGRESOS-PAGOS'!$H$29</f>
        <v>0</v>
      </c>
      <c r="EU18" s="147">
        <f>EU$10*'10_CAPEX-INGRESOS-PAGOS'!$H$27*'10_CAPEX-INGRESOS-PAGOS'!$H$29</f>
        <v>0</v>
      </c>
      <c r="EV18" s="147">
        <f>EV$10*'10_CAPEX-INGRESOS-PAGOS'!$H$27*'10_CAPEX-INGRESOS-PAGOS'!$H$29</f>
        <v>0</v>
      </c>
      <c r="EW18" s="147">
        <f>EW$10*'10_CAPEX-INGRESOS-PAGOS'!$H$27*'10_CAPEX-INGRESOS-PAGOS'!$H$29</f>
        <v>0</v>
      </c>
      <c r="EX18" s="147">
        <f>EX$10*'10_CAPEX-INGRESOS-PAGOS'!$H$27*'10_CAPEX-INGRESOS-PAGOS'!$H$29</f>
        <v>0</v>
      </c>
      <c r="EY18" s="147">
        <f>EY$10*'10_CAPEX-INGRESOS-PAGOS'!$H$27*'10_CAPEX-INGRESOS-PAGOS'!$H$29</f>
        <v>0</v>
      </c>
      <c r="EZ18" s="147">
        <f>EZ$10*'10_CAPEX-INGRESOS-PAGOS'!$H$27*'10_CAPEX-INGRESOS-PAGOS'!$H$29</f>
        <v>0</v>
      </c>
      <c r="FA18" s="147">
        <f>FA$10*'10_CAPEX-INGRESOS-PAGOS'!$H$27*'10_CAPEX-INGRESOS-PAGOS'!$H$29</f>
        <v>0</v>
      </c>
      <c r="FB18" s="147">
        <f>FB$10*'10_CAPEX-INGRESOS-PAGOS'!$H$27*'10_CAPEX-INGRESOS-PAGOS'!$H$29</f>
        <v>0</v>
      </c>
      <c r="FC18" s="147">
        <f>FC$10*'10_CAPEX-INGRESOS-PAGOS'!$H$27*'10_CAPEX-INGRESOS-PAGOS'!$H$29</f>
        <v>0</v>
      </c>
      <c r="FD18" s="147">
        <f>FD$10*'10_CAPEX-INGRESOS-PAGOS'!$H$27*'10_CAPEX-INGRESOS-PAGOS'!$H$29</f>
        <v>0</v>
      </c>
      <c r="FE18" s="147">
        <f>FE$10*'10_CAPEX-INGRESOS-PAGOS'!$H$27*'10_CAPEX-INGRESOS-PAGOS'!$H$29</f>
        <v>0</v>
      </c>
      <c r="FF18" s="147">
        <f>FF$10*'10_CAPEX-INGRESOS-PAGOS'!$H$27*'10_CAPEX-INGRESOS-PAGOS'!$H$29</f>
        <v>0</v>
      </c>
      <c r="FG18" s="147">
        <f>FG$10*'10_CAPEX-INGRESOS-PAGOS'!$H$27*'10_CAPEX-INGRESOS-PAGOS'!$H$29</f>
        <v>0</v>
      </c>
      <c r="FH18" s="147">
        <f>FH$10*'10_CAPEX-INGRESOS-PAGOS'!$H$27*'10_CAPEX-INGRESOS-PAGOS'!$H$29</f>
        <v>0</v>
      </c>
      <c r="FI18" s="147">
        <f>FI$10*'10_CAPEX-INGRESOS-PAGOS'!$H$27*'10_CAPEX-INGRESOS-PAGOS'!$H$29</f>
        <v>0</v>
      </c>
      <c r="FJ18" s="147">
        <f>FJ$10*'10_CAPEX-INGRESOS-PAGOS'!$H$27*'10_CAPEX-INGRESOS-PAGOS'!$H$29</f>
        <v>0</v>
      </c>
      <c r="FK18" s="147">
        <f>FK$10*'10_CAPEX-INGRESOS-PAGOS'!$H$27*'10_CAPEX-INGRESOS-PAGOS'!$H$29</f>
        <v>0</v>
      </c>
      <c r="FL18" s="147">
        <f>FL$10*'10_CAPEX-INGRESOS-PAGOS'!$H$27*'10_CAPEX-INGRESOS-PAGOS'!$H$29</f>
        <v>0</v>
      </c>
      <c r="FM18" s="147">
        <f>FM$10*'10_CAPEX-INGRESOS-PAGOS'!$H$27*'10_CAPEX-INGRESOS-PAGOS'!$H$29</f>
        <v>0</v>
      </c>
      <c r="FN18" s="147">
        <f>FN$10*'10_CAPEX-INGRESOS-PAGOS'!$H$27*'10_CAPEX-INGRESOS-PAGOS'!$H$29</f>
        <v>0</v>
      </c>
      <c r="FO18" s="147">
        <f>FO$10*'10_CAPEX-INGRESOS-PAGOS'!$H$27*'10_CAPEX-INGRESOS-PAGOS'!$H$29</f>
        <v>0</v>
      </c>
      <c r="FP18" s="147">
        <f>FP$10*'10_CAPEX-INGRESOS-PAGOS'!$H$27*'10_CAPEX-INGRESOS-PAGOS'!$H$29</f>
        <v>0</v>
      </c>
      <c r="FQ18" s="147">
        <f>FQ$10*'10_CAPEX-INGRESOS-PAGOS'!$H$27*'10_CAPEX-INGRESOS-PAGOS'!$H$29</f>
        <v>0</v>
      </c>
      <c r="FR18" s="147">
        <f>FR$10*'10_CAPEX-INGRESOS-PAGOS'!$H$27*'10_CAPEX-INGRESOS-PAGOS'!$H$29</f>
        <v>0</v>
      </c>
      <c r="FS18" s="147">
        <f>FS$10*'10_CAPEX-INGRESOS-PAGOS'!$H$27*'10_CAPEX-INGRESOS-PAGOS'!$H$29</f>
        <v>0</v>
      </c>
      <c r="FT18" s="147">
        <f>FT$10*'10_CAPEX-INGRESOS-PAGOS'!$H$27*'10_CAPEX-INGRESOS-PAGOS'!$H$29</f>
        <v>0</v>
      </c>
      <c r="FU18" s="147">
        <f>FU$10*'10_CAPEX-INGRESOS-PAGOS'!$H$27*'10_CAPEX-INGRESOS-PAGOS'!$H$29</f>
        <v>0</v>
      </c>
      <c r="FV18" s="147">
        <f>FV$10*'10_CAPEX-INGRESOS-PAGOS'!$H$27*'10_CAPEX-INGRESOS-PAGOS'!$H$29</f>
        <v>0</v>
      </c>
      <c r="FW18" s="147">
        <f>FW$10*'10_CAPEX-INGRESOS-PAGOS'!$H$27*'10_CAPEX-INGRESOS-PAGOS'!$H$29</f>
        <v>0</v>
      </c>
      <c r="FX18" s="147">
        <f>FX$10*'10_CAPEX-INGRESOS-PAGOS'!$H$27*'10_CAPEX-INGRESOS-PAGOS'!$H$29</f>
        <v>0</v>
      </c>
      <c r="FY18" s="147">
        <f>FY$10*'10_CAPEX-INGRESOS-PAGOS'!$H$27*'10_CAPEX-INGRESOS-PAGOS'!$H$29</f>
        <v>0</v>
      </c>
      <c r="FZ18" s="147">
        <f>FZ$10*'10_CAPEX-INGRESOS-PAGOS'!$H$27*'10_CAPEX-INGRESOS-PAGOS'!$H$29</f>
        <v>0</v>
      </c>
    </row>
    <row r="19" spans="1:182" ht="15.75" customHeight="1" x14ac:dyDescent="0.25">
      <c r="A19" s="138" t="s">
        <v>273</v>
      </c>
      <c r="B19" s="147">
        <f t="shared" ref="B19:AG19" si="12">B$17-B$18</f>
        <v>0</v>
      </c>
      <c r="C19" s="147">
        <f t="shared" si="12"/>
        <v>0</v>
      </c>
      <c r="D19" s="147">
        <f t="shared" si="12"/>
        <v>0</v>
      </c>
      <c r="E19" s="147">
        <f t="shared" si="12"/>
        <v>0</v>
      </c>
      <c r="F19" s="147">
        <f t="shared" si="12"/>
        <v>0</v>
      </c>
      <c r="G19" s="147">
        <f t="shared" si="12"/>
        <v>0</v>
      </c>
      <c r="H19" s="147">
        <f t="shared" si="12"/>
        <v>0</v>
      </c>
      <c r="I19" s="147">
        <f t="shared" si="12"/>
        <v>0</v>
      </c>
      <c r="J19" s="147">
        <f t="shared" si="12"/>
        <v>0</v>
      </c>
      <c r="K19" s="147">
        <f t="shared" si="12"/>
        <v>0</v>
      </c>
      <c r="L19" s="147">
        <f t="shared" si="12"/>
        <v>0</v>
      </c>
      <c r="M19" s="147">
        <f t="shared" si="12"/>
        <v>0</v>
      </c>
      <c r="N19" s="147">
        <f t="shared" si="12"/>
        <v>0</v>
      </c>
      <c r="O19" s="147">
        <f t="shared" si="12"/>
        <v>0</v>
      </c>
      <c r="P19" s="147">
        <f t="shared" si="12"/>
        <v>0</v>
      </c>
      <c r="Q19" s="147">
        <f t="shared" si="12"/>
        <v>0</v>
      </c>
      <c r="R19" s="147">
        <f t="shared" si="12"/>
        <v>0</v>
      </c>
      <c r="S19" s="147">
        <f t="shared" si="12"/>
        <v>0</v>
      </c>
      <c r="T19" s="147">
        <f t="shared" si="12"/>
        <v>0</v>
      </c>
      <c r="U19" s="147">
        <f t="shared" si="12"/>
        <v>0</v>
      </c>
      <c r="V19" s="147">
        <f t="shared" si="12"/>
        <v>0</v>
      </c>
      <c r="W19" s="147">
        <f t="shared" si="12"/>
        <v>0</v>
      </c>
      <c r="X19" s="147">
        <f t="shared" si="12"/>
        <v>0</v>
      </c>
      <c r="Y19" s="147">
        <f t="shared" si="12"/>
        <v>17875</v>
      </c>
      <c r="Z19" s="147">
        <f t="shared" si="12"/>
        <v>17875</v>
      </c>
      <c r="AA19" s="147">
        <f t="shared" si="12"/>
        <v>191750</v>
      </c>
      <c r="AB19" s="147">
        <f t="shared" si="12"/>
        <v>191750</v>
      </c>
      <c r="AC19" s="147">
        <f t="shared" si="12"/>
        <v>191750</v>
      </c>
      <c r="AD19" s="147">
        <f t="shared" si="12"/>
        <v>191750</v>
      </c>
      <c r="AE19" s="147">
        <f t="shared" si="12"/>
        <v>191750</v>
      </c>
      <c r="AF19" s="147">
        <f t="shared" si="12"/>
        <v>191750</v>
      </c>
      <c r="AG19" s="147">
        <f t="shared" si="12"/>
        <v>191750</v>
      </c>
      <c r="AH19" s="147">
        <f t="shared" ref="AH19:BM19" si="13">AH$17-AH$18</f>
        <v>191750</v>
      </c>
      <c r="AI19" s="147">
        <f t="shared" si="13"/>
        <v>181025</v>
      </c>
      <c r="AJ19" s="147">
        <f t="shared" si="13"/>
        <v>173875</v>
      </c>
      <c r="AK19" s="147">
        <f t="shared" si="13"/>
        <v>7091500</v>
      </c>
      <c r="AL19" s="147">
        <f t="shared" si="13"/>
        <v>0</v>
      </c>
      <c r="AM19" s="147">
        <f t="shared" si="13"/>
        <v>0</v>
      </c>
      <c r="AN19" s="147">
        <f t="shared" si="13"/>
        <v>0</v>
      </c>
      <c r="AO19" s="147">
        <f t="shared" si="13"/>
        <v>0</v>
      </c>
      <c r="AP19" s="147">
        <f t="shared" si="13"/>
        <v>0</v>
      </c>
      <c r="AQ19" s="147">
        <f t="shared" si="13"/>
        <v>0</v>
      </c>
      <c r="AR19" s="147">
        <f t="shared" si="13"/>
        <v>0</v>
      </c>
      <c r="AS19" s="147">
        <f t="shared" si="13"/>
        <v>0</v>
      </c>
      <c r="AT19" s="147">
        <f t="shared" si="13"/>
        <v>0</v>
      </c>
      <c r="AU19" s="147">
        <f t="shared" si="13"/>
        <v>0</v>
      </c>
      <c r="AV19" s="147">
        <f t="shared" si="13"/>
        <v>0</v>
      </c>
      <c r="AW19" s="147">
        <f t="shared" si="13"/>
        <v>0</v>
      </c>
      <c r="AX19" s="147">
        <f t="shared" si="13"/>
        <v>0</v>
      </c>
      <c r="AY19" s="147">
        <f t="shared" si="13"/>
        <v>0</v>
      </c>
      <c r="AZ19" s="147">
        <f t="shared" si="13"/>
        <v>0</v>
      </c>
      <c r="BA19" s="147">
        <f t="shared" si="13"/>
        <v>0</v>
      </c>
      <c r="BB19" s="147">
        <f t="shared" si="13"/>
        <v>0</v>
      </c>
      <c r="BC19" s="147">
        <f t="shared" si="13"/>
        <v>0</v>
      </c>
      <c r="BD19" s="147">
        <f t="shared" si="13"/>
        <v>0</v>
      </c>
      <c r="BE19" s="147">
        <f t="shared" si="13"/>
        <v>0</v>
      </c>
      <c r="BF19" s="147">
        <f t="shared" si="13"/>
        <v>0</v>
      </c>
      <c r="BG19" s="147">
        <f t="shared" si="13"/>
        <v>0</v>
      </c>
      <c r="BH19" s="147">
        <f t="shared" si="13"/>
        <v>0</v>
      </c>
      <c r="BI19" s="147">
        <f t="shared" si="13"/>
        <v>0</v>
      </c>
      <c r="BJ19" s="147">
        <f t="shared" si="13"/>
        <v>0</v>
      </c>
      <c r="BK19" s="147">
        <f t="shared" si="13"/>
        <v>0</v>
      </c>
      <c r="BL19" s="147">
        <f t="shared" si="13"/>
        <v>0</v>
      </c>
      <c r="BM19" s="147">
        <f t="shared" si="13"/>
        <v>0</v>
      </c>
      <c r="BN19" s="147">
        <f t="shared" ref="BN19:CS19" si="14">BN$17-BN$18</f>
        <v>0</v>
      </c>
      <c r="BO19" s="147">
        <f t="shared" si="14"/>
        <v>0</v>
      </c>
      <c r="BP19" s="147">
        <f t="shared" si="14"/>
        <v>0</v>
      </c>
      <c r="BQ19" s="147">
        <f t="shared" si="14"/>
        <v>0</v>
      </c>
      <c r="BR19" s="147">
        <f t="shared" si="14"/>
        <v>0</v>
      </c>
      <c r="BS19" s="147">
        <f t="shared" si="14"/>
        <v>0</v>
      </c>
      <c r="BT19" s="147">
        <f t="shared" si="14"/>
        <v>0</v>
      </c>
      <c r="BU19" s="147">
        <f t="shared" si="14"/>
        <v>0</v>
      </c>
      <c r="BV19" s="147">
        <f t="shared" si="14"/>
        <v>0</v>
      </c>
      <c r="BW19" s="147">
        <f t="shared" si="14"/>
        <v>0</v>
      </c>
      <c r="BX19" s="147">
        <f t="shared" si="14"/>
        <v>0</v>
      </c>
      <c r="BY19" s="147">
        <f t="shared" si="14"/>
        <v>0</v>
      </c>
      <c r="BZ19" s="147">
        <f t="shared" si="14"/>
        <v>0</v>
      </c>
      <c r="CA19" s="147">
        <f t="shared" si="14"/>
        <v>0</v>
      </c>
      <c r="CB19" s="147">
        <f t="shared" si="14"/>
        <v>0</v>
      </c>
      <c r="CC19" s="147">
        <f t="shared" si="14"/>
        <v>0</v>
      </c>
      <c r="CD19" s="147">
        <f t="shared" si="14"/>
        <v>0</v>
      </c>
      <c r="CE19" s="147">
        <f t="shared" si="14"/>
        <v>0</v>
      </c>
      <c r="CF19" s="147">
        <f t="shared" si="14"/>
        <v>0</v>
      </c>
      <c r="CG19" s="147">
        <f t="shared" si="14"/>
        <v>0</v>
      </c>
      <c r="CH19" s="147">
        <f t="shared" si="14"/>
        <v>0</v>
      </c>
      <c r="CI19" s="147">
        <f t="shared" si="14"/>
        <v>0</v>
      </c>
      <c r="CJ19" s="147">
        <f t="shared" si="14"/>
        <v>0</v>
      </c>
      <c r="CK19" s="147">
        <f t="shared" si="14"/>
        <v>0</v>
      </c>
      <c r="CL19" s="147">
        <f t="shared" si="14"/>
        <v>0</v>
      </c>
      <c r="CM19" s="147">
        <f t="shared" si="14"/>
        <v>0</v>
      </c>
      <c r="CN19" s="147">
        <f t="shared" si="14"/>
        <v>0</v>
      </c>
      <c r="CO19" s="147">
        <f t="shared" si="14"/>
        <v>0</v>
      </c>
      <c r="CP19" s="147">
        <f t="shared" si="14"/>
        <v>0</v>
      </c>
      <c r="CQ19" s="147">
        <f t="shared" si="14"/>
        <v>0</v>
      </c>
      <c r="CR19" s="147">
        <f t="shared" si="14"/>
        <v>0</v>
      </c>
      <c r="CS19" s="147">
        <f t="shared" si="14"/>
        <v>0</v>
      </c>
      <c r="CT19" s="147">
        <f t="shared" ref="CT19:DY19" si="15">CT$17-CT$18</f>
        <v>0</v>
      </c>
      <c r="CU19" s="147">
        <f t="shared" si="15"/>
        <v>0</v>
      </c>
      <c r="CV19" s="147">
        <f t="shared" si="15"/>
        <v>0</v>
      </c>
      <c r="CW19" s="147">
        <f t="shared" si="15"/>
        <v>0</v>
      </c>
      <c r="CX19" s="147">
        <f t="shared" si="15"/>
        <v>0</v>
      </c>
      <c r="CY19" s="147">
        <f t="shared" si="15"/>
        <v>0</v>
      </c>
      <c r="CZ19" s="147">
        <f t="shared" si="15"/>
        <v>0</v>
      </c>
      <c r="DA19" s="147">
        <f t="shared" si="15"/>
        <v>0</v>
      </c>
      <c r="DB19" s="147">
        <f t="shared" si="15"/>
        <v>0</v>
      </c>
      <c r="DC19" s="147">
        <f t="shared" si="15"/>
        <v>0</v>
      </c>
      <c r="DD19" s="147">
        <f t="shared" si="15"/>
        <v>0</v>
      </c>
      <c r="DE19" s="147">
        <f t="shared" si="15"/>
        <v>0</v>
      </c>
      <c r="DF19" s="147">
        <f t="shared" si="15"/>
        <v>0</v>
      </c>
      <c r="DG19" s="147">
        <f t="shared" si="15"/>
        <v>0</v>
      </c>
      <c r="DH19" s="147">
        <f t="shared" si="15"/>
        <v>0</v>
      </c>
      <c r="DI19" s="147">
        <f t="shared" si="15"/>
        <v>0</v>
      </c>
      <c r="DJ19" s="147">
        <f t="shared" si="15"/>
        <v>0</v>
      </c>
      <c r="DK19" s="147">
        <f t="shared" si="15"/>
        <v>0</v>
      </c>
      <c r="DL19" s="147">
        <f t="shared" si="15"/>
        <v>0</v>
      </c>
      <c r="DM19" s="147">
        <f t="shared" si="15"/>
        <v>0</v>
      </c>
      <c r="DN19" s="147">
        <f t="shared" si="15"/>
        <v>0</v>
      </c>
      <c r="DO19" s="147">
        <f t="shared" si="15"/>
        <v>0</v>
      </c>
      <c r="DP19" s="147">
        <f t="shared" si="15"/>
        <v>0</v>
      </c>
      <c r="DQ19" s="147">
        <f t="shared" si="15"/>
        <v>0</v>
      </c>
      <c r="DR19" s="147">
        <f t="shared" si="15"/>
        <v>0</v>
      </c>
      <c r="DS19" s="147">
        <f t="shared" si="15"/>
        <v>0</v>
      </c>
      <c r="DT19" s="147">
        <f t="shared" si="15"/>
        <v>0</v>
      </c>
      <c r="DU19" s="147">
        <f t="shared" si="15"/>
        <v>0</v>
      </c>
      <c r="DV19" s="147">
        <f t="shared" si="15"/>
        <v>0</v>
      </c>
      <c r="DW19" s="147">
        <f t="shared" si="15"/>
        <v>0</v>
      </c>
      <c r="DX19" s="147">
        <f t="shared" si="15"/>
        <v>0</v>
      </c>
      <c r="DY19" s="147">
        <f t="shared" si="15"/>
        <v>0</v>
      </c>
      <c r="DZ19" s="147">
        <f t="shared" ref="DZ19:FE19" si="16">DZ$17-DZ$18</f>
        <v>0</v>
      </c>
      <c r="EA19" s="147">
        <f t="shared" si="16"/>
        <v>0</v>
      </c>
      <c r="EB19" s="147">
        <f t="shared" si="16"/>
        <v>0</v>
      </c>
      <c r="EC19" s="147">
        <f t="shared" si="16"/>
        <v>0</v>
      </c>
      <c r="ED19" s="147">
        <f t="shared" si="16"/>
        <v>0</v>
      </c>
      <c r="EE19" s="147">
        <f t="shared" si="16"/>
        <v>0</v>
      </c>
      <c r="EF19" s="147">
        <f t="shared" si="16"/>
        <v>0</v>
      </c>
      <c r="EG19" s="147">
        <f t="shared" si="16"/>
        <v>0</v>
      </c>
      <c r="EH19" s="147">
        <f t="shared" si="16"/>
        <v>0</v>
      </c>
      <c r="EI19" s="147">
        <f t="shared" si="16"/>
        <v>0</v>
      </c>
      <c r="EJ19" s="147">
        <f t="shared" si="16"/>
        <v>0</v>
      </c>
      <c r="EK19" s="147">
        <f t="shared" si="16"/>
        <v>0</v>
      </c>
      <c r="EL19" s="147">
        <f t="shared" si="16"/>
        <v>0</v>
      </c>
      <c r="EM19" s="147">
        <f t="shared" si="16"/>
        <v>0</v>
      </c>
      <c r="EN19" s="147">
        <f t="shared" si="16"/>
        <v>0</v>
      </c>
      <c r="EO19" s="147">
        <f t="shared" si="16"/>
        <v>0</v>
      </c>
      <c r="EP19" s="147">
        <f t="shared" si="16"/>
        <v>0</v>
      </c>
      <c r="EQ19" s="147">
        <f t="shared" si="16"/>
        <v>0</v>
      </c>
      <c r="ER19" s="147">
        <f t="shared" si="16"/>
        <v>0</v>
      </c>
      <c r="ES19" s="147">
        <f t="shared" si="16"/>
        <v>0</v>
      </c>
      <c r="ET19" s="147">
        <f t="shared" si="16"/>
        <v>0</v>
      </c>
      <c r="EU19" s="147">
        <f t="shared" si="16"/>
        <v>0</v>
      </c>
      <c r="EV19" s="147">
        <f t="shared" si="16"/>
        <v>0</v>
      </c>
      <c r="EW19" s="147">
        <f t="shared" si="16"/>
        <v>0</v>
      </c>
      <c r="EX19" s="147">
        <f t="shared" si="16"/>
        <v>0</v>
      </c>
      <c r="EY19" s="147">
        <f t="shared" si="16"/>
        <v>0</v>
      </c>
      <c r="EZ19" s="147">
        <f t="shared" si="16"/>
        <v>0</v>
      </c>
      <c r="FA19" s="147">
        <f t="shared" si="16"/>
        <v>0</v>
      </c>
      <c r="FB19" s="147">
        <f t="shared" si="16"/>
        <v>0</v>
      </c>
      <c r="FC19" s="147">
        <f t="shared" si="16"/>
        <v>0</v>
      </c>
      <c r="FD19" s="147">
        <f t="shared" si="16"/>
        <v>0</v>
      </c>
      <c r="FE19" s="147">
        <f t="shared" si="16"/>
        <v>0</v>
      </c>
      <c r="FF19" s="147">
        <f t="shared" ref="FF19:FZ19" si="17">FF$17-FF$18</f>
        <v>0</v>
      </c>
      <c r="FG19" s="147">
        <f t="shared" si="17"/>
        <v>0</v>
      </c>
      <c r="FH19" s="147">
        <f t="shared" si="17"/>
        <v>0</v>
      </c>
      <c r="FI19" s="147">
        <f t="shared" si="17"/>
        <v>0</v>
      </c>
      <c r="FJ19" s="147">
        <f t="shared" si="17"/>
        <v>0</v>
      </c>
      <c r="FK19" s="147">
        <f t="shared" si="17"/>
        <v>0</v>
      </c>
      <c r="FL19" s="147">
        <f t="shared" si="17"/>
        <v>0</v>
      </c>
      <c r="FM19" s="147">
        <f t="shared" si="17"/>
        <v>0</v>
      </c>
      <c r="FN19" s="147">
        <f t="shared" si="17"/>
        <v>0</v>
      </c>
      <c r="FO19" s="147">
        <f t="shared" si="17"/>
        <v>0</v>
      </c>
      <c r="FP19" s="147">
        <f t="shared" si="17"/>
        <v>0</v>
      </c>
      <c r="FQ19" s="147">
        <f t="shared" si="17"/>
        <v>0</v>
      </c>
      <c r="FR19" s="147">
        <f t="shared" si="17"/>
        <v>0</v>
      </c>
      <c r="FS19" s="147">
        <f t="shared" si="17"/>
        <v>0</v>
      </c>
      <c r="FT19" s="147">
        <f t="shared" si="17"/>
        <v>0</v>
      </c>
      <c r="FU19" s="147">
        <f t="shared" si="17"/>
        <v>0</v>
      </c>
      <c r="FV19" s="147">
        <f t="shared" si="17"/>
        <v>0</v>
      </c>
      <c r="FW19" s="147">
        <f t="shared" si="17"/>
        <v>0</v>
      </c>
      <c r="FX19" s="147">
        <f t="shared" si="17"/>
        <v>0</v>
      </c>
      <c r="FY19" s="147">
        <f t="shared" si="17"/>
        <v>0</v>
      </c>
      <c r="FZ19" s="147">
        <f t="shared" si="17"/>
        <v>0</v>
      </c>
    </row>
    <row r="20" spans="1:182" s="254" customFormat="1" ht="15.75" customHeight="1" thickBot="1" x14ac:dyDescent="0.3">
      <c r="A20" s="252" t="s">
        <v>274</v>
      </c>
      <c r="B20" s="253">
        <f t="shared" ref="B20:AG20" si="18">B$8+B$19</f>
        <v>-1183546</v>
      </c>
      <c r="C20" s="253">
        <f t="shared" si="18"/>
        <v>0</v>
      </c>
      <c r="D20" s="253">
        <f t="shared" si="18"/>
        <v>0</v>
      </c>
      <c r="E20" s="253">
        <f t="shared" si="18"/>
        <v>0</v>
      </c>
      <c r="F20" s="253">
        <f t="shared" si="18"/>
        <v>0</v>
      </c>
      <c r="G20" s="253">
        <f t="shared" si="18"/>
        <v>0</v>
      </c>
      <c r="H20" s="253">
        <f t="shared" si="18"/>
        <v>0</v>
      </c>
      <c r="I20" s="253">
        <f t="shared" si="18"/>
        <v>0</v>
      </c>
      <c r="J20" s="253">
        <f t="shared" si="18"/>
        <v>0</v>
      </c>
      <c r="K20" s="253">
        <f t="shared" si="18"/>
        <v>0</v>
      </c>
      <c r="L20" s="253">
        <f t="shared" si="18"/>
        <v>0</v>
      </c>
      <c r="M20" s="253">
        <f t="shared" si="18"/>
        <v>-269680.32000000007</v>
      </c>
      <c r="N20" s="253">
        <f t="shared" si="18"/>
        <v>-269680.32000000007</v>
      </c>
      <c r="O20" s="253">
        <f t="shared" si="18"/>
        <v>-269680.32000000007</v>
      </c>
      <c r="P20" s="253">
        <f t="shared" si="18"/>
        <v>-269680.32000000007</v>
      </c>
      <c r="Q20" s="253">
        <f t="shared" si="18"/>
        <v>-269680.32000000007</v>
      </c>
      <c r="R20" s="253">
        <f t="shared" si="18"/>
        <v>-269680.32000000007</v>
      </c>
      <c r="S20" s="253">
        <f t="shared" si="18"/>
        <v>-269680.32000000007</v>
      </c>
      <c r="T20" s="253">
        <f t="shared" si="18"/>
        <v>-269680.32000000007</v>
      </c>
      <c r="U20" s="253">
        <f t="shared" si="18"/>
        <v>-269680.32000000007</v>
      </c>
      <c r="V20" s="253">
        <f t="shared" si="18"/>
        <v>-269680.32000000007</v>
      </c>
      <c r="W20" s="253">
        <f t="shared" si="18"/>
        <v>-269680.32000000007</v>
      </c>
      <c r="X20" s="253">
        <f t="shared" si="18"/>
        <v>-269680.32000000007</v>
      </c>
      <c r="Y20" s="253">
        <f t="shared" si="18"/>
        <v>-251805.32000000007</v>
      </c>
      <c r="Z20" s="253">
        <f t="shared" si="18"/>
        <v>-251805.32000000007</v>
      </c>
      <c r="AA20" s="253">
        <f t="shared" si="18"/>
        <v>-77930.320000000065</v>
      </c>
      <c r="AB20" s="253">
        <f t="shared" si="18"/>
        <v>-77930.320000000065</v>
      </c>
      <c r="AC20" s="253">
        <f t="shared" si="18"/>
        <v>-77930.320000000065</v>
      </c>
      <c r="AD20" s="253">
        <f t="shared" si="18"/>
        <v>-77930.320000000065</v>
      </c>
      <c r="AE20" s="253">
        <f t="shared" si="18"/>
        <v>-77930.320000000065</v>
      </c>
      <c r="AF20" s="253">
        <f t="shared" si="18"/>
        <v>-77930.320000000065</v>
      </c>
      <c r="AG20" s="253">
        <f t="shared" si="18"/>
        <v>-77930.320000000065</v>
      </c>
      <c r="AH20" s="253">
        <f t="shared" ref="AH20:BM20" si="19">AH$8+AH$19</f>
        <v>-77930.320000000065</v>
      </c>
      <c r="AI20" s="253">
        <f t="shared" si="19"/>
        <v>-88655.320000000065</v>
      </c>
      <c r="AJ20" s="253">
        <f t="shared" si="19"/>
        <v>-95805.320000000065</v>
      </c>
      <c r="AK20" s="253">
        <f t="shared" si="19"/>
        <v>7091500</v>
      </c>
      <c r="AL20" s="253">
        <f t="shared" si="19"/>
        <v>0</v>
      </c>
      <c r="AM20" s="253">
        <f t="shared" si="19"/>
        <v>0</v>
      </c>
      <c r="AN20" s="253">
        <f t="shared" si="19"/>
        <v>0</v>
      </c>
      <c r="AO20" s="253">
        <f t="shared" si="19"/>
        <v>0</v>
      </c>
      <c r="AP20" s="253">
        <f t="shared" si="19"/>
        <v>0</v>
      </c>
      <c r="AQ20" s="253">
        <f t="shared" si="19"/>
        <v>0</v>
      </c>
      <c r="AR20" s="253">
        <f t="shared" si="19"/>
        <v>0</v>
      </c>
      <c r="AS20" s="253">
        <f t="shared" si="19"/>
        <v>0</v>
      </c>
      <c r="AT20" s="253">
        <f t="shared" si="19"/>
        <v>0</v>
      </c>
      <c r="AU20" s="253">
        <f t="shared" si="19"/>
        <v>0</v>
      </c>
      <c r="AV20" s="253">
        <f t="shared" si="19"/>
        <v>0</v>
      </c>
      <c r="AW20" s="253">
        <f t="shared" si="19"/>
        <v>0</v>
      </c>
      <c r="AX20" s="253">
        <f t="shared" si="19"/>
        <v>0</v>
      </c>
      <c r="AY20" s="253">
        <f t="shared" si="19"/>
        <v>0</v>
      </c>
      <c r="AZ20" s="253">
        <f t="shared" si="19"/>
        <v>0</v>
      </c>
      <c r="BA20" s="253">
        <f t="shared" si="19"/>
        <v>0</v>
      </c>
      <c r="BB20" s="253">
        <f t="shared" si="19"/>
        <v>0</v>
      </c>
      <c r="BC20" s="253">
        <f t="shared" si="19"/>
        <v>0</v>
      </c>
      <c r="BD20" s="253">
        <f t="shared" si="19"/>
        <v>0</v>
      </c>
      <c r="BE20" s="253">
        <f t="shared" si="19"/>
        <v>0</v>
      </c>
      <c r="BF20" s="253">
        <f t="shared" si="19"/>
        <v>0</v>
      </c>
      <c r="BG20" s="253">
        <f t="shared" si="19"/>
        <v>0</v>
      </c>
      <c r="BH20" s="253">
        <f t="shared" si="19"/>
        <v>0</v>
      </c>
      <c r="BI20" s="253">
        <f t="shared" si="19"/>
        <v>0</v>
      </c>
      <c r="BJ20" s="253">
        <f t="shared" si="19"/>
        <v>0</v>
      </c>
      <c r="BK20" s="253">
        <f t="shared" si="19"/>
        <v>0</v>
      </c>
      <c r="BL20" s="253">
        <f t="shared" si="19"/>
        <v>0</v>
      </c>
      <c r="BM20" s="253">
        <f t="shared" si="19"/>
        <v>0</v>
      </c>
      <c r="BN20" s="253">
        <f t="shared" ref="BN20:CS20" si="20">BN$8+BN$19</f>
        <v>0</v>
      </c>
      <c r="BO20" s="253">
        <f t="shared" si="20"/>
        <v>0</v>
      </c>
      <c r="BP20" s="253">
        <f t="shared" si="20"/>
        <v>0</v>
      </c>
      <c r="BQ20" s="253">
        <f t="shared" si="20"/>
        <v>0</v>
      </c>
      <c r="BR20" s="253">
        <f t="shared" si="20"/>
        <v>0</v>
      </c>
      <c r="BS20" s="253">
        <f t="shared" si="20"/>
        <v>0</v>
      </c>
      <c r="BT20" s="253">
        <f t="shared" si="20"/>
        <v>0</v>
      </c>
      <c r="BU20" s="253">
        <f t="shared" si="20"/>
        <v>0</v>
      </c>
      <c r="BV20" s="253">
        <f t="shared" si="20"/>
        <v>0</v>
      </c>
      <c r="BW20" s="253">
        <f t="shared" si="20"/>
        <v>0</v>
      </c>
      <c r="BX20" s="253">
        <f t="shared" si="20"/>
        <v>0</v>
      </c>
      <c r="BY20" s="253">
        <f t="shared" si="20"/>
        <v>0</v>
      </c>
      <c r="BZ20" s="253">
        <f t="shared" si="20"/>
        <v>0</v>
      </c>
      <c r="CA20" s="253">
        <f t="shared" si="20"/>
        <v>0</v>
      </c>
      <c r="CB20" s="253">
        <f t="shared" si="20"/>
        <v>0</v>
      </c>
      <c r="CC20" s="253">
        <f t="shared" si="20"/>
        <v>0</v>
      </c>
      <c r="CD20" s="253">
        <f t="shared" si="20"/>
        <v>0</v>
      </c>
      <c r="CE20" s="253">
        <f t="shared" si="20"/>
        <v>0</v>
      </c>
      <c r="CF20" s="253">
        <f t="shared" si="20"/>
        <v>0</v>
      </c>
      <c r="CG20" s="253">
        <f t="shared" si="20"/>
        <v>0</v>
      </c>
      <c r="CH20" s="253">
        <f t="shared" si="20"/>
        <v>0</v>
      </c>
      <c r="CI20" s="253">
        <f t="shared" si="20"/>
        <v>0</v>
      </c>
      <c r="CJ20" s="253">
        <f t="shared" si="20"/>
        <v>0</v>
      </c>
      <c r="CK20" s="253">
        <f t="shared" si="20"/>
        <v>0</v>
      </c>
      <c r="CL20" s="253">
        <f t="shared" si="20"/>
        <v>0</v>
      </c>
      <c r="CM20" s="253">
        <f t="shared" si="20"/>
        <v>0</v>
      </c>
      <c r="CN20" s="253">
        <f t="shared" si="20"/>
        <v>0</v>
      </c>
      <c r="CO20" s="253">
        <f t="shared" si="20"/>
        <v>0</v>
      </c>
      <c r="CP20" s="253">
        <f t="shared" si="20"/>
        <v>0</v>
      </c>
      <c r="CQ20" s="253">
        <f t="shared" si="20"/>
        <v>0</v>
      </c>
      <c r="CR20" s="253">
        <f t="shared" si="20"/>
        <v>0</v>
      </c>
      <c r="CS20" s="253">
        <f t="shared" si="20"/>
        <v>0</v>
      </c>
      <c r="CT20" s="253">
        <f t="shared" ref="CT20:DY20" si="21">CT$8+CT$19</f>
        <v>0</v>
      </c>
      <c r="CU20" s="253">
        <f t="shared" si="21"/>
        <v>0</v>
      </c>
      <c r="CV20" s="253">
        <f t="shared" si="21"/>
        <v>0</v>
      </c>
      <c r="CW20" s="253">
        <f t="shared" si="21"/>
        <v>0</v>
      </c>
      <c r="CX20" s="253">
        <f t="shared" si="21"/>
        <v>0</v>
      </c>
      <c r="CY20" s="253">
        <f t="shared" si="21"/>
        <v>0</v>
      </c>
      <c r="CZ20" s="253">
        <f t="shared" si="21"/>
        <v>0</v>
      </c>
      <c r="DA20" s="253">
        <f t="shared" si="21"/>
        <v>0</v>
      </c>
      <c r="DB20" s="253">
        <f t="shared" si="21"/>
        <v>0</v>
      </c>
      <c r="DC20" s="253">
        <f t="shared" si="21"/>
        <v>0</v>
      </c>
      <c r="DD20" s="253">
        <f t="shared" si="21"/>
        <v>0</v>
      </c>
      <c r="DE20" s="253">
        <f t="shared" si="21"/>
        <v>0</v>
      </c>
      <c r="DF20" s="253">
        <f t="shared" si="21"/>
        <v>0</v>
      </c>
      <c r="DG20" s="253">
        <f t="shared" si="21"/>
        <v>0</v>
      </c>
      <c r="DH20" s="253">
        <f t="shared" si="21"/>
        <v>0</v>
      </c>
      <c r="DI20" s="253">
        <f t="shared" si="21"/>
        <v>0</v>
      </c>
      <c r="DJ20" s="253">
        <f t="shared" si="21"/>
        <v>0</v>
      </c>
      <c r="DK20" s="253">
        <f t="shared" si="21"/>
        <v>0</v>
      </c>
      <c r="DL20" s="253">
        <f t="shared" si="21"/>
        <v>0</v>
      </c>
      <c r="DM20" s="253">
        <f t="shared" si="21"/>
        <v>0</v>
      </c>
      <c r="DN20" s="253">
        <f t="shared" si="21"/>
        <v>0</v>
      </c>
      <c r="DO20" s="253">
        <f t="shared" si="21"/>
        <v>0</v>
      </c>
      <c r="DP20" s="253">
        <f t="shared" si="21"/>
        <v>0</v>
      </c>
      <c r="DQ20" s="253">
        <f t="shared" si="21"/>
        <v>0</v>
      </c>
      <c r="DR20" s="253">
        <f t="shared" si="21"/>
        <v>0</v>
      </c>
      <c r="DS20" s="253">
        <f t="shared" si="21"/>
        <v>0</v>
      </c>
      <c r="DT20" s="253">
        <f t="shared" si="21"/>
        <v>0</v>
      </c>
      <c r="DU20" s="253">
        <f t="shared" si="21"/>
        <v>0</v>
      </c>
      <c r="DV20" s="253">
        <f t="shared" si="21"/>
        <v>0</v>
      </c>
      <c r="DW20" s="253">
        <f t="shared" si="21"/>
        <v>0</v>
      </c>
      <c r="DX20" s="253">
        <f t="shared" si="21"/>
        <v>0</v>
      </c>
      <c r="DY20" s="253">
        <f t="shared" si="21"/>
        <v>0</v>
      </c>
      <c r="DZ20" s="253">
        <f t="shared" ref="DZ20:FE20" si="22">DZ$8+DZ$19</f>
        <v>0</v>
      </c>
      <c r="EA20" s="253">
        <f t="shared" si="22"/>
        <v>0</v>
      </c>
      <c r="EB20" s="253">
        <f t="shared" si="22"/>
        <v>0</v>
      </c>
      <c r="EC20" s="253">
        <f t="shared" si="22"/>
        <v>0</v>
      </c>
      <c r="ED20" s="253">
        <f t="shared" si="22"/>
        <v>0</v>
      </c>
      <c r="EE20" s="253">
        <f t="shared" si="22"/>
        <v>0</v>
      </c>
      <c r="EF20" s="253">
        <f t="shared" si="22"/>
        <v>0</v>
      </c>
      <c r="EG20" s="253">
        <f t="shared" si="22"/>
        <v>0</v>
      </c>
      <c r="EH20" s="253">
        <f t="shared" si="22"/>
        <v>0</v>
      </c>
      <c r="EI20" s="253">
        <f t="shared" si="22"/>
        <v>0</v>
      </c>
      <c r="EJ20" s="253">
        <f t="shared" si="22"/>
        <v>0</v>
      </c>
      <c r="EK20" s="253">
        <f t="shared" si="22"/>
        <v>0</v>
      </c>
      <c r="EL20" s="253">
        <f t="shared" si="22"/>
        <v>0</v>
      </c>
      <c r="EM20" s="253">
        <f t="shared" si="22"/>
        <v>0</v>
      </c>
      <c r="EN20" s="253">
        <f t="shared" si="22"/>
        <v>0</v>
      </c>
      <c r="EO20" s="253">
        <f t="shared" si="22"/>
        <v>0</v>
      </c>
      <c r="EP20" s="253">
        <f t="shared" si="22"/>
        <v>0</v>
      </c>
      <c r="EQ20" s="253">
        <f t="shared" si="22"/>
        <v>0</v>
      </c>
      <c r="ER20" s="253">
        <f t="shared" si="22"/>
        <v>0</v>
      </c>
      <c r="ES20" s="253">
        <f t="shared" si="22"/>
        <v>0</v>
      </c>
      <c r="ET20" s="253">
        <f t="shared" si="22"/>
        <v>0</v>
      </c>
      <c r="EU20" s="253">
        <f t="shared" si="22"/>
        <v>0</v>
      </c>
      <c r="EV20" s="253">
        <f t="shared" si="22"/>
        <v>0</v>
      </c>
      <c r="EW20" s="253">
        <f t="shared" si="22"/>
        <v>0</v>
      </c>
      <c r="EX20" s="253">
        <f t="shared" si="22"/>
        <v>0</v>
      </c>
      <c r="EY20" s="253">
        <f t="shared" si="22"/>
        <v>0</v>
      </c>
      <c r="EZ20" s="253">
        <f t="shared" si="22"/>
        <v>0</v>
      </c>
      <c r="FA20" s="253">
        <f t="shared" si="22"/>
        <v>0</v>
      </c>
      <c r="FB20" s="253">
        <f t="shared" si="22"/>
        <v>0</v>
      </c>
      <c r="FC20" s="253">
        <f t="shared" si="22"/>
        <v>0</v>
      </c>
      <c r="FD20" s="253">
        <f t="shared" si="22"/>
        <v>0</v>
      </c>
      <c r="FE20" s="253">
        <f t="shared" si="22"/>
        <v>0</v>
      </c>
      <c r="FF20" s="253">
        <f t="shared" ref="FF20:FZ20" si="23">FF$8+FF$19</f>
        <v>0</v>
      </c>
      <c r="FG20" s="253">
        <f t="shared" si="23"/>
        <v>0</v>
      </c>
      <c r="FH20" s="253">
        <f t="shared" si="23"/>
        <v>0</v>
      </c>
      <c r="FI20" s="253">
        <f t="shared" si="23"/>
        <v>0</v>
      </c>
      <c r="FJ20" s="253">
        <f t="shared" si="23"/>
        <v>0</v>
      </c>
      <c r="FK20" s="253">
        <f t="shared" si="23"/>
        <v>0</v>
      </c>
      <c r="FL20" s="253">
        <f t="shared" si="23"/>
        <v>0</v>
      </c>
      <c r="FM20" s="253">
        <f t="shared" si="23"/>
        <v>0</v>
      </c>
      <c r="FN20" s="253">
        <f t="shared" si="23"/>
        <v>0</v>
      </c>
      <c r="FO20" s="253">
        <f t="shared" si="23"/>
        <v>0</v>
      </c>
      <c r="FP20" s="253">
        <f t="shared" si="23"/>
        <v>0</v>
      </c>
      <c r="FQ20" s="253">
        <f t="shared" si="23"/>
        <v>0</v>
      </c>
      <c r="FR20" s="253">
        <f t="shared" si="23"/>
        <v>0</v>
      </c>
      <c r="FS20" s="253">
        <f t="shared" si="23"/>
        <v>0</v>
      </c>
      <c r="FT20" s="253">
        <f t="shared" si="23"/>
        <v>0</v>
      </c>
      <c r="FU20" s="253">
        <f t="shared" si="23"/>
        <v>0</v>
      </c>
      <c r="FV20" s="253">
        <f t="shared" si="23"/>
        <v>0</v>
      </c>
      <c r="FW20" s="253">
        <f t="shared" si="23"/>
        <v>0</v>
      </c>
      <c r="FX20" s="253">
        <f t="shared" si="23"/>
        <v>0</v>
      </c>
      <c r="FY20" s="253">
        <f t="shared" si="23"/>
        <v>0</v>
      </c>
      <c r="FZ20" s="253">
        <f t="shared" si="23"/>
        <v>0</v>
      </c>
    </row>
    <row r="21" spans="1:182" ht="15.75" hidden="1" customHeight="1" thickTop="1" x14ac:dyDescent="0.25">
      <c r="A21" s="151" t="s">
        <v>6</v>
      </c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  <c r="AW21" s="152"/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2"/>
      <c r="BK21" s="152"/>
      <c r="BL21" s="152"/>
      <c r="BM21" s="152"/>
      <c r="BN21" s="152"/>
      <c r="BO21" s="152"/>
      <c r="BP21" s="152"/>
      <c r="BQ21" s="152"/>
      <c r="BR21" s="152"/>
      <c r="BS21" s="152"/>
      <c r="BT21" s="152"/>
      <c r="BU21" s="152"/>
      <c r="BV21" s="152"/>
      <c r="BW21" s="152"/>
      <c r="BX21" s="152"/>
      <c r="BY21" s="152"/>
      <c r="BZ21" s="152"/>
      <c r="CA21" s="152"/>
      <c r="CB21" s="152"/>
      <c r="CC21" s="152"/>
      <c r="CD21" s="152"/>
      <c r="CE21" s="152"/>
      <c r="CF21" s="152"/>
      <c r="CG21" s="152"/>
      <c r="CH21" s="152"/>
      <c r="CI21" s="152"/>
      <c r="CJ21" s="152"/>
      <c r="CK21" s="152"/>
      <c r="CL21" s="152"/>
      <c r="CM21" s="152"/>
      <c r="CN21" s="152"/>
      <c r="CO21" s="152"/>
      <c r="CP21" s="152"/>
      <c r="CQ21" s="152"/>
      <c r="CR21" s="152"/>
      <c r="CS21" s="152"/>
      <c r="CT21" s="152"/>
      <c r="CU21" s="152"/>
      <c r="CV21" s="152"/>
      <c r="CW21" s="152"/>
      <c r="CX21" s="152"/>
      <c r="CY21" s="152"/>
      <c r="CZ21" s="152"/>
      <c r="DA21" s="152"/>
      <c r="DB21" s="152"/>
      <c r="DC21" s="152"/>
      <c r="DD21" s="152"/>
      <c r="DE21" s="152"/>
      <c r="DF21" s="152"/>
      <c r="DG21" s="152"/>
      <c r="DH21" s="152"/>
      <c r="DI21" s="152"/>
      <c r="DJ21" s="152"/>
      <c r="DK21" s="152"/>
      <c r="DL21" s="152"/>
      <c r="DM21" s="152"/>
      <c r="DN21" s="152"/>
      <c r="DO21" s="152"/>
      <c r="DP21" s="152"/>
      <c r="DQ21" s="152"/>
      <c r="DR21" s="152"/>
      <c r="DS21" s="152"/>
      <c r="DT21" s="152"/>
      <c r="DU21" s="152"/>
      <c r="DV21" s="152"/>
      <c r="DW21" s="152"/>
      <c r="DX21" s="152"/>
      <c r="DY21" s="152"/>
      <c r="DZ21" s="152"/>
      <c r="EA21" s="152"/>
      <c r="EB21" s="152"/>
      <c r="EC21" s="152"/>
      <c r="ED21" s="152"/>
      <c r="EE21" s="152"/>
      <c r="EF21" s="152"/>
      <c r="EG21" s="152"/>
      <c r="EH21" s="152"/>
      <c r="EI21" s="152"/>
      <c r="EJ21" s="152"/>
      <c r="EK21" s="152"/>
      <c r="EL21" s="152"/>
      <c r="EM21" s="152"/>
      <c r="EN21" s="152"/>
      <c r="EO21" s="152"/>
      <c r="EP21" s="152"/>
      <c r="EQ21" s="152"/>
      <c r="ER21" s="152"/>
      <c r="ES21" s="152"/>
      <c r="ET21" s="152"/>
      <c r="EU21" s="152"/>
      <c r="EV21" s="152"/>
      <c r="EW21" s="152"/>
      <c r="EX21" s="152"/>
      <c r="EY21" s="152"/>
      <c r="EZ21" s="152"/>
      <c r="FA21" s="152"/>
      <c r="FB21" s="152"/>
      <c r="FC21" s="152"/>
      <c r="FD21" s="152"/>
      <c r="FE21" s="152"/>
      <c r="FF21" s="152"/>
      <c r="FG21" s="152"/>
      <c r="FH21" s="152"/>
      <c r="FI21" s="152"/>
      <c r="FJ21" s="152"/>
      <c r="FK21" s="152"/>
      <c r="FL21" s="152"/>
      <c r="FM21" s="152"/>
      <c r="FN21" s="152"/>
      <c r="FO21" s="152"/>
      <c r="FP21" s="152"/>
      <c r="FQ21" s="152"/>
      <c r="FR21" s="152"/>
      <c r="FS21" s="152"/>
      <c r="FT21" s="152"/>
      <c r="FU21" s="152"/>
      <c r="FV21" s="152"/>
      <c r="FW21" s="152"/>
      <c r="FX21" s="152"/>
      <c r="FY21" s="152"/>
      <c r="FZ21" s="152"/>
    </row>
    <row r="22" spans="1:182" ht="15.75" hidden="1" thickBot="1" x14ac:dyDescent="0.3">
      <c r="A22" s="33" t="s">
        <v>275</v>
      </c>
      <c r="B22" s="147">
        <f>IF(B$3&gt;='01_MODELO'!$I$78,IF(B$3&lt;='00_ESTRATEGIA'!$B$5*12,'10_CAPEX-INGRESOS-PAGOS'!$H$35/12*(1+B$3/12*'01_MODELO'!$I$77),0),0)</f>
        <v>0</v>
      </c>
      <c r="C22" s="147">
        <f>IF(C$3&gt;='01_MODELO'!$I$78,IF(C$3&lt;='00_ESTRATEGIA'!$B$5*12,'10_CAPEX-INGRESOS-PAGOS'!$H$35/12*(1+C$3/12*'01_MODELO'!$I$77),0),0)</f>
        <v>0</v>
      </c>
      <c r="D22" s="147">
        <f>IF(D$3&gt;='01_MODELO'!$I$78,IF(D$3&lt;='00_ESTRATEGIA'!$B$5*12,'10_CAPEX-INGRESOS-PAGOS'!$H$35/12*(1+D$3/12*'01_MODELO'!$I$77),0),0)</f>
        <v>0</v>
      </c>
      <c r="E22" s="147">
        <f>IF(E$3&gt;='01_MODELO'!$I$78,IF(E$3&lt;='00_ESTRATEGIA'!$B$5*12,'10_CAPEX-INGRESOS-PAGOS'!$H$35/12*(1+E$3/12*'01_MODELO'!$I$77),0),0)</f>
        <v>0</v>
      </c>
      <c r="F22" s="147">
        <f>IF(F$3&gt;='01_MODELO'!$I$78,IF(F$3&lt;='00_ESTRATEGIA'!$B$5*12,'10_CAPEX-INGRESOS-PAGOS'!$H$35/12*(1+F$3/12*'01_MODELO'!$I$77),0),0)</f>
        <v>0</v>
      </c>
      <c r="G22" s="147">
        <f>IF(G$3&gt;='01_MODELO'!$I$78,IF(G$3&lt;='00_ESTRATEGIA'!$B$5*12,'10_CAPEX-INGRESOS-PAGOS'!$H$35/12*(1+G$3/12*'01_MODELO'!$I$77),0),0)</f>
        <v>0</v>
      </c>
      <c r="H22" s="147">
        <f>IF(H$3&gt;='01_MODELO'!$I$78,IF(H$3&lt;='00_ESTRATEGIA'!$B$5*12,'10_CAPEX-INGRESOS-PAGOS'!$H$35/12*(1+H$3/12*'01_MODELO'!$I$77),0),0)</f>
        <v>0</v>
      </c>
      <c r="I22" s="147">
        <f>IF(I$3&gt;='01_MODELO'!$I$78,IF(I$3&lt;='00_ESTRATEGIA'!$B$5*12,'10_CAPEX-INGRESOS-PAGOS'!$H$35/12*(1+I$3/12*'01_MODELO'!$I$77),0),0)</f>
        <v>0</v>
      </c>
      <c r="J22" s="147">
        <f>IF(J$3&gt;='01_MODELO'!$I$78,IF(J$3&lt;='00_ESTRATEGIA'!$B$5*12,'10_CAPEX-INGRESOS-PAGOS'!$H$35/12*(1+J$3/12*'01_MODELO'!$I$77),0),0)</f>
        <v>0</v>
      </c>
      <c r="K22" s="147">
        <f>IF(K$3&gt;='01_MODELO'!$I$78,IF(K$3&lt;='00_ESTRATEGIA'!$B$5*12,'10_CAPEX-INGRESOS-PAGOS'!$H$35/12*(1+K$3/12*'01_MODELO'!$I$77),0),0)</f>
        <v>0</v>
      </c>
      <c r="L22" s="147">
        <f>IF(L$3&gt;='01_MODELO'!$I$78,IF(L$3&lt;='00_ESTRATEGIA'!$B$5*12,'10_CAPEX-INGRESOS-PAGOS'!$H$35/12*(1+L$3/12*'01_MODELO'!$I$77),0),0)</f>
        <v>0</v>
      </c>
      <c r="M22" s="147">
        <f>IF(M$3&gt;='01_MODELO'!$I$78,IF(M$3&lt;='00_ESTRATEGIA'!$B$5*12,'10_CAPEX-INGRESOS-PAGOS'!$H$35/12*(1+M$3/12*'01_MODELO'!$I$77),0),0)</f>
        <v>0</v>
      </c>
      <c r="N22" s="147">
        <f>IF(N$3&gt;='01_MODELO'!$I$78,IF(N$3&lt;='00_ESTRATEGIA'!$B$5*12,'10_CAPEX-INGRESOS-PAGOS'!$H$35/12*(1+N$3/12*'01_MODELO'!$I$77),0),0)</f>
        <v>0</v>
      </c>
      <c r="O22" s="147">
        <f>IF(O$3&gt;='01_MODELO'!$I$78,IF(O$3&lt;='00_ESTRATEGIA'!$B$5*12,'10_CAPEX-INGRESOS-PAGOS'!$H$35/12*(1+O$3/12*'01_MODELO'!$I$77),0),0)</f>
        <v>0</v>
      </c>
      <c r="P22" s="147">
        <f>IF(P$3&gt;='01_MODELO'!$I$78,IF(P$3&lt;='00_ESTRATEGIA'!$B$5*12,'10_CAPEX-INGRESOS-PAGOS'!$H$35/12*(1+P$3/12*'01_MODELO'!$I$77),0),0)</f>
        <v>0</v>
      </c>
      <c r="Q22" s="147">
        <f>IF(Q$3&gt;='01_MODELO'!$I$78,IF(Q$3&lt;='00_ESTRATEGIA'!$B$5*12,'10_CAPEX-INGRESOS-PAGOS'!$H$35/12*(1+Q$3/12*'01_MODELO'!$I$77),0),0)</f>
        <v>0</v>
      </c>
      <c r="R22" s="147">
        <f>IF(R$3&gt;='01_MODELO'!$I$78,IF(R$3&lt;='00_ESTRATEGIA'!$B$5*12,'10_CAPEX-INGRESOS-PAGOS'!$H$35/12*(1+R$3/12*'01_MODELO'!$I$77),0),0)</f>
        <v>0</v>
      </c>
      <c r="S22" s="147">
        <f>IF(S$3&gt;='01_MODELO'!$I$78,IF(S$3&lt;='00_ESTRATEGIA'!$B$5*12,'10_CAPEX-INGRESOS-PAGOS'!$H$35/12*(1+S$3/12*'01_MODELO'!$I$77),0),0)</f>
        <v>0</v>
      </c>
      <c r="T22" s="147">
        <f>IF(T$3&gt;='01_MODELO'!$I$78,IF(T$3&lt;='00_ESTRATEGIA'!$B$5*12,'10_CAPEX-INGRESOS-PAGOS'!$H$35/12*(1+T$3/12*'01_MODELO'!$I$77),0),0)</f>
        <v>0</v>
      </c>
      <c r="U22" s="147">
        <f>IF(U$3&gt;='01_MODELO'!$I$78,IF(U$3&lt;='00_ESTRATEGIA'!$B$5*12,'10_CAPEX-INGRESOS-PAGOS'!$H$35/12*(1+U$3/12*'01_MODELO'!$I$77),0),0)</f>
        <v>0</v>
      </c>
      <c r="V22" s="147">
        <f>IF(V$3&gt;='01_MODELO'!$I$78,IF(V$3&lt;='00_ESTRATEGIA'!$B$5*12,'10_CAPEX-INGRESOS-PAGOS'!$H$35/12*(1+V$3/12*'01_MODELO'!$I$77),0),0)</f>
        <v>0</v>
      </c>
      <c r="W22" s="147">
        <f>IF(W$3&gt;='01_MODELO'!$I$78,IF(W$3&lt;='00_ESTRATEGIA'!$B$5*12,'10_CAPEX-INGRESOS-PAGOS'!$H$35/12*(1+W$3/12*'01_MODELO'!$I$77),0),0)</f>
        <v>0</v>
      </c>
      <c r="X22" s="147">
        <f>IF(X$3&gt;='01_MODELO'!$I$78,IF(X$3&lt;='00_ESTRATEGIA'!$B$5*12,'10_CAPEX-INGRESOS-PAGOS'!$H$35/12*(1+X$3/12*'01_MODELO'!$I$77),0),0)</f>
        <v>0</v>
      </c>
      <c r="Y22" s="147">
        <f>IF(Y$3&gt;='01_MODELO'!$I$78,IF(Y$3&lt;='00_ESTRATEGIA'!$B$5*12,'10_CAPEX-INGRESOS-PAGOS'!$H$35/12*(1+Y$3/12*'01_MODELO'!$I$77),0),0)</f>
        <v>0</v>
      </c>
      <c r="Z22" s="147">
        <f>IF(Z$3&gt;='01_MODELO'!$I$78,IF(Z$3&lt;='00_ESTRATEGIA'!$B$5*12,'10_CAPEX-INGRESOS-PAGOS'!$H$35/12*(1+Z$3/12*'01_MODELO'!$I$77),0),0)</f>
        <v>0</v>
      </c>
      <c r="AA22" s="147">
        <f>IF(AA$3&gt;='01_MODELO'!$I$78,IF(AA$3&lt;='00_ESTRATEGIA'!$B$5*12,'10_CAPEX-INGRESOS-PAGOS'!$H$35/12*(1+AA$3/12*'01_MODELO'!$I$77),0),0)</f>
        <v>0</v>
      </c>
      <c r="AB22" s="147">
        <f>IF(AB$3&gt;='01_MODELO'!$I$78,IF(AB$3&lt;='00_ESTRATEGIA'!$B$5*12,'10_CAPEX-INGRESOS-PAGOS'!$H$35/12*(1+AB$3/12*'01_MODELO'!$I$77),0),0)</f>
        <v>0</v>
      </c>
      <c r="AC22" s="147">
        <f>IF(AC$3&gt;='01_MODELO'!$I$78,IF(AC$3&lt;='00_ESTRATEGIA'!$B$5*12,'10_CAPEX-INGRESOS-PAGOS'!$H$35/12*(1+AC$3/12*'01_MODELO'!$I$77),0),0)</f>
        <v>0</v>
      </c>
      <c r="AD22" s="147">
        <f>IF(AD$3&gt;='01_MODELO'!$I$78,IF(AD$3&lt;='00_ESTRATEGIA'!$B$5*12,'10_CAPEX-INGRESOS-PAGOS'!$H$35/12*(1+AD$3/12*'01_MODELO'!$I$77),0),0)</f>
        <v>0</v>
      </c>
      <c r="AE22" s="147">
        <f>IF(AE$3&gt;='01_MODELO'!$I$78,IF(AE$3&lt;='00_ESTRATEGIA'!$B$5*12,'10_CAPEX-INGRESOS-PAGOS'!$H$35/12*(1+AE$3/12*'01_MODELO'!$I$77),0),0)</f>
        <v>0</v>
      </c>
      <c r="AF22" s="147">
        <f>IF(AF$3&gt;='01_MODELO'!$I$78,IF(AF$3&lt;='00_ESTRATEGIA'!$B$5*12,'10_CAPEX-INGRESOS-PAGOS'!$H$35/12*(1+AF$3/12*'01_MODELO'!$I$77),0),0)</f>
        <v>0</v>
      </c>
      <c r="AG22" s="147">
        <f>IF(AG$3&gt;='01_MODELO'!$I$78,IF(AG$3&lt;='00_ESTRATEGIA'!$B$5*12,'10_CAPEX-INGRESOS-PAGOS'!$H$35/12*(1+AG$3/12*'01_MODELO'!$I$77),0),0)</f>
        <v>0</v>
      </c>
      <c r="AH22" s="147">
        <f>IF(AH$3&gt;='01_MODELO'!$I$78,IF(AH$3&lt;='00_ESTRATEGIA'!$B$5*12,'10_CAPEX-INGRESOS-PAGOS'!$H$35/12*(1+AH$3/12*'01_MODELO'!$I$77),0),0)</f>
        <v>0</v>
      </c>
      <c r="AI22" s="147">
        <f>IF(AI$3&gt;='01_MODELO'!$I$78,IF(AI$3&lt;='00_ESTRATEGIA'!$B$5*12,'10_CAPEX-INGRESOS-PAGOS'!$H$35/12*(1+AI$3/12*'01_MODELO'!$I$77),0),0)</f>
        <v>0</v>
      </c>
      <c r="AJ22" s="147">
        <f>IF(AJ$3&gt;='01_MODELO'!$I$78,IF(AJ$3&lt;='00_ESTRATEGIA'!$B$5*12,'10_CAPEX-INGRESOS-PAGOS'!$H$35/12*(1+AJ$3/12*'01_MODELO'!$I$77),0),0)</f>
        <v>0</v>
      </c>
      <c r="AK22" s="147">
        <f>IF(AK$3&gt;='01_MODELO'!$I$78,IF(AK$3&lt;='00_ESTRATEGIA'!$B$5*12,'10_CAPEX-INGRESOS-PAGOS'!$H$35/12*(1+AK$3/12*'01_MODELO'!$I$77),0),0)</f>
        <v>24632.024901666562</v>
      </c>
      <c r="AL22" s="147">
        <f>IF(AL$3&gt;='01_MODELO'!$I$78,IF(AL$3&lt;='00_ESTRATEGIA'!$B$5*12,'10_CAPEX-INGRESOS-PAGOS'!$H$35/12*(1+AL$3/12*'01_MODELO'!$I$77),0),0)</f>
        <v>24661.524332686524</v>
      </c>
      <c r="AM22" s="147">
        <f>IF(AM$3&gt;='01_MODELO'!$I$78,IF(AM$3&lt;='00_ESTRATEGIA'!$B$5*12,'10_CAPEX-INGRESOS-PAGOS'!$H$35/12*(1+AM$3/12*'01_MODELO'!$I$77),0),0)</f>
        <v>24691.023763706482</v>
      </c>
      <c r="AN22" s="147">
        <f>IF(AN$3&gt;='01_MODELO'!$I$78,IF(AN$3&lt;='00_ESTRATEGIA'!$B$5*12,'10_CAPEX-INGRESOS-PAGOS'!$H$35/12*(1+AN$3/12*'01_MODELO'!$I$77),0),0)</f>
        <v>24720.523194726447</v>
      </c>
      <c r="AO22" s="147">
        <f>IF(AO$3&gt;='01_MODELO'!$I$78,IF(AO$3&lt;='00_ESTRATEGIA'!$B$5*12,'10_CAPEX-INGRESOS-PAGOS'!$H$35/12*(1+AO$3/12*'01_MODELO'!$I$77),0),0)</f>
        <v>24750.022625746406</v>
      </c>
      <c r="AP22" s="147">
        <f>IF(AP$3&gt;='01_MODELO'!$I$78,IF(AP$3&lt;='00_ESTRATEGIA'!$B$5*12,'10_CAPEX-INGRESOS-PAGOS'!$H$35/12*(1+AP$3/12*'01_MODELO'!$I$77),0),0)</f>
        <v>24779.522056766364</v>
      </c>
      <c r="AQ22" s="147">
        <f>IF(AQ$3&gt;='01_MODELO'!$I$78,IF(AQ$3&lt;='00_ESTRATEGIA'!$B$5*12,'10_CAPEX-INGRESOS-PAGOS'!$H$35/12*(1+AQ$3/12*'01_MODELO'!$I$77),0),0)</f>
        <v>24809.021487786325</v>
      </c>
      <c r="AR22" s="147">
        <f>IF(AR$3&gt;='01_MODELO'!$I$78,IF(AR$3&lt;='00_ESTRATEGIA'!$B$5*12,'10_CAPEX-INGRESOS-PAGOS'!$H$35/12*(1+AR$3/12*'01_MODELO'!$I$77),0),0)</f>
        <v>24838.520918806284</v>
      </c>
      <c r="AS22" s="147">
        <f>IF(AS$3&gt;='01_MODELO'!$I$78,IF(AS$3&lt;='00_ESTRATEGIA'!$B$5*12,'10_CAPEX-INGRESOS-PAGOS'!$H$35/12*(1+AS$3/12*'01_MODELO'!$I$77),0),0)</f>
        <v>24868.020349826242</v>
      </c>
      <c r="AT22" s="147">
        <f>IF(AT$3&gt;='01_MODELO'!$I$78,IF(AT$3&lt;='00_ESTRATEGIA'!$B$5*12,'10_CAPEX-INGRESOS-PAGOS'!$H$35/12*(1+AT$3/12*'01_MODELO'!$I$77),0),0)</f>
        <v>24897.519780846204</v>
      </c>
      <c r="AU22" s="147">
        <f>IF(AU$3&gt;='01_MODELO'!$I$78,IF(AU$3&lt;='00_ESTRATEGIA'!$B$5*12,'10_CAPEX-INGRESOS-PAGOS'!$H$35/12*(1+AU$3/12*'01_MODELO'!$I$77),0),0)</f>
        <v>24927.019211866162</v>
      </c>
      <c r="AV22" s="147">
        <f>IF(AV$3&gt;='01_MODELO'!$I$78,IF(AV$3&lt;='00_ESTRATEGIA'!$B$5*12,'10_CAPEX-INGRESOS-PAGOS'!$H$35/12*(1+AV$3/12*'01_MODELO'!$I$77),0),0)</f>
        <v>24956.518642886127</v>
      </c>
      <c r="AW22" s="147">
        <f>IF(AW$3&gt;='01_MODELO'!$I$78,IF(AW$3&lt;='00_ESTRATEGIA'!$B$5*12,'10_CAPEX-INGRESOS-PAGOS'!$H$35/12*(1+AW$3/12*'01_MODELO'!$I$77),0),0)</f>
        <v>24986.018073906085</v>
      </c>
      <c r="AX22" s="147">
        <f>IF(AX$3&gt;='01_MODELO'!$I$78,IF(AX$3&lt;='00_ESTRATEGIA'!$B$5*12,'10_CAPEX-INGRESOS-PAGOS'!$H$35/12*(1+AX$3/12*'01_MODELO'!$I$77),0),0)</f>
        <v>25015.517504926043</v>
      </c>
      <c r="AY22" s="147">
        <f>IF(AY$3&gt;='01_MODELO'!$I$78,IF(AY$3&lt;='00_ESTRATEGIA'!$B$5*12,'10_CAPEX-INGRESOS-PAGOS'!$H$35/12*(1+AY$3/12*'01_MODELO'!$I$77),0),0)</f>
        <v>25045.016935946005</v>
      </c>
      <c r="AZ22" s="147">
        <f>IF(AZ$3&gt;='01_MODELO'!$I$78,IF(AZ$3&lt;='00_ESTRATEGIA'!$B$5*12,'10_CAPEX-INGRESOS-PAGOS'!$H$35/12*(1+AZ$3/12*'01_MODELO'!$I$77),0),0)</f>
        <v>25074.516366965963</v>
      </c>
      <c r="BA22" s="147">
        <f>IF(BA$3&gt;='01_MODELO'!$I$78,IF(BA$3&lt;='00_ESTRATEGIA'!$B$5*12,'10_CAPEX-INGRESOS-PAGOS'!$H$35/12*(1+BA$3/12*'01_MODELO'!$I$77),0),0)</f>
        <v>25104.015797985921</v>
      </c>
      <c r="BB22" s="147">
        <f>IF(BB$3&gt;='01_MODELO'!$I$78,IF(BB$3&lt;='00_ESTRATEGIA'!$B$5*12,'10_CAPEX-INGRESOS-PAGOS'!$H$35/12*(1+BB$3/12*'01_MODELO'!$I$77),0),0)</f>
        <v>25133.515229005883</v>
      </c>
      <c r="BC22" s="147">
        <f>IF(BC$3&gt;='01_MODELO'!$I$78,IF(BC$3&lt;='00_ESTRATEGIA'!$B$5*12,'10_CAPEX-INGRESOS-PAGOS'!$H$35/12*(1+BC$3/12*'01_MODELO'!$I$77),0),0)</f>
        <v>25163.014660025841</v>
      </c>
      <c r="BD22" s="147">
        <f>IF(BD$3&gt;='01_MODELO'!$I$78,IF(BD$3&lt;='00_ESTRATEGIA'!$B$5*12,'10_CAPEX-INGRESOS-PAGOS'!$H$35/12*(1+BD$3/12*'01_MODELO'!$I$77),0),0)</f>
        <v>25192.514091045799</v>
      </c>
      <c r="BE22" s="147">
        <f>IF(BE$3&gt;='01_MODELO'!$I$78,IF(BE$3&lt;='00_ESTRATEGIA'!$B$5*12,'10_CAPEX-INGRESOS-PAGOS'!$H$35/12*(1+BE$3/12*'01_MODELO'!$I$77),0),0)</f>
        <v>25222.013522065765</v>
      </c>
      <c r="BF22" s="147">
        <f>IF(BF$3&gt;='01_MODELO'!$I$78,IF(BF$3&lt;='00_ESTRATEGIA'!$B$5*12,'10_CAPEX-INGRESOS-PAGOS'!$H$35/12*(1+BF$3/12*'01_MODELO'!$I$77),0),0)</f>
        <v>25251.512953085723</v>
      </c>
      <c r="BG22" s="147">
        <f>IF(BG$3&gt;='01_MODELO'!$I$78,IF(BG$3&lt;='00_ESTRATEGIA'!$B$5*12,'10_CAPEX-INGRESOS-PAGOS'!$H$35/12*(1+BG$3/12*'01_MODELO'!$I$77),0),0)</f>
        <v>25281.012384105685</v>
      </c>
      <c r="BH22" s="147">
        <f>IF(BH$3&gt;='01_MODELO'!$I$78,IF(BH$3&lt;='00_ESTRATEGIA'!$B$5*12,'10_CAPEX-INGRESOS-PAGOS'!$H$35/12*(1+BH$3/12*'01_MODELO'!$I$77),0),0)</f>
        <v>25310.511815125643</v>
      </c>
      <c r="BI22" s="147">
        <f>IF(BI$3&gt;='01_MODELO'!$I$78,IF(BI$3&lt;='00_ESTRATEGIA'!$B$5*12,'10_CAPEX-INGRESOS-PAGOS'!$H$35/12*(1+BI$3/12*'01_MODELO'!$I$77),0),0)</f>
        <v>25340.011246145601</v>
      </c>
      <c r="BJ22" s="147">
        <f>IF(BJ$3&gt;='01_MODELO'!$I$78,IF(BJ$3&lt;='00_ESTRATEGIA'!$B$5*12,'10_CAPEX-INGRESOS-PAGOS'!$H$35/12*(1+BJ$3/12*'01_MODELO'!$I$77),0),0)</f>
        <v>25369.510677165563</v>
      </c>
      <c r="BK22" s="147">
        <f>IF(BK$3&gt;='01_MODELO'!$I$78,IF(BK$3&lt;='00_ESTRATEGIA'!$B$5*12,'10_CAPEX-INGRESOS-PAGOS'!$H$35/12*(1+BK$3/12*'01_MODELO'!$I$77),0),0)</f>
        <v>25399.010108185521</v>
      </c>
      <c r="BL22" s="147">
        <f>IF(BL$3&gt;='01_MODELO'!$I$78,IF(BL$3&lt;='00_ESTRATEGIA'!$B$5*12,'10_CAPEX-INGRESOS-PAGOS'!$H$35/12*(1+BL$3/12*'01_MODELO'!$I$77),0),0)</f>
        <v>25428.509539205479</v>
      </c>
      <c r="BM22" s="147">
        <f>IF(BM$3&gt;='01_MODELO'!$I$78,IF(BM$3&lt;='00_ESTRATEGIA'!$B$5*12,'10_CAPEX-INGRESOS-PAGOS'!$H$35/12*(1+BM$3/12*'01_MODELO'!$I$77),0),0)</f>
        <v>25458.008970225445</v>
      </c>
      <c r="BN22" s="147">
        <f>IF(BN$3&gt;='01_MODELO'!$I$78,IF(BN$3&lt;='00_ESTRATEGIA'!$B$5*12,'10_CAPEX-INGRESOS-PAGOS'!$H$35/12*(1+BN$3/12*'01_MODELO'!$I$77),0),0)</f>
        <v>25487.508401245403</v>
      </c>
      <c r="BO22" s="147">
        <f>IF(BO$3&gt;='01_MODELO'!$I$78,IF(BO$3&lt;='00_ESTRATEGIA'!$B$5*12,'10_CAPEX-INGRESOS-PAGOS'!$H$35/12*(1+BO$3/12*'01_MODELO'!$I$77),0),0)</f>
        <v>25517.007832265364</v>
      </c>
      <c r="BP22" s="147">
        <f>IF(BP$3&gt;='01_MODELO'!$I$78,IF(BP$3&lt;='00_ESTRATEGIA'!$B$5*12,'10_CAPEX-INGRESOS-PAGOS'!$H$35/12*(1+BP$3/12*'01_MODELO'!$I$77),0),0)</f>
        <v>25546.507263285323</v>
      </c>
      <c r="BQ22" s="147">
        <f>IF(BQ$3&gt;='01_MODELO'!$I$78,IF(BQ$3&lt;='00_ESTRATEGIA'!$B$5*12,'10_CAPEX-INGRESOS-PAGOS'!$H$35/12*(1+BQ$3/12*'01_MODELO'!$I$77),0),0)</f>
        <v>25576.006694305281</v>
      </c>
      <c r="BR22" s="147">
        <f>IF(BR$3&gt;='01_MODELO'!$I$78,IF(BR$3&lt;='00_ESTRATEGIA'!$B$5*12,'10_CAPEX-INGRESOS-PAGOS'!$H$35/12*(1+BR$3/12*'01_MODELO'!$I$77),0),0)</f>
        <v>25605.506125325242</v>
      </c>
      <c r="BS22" s="147">
        <f>IF(BS$3&gt;='01_MODELO'!$I$78,IF(BS$3&lt;='00_ESTRATEGIA'!$B$5*12,'10_CAPEX-INGRESOS-PAGOS'!$H$35/12*(1+BS$3/12*'01_MODELO'!$I$77),0),0)</f>
        <v>25635.005556345201</v>
      </c>
      <c r="BT22" s="147">
        <f>IF(BT$3&gt;='01_MODELO'!$I$78,IF(BT$3&lt;='00_ESTRATEGIA'!$B$5*12,'10_CAPEX-INGRESOS-PAGOS'!$H$35/12*(1+BT$3/12*'01_MODELO'!$I$77),0),0)</f>
        <v>25664.504987365159</v>
      </c>
      <c r="BU22" s="147">
        <f>IF(BU$3&gt;='01_MODELO'!$I$78,IF(BU$3&lt;='00_ESTRATEGIA'!$B$5*12,'10_CAPEX-INGRESOS-PAGOS'!$H$35/12*(1+BU$3/12*'01_MODELO'!$I$77),0),0)</f>
        <v>25694.004418385124</v>
      </c>
      <c r="BV22" s="147">
        <f>IF(BV$3&gt;='01_MODELO'!$I$78,IF(BV$3&lt;='00_ESTRATEGIA'!$B$5*12,'10_CAPEX-INGRESOS-PAGOS'!$H$35/12*(1+BV$3/12*'01_MODELO'!$I$77),0),0)</f>
        <v>25723.503849405086</v>
      </c>
      <c r="BW22" s="147">
        <f>IF(BW$3&gt;='01_MODELO'!$I$78,IF(BW$3&lt;='00_ESTRATEGIA'!$B$5*12,'10_CAPEX-INGRESOS-PAGOS'!$H$35/12*(1+BW$3/12*'01_MODELO'!$I$77),0),0)</f>
        <v>25753.003280425044</v>
      </c>
      <c r="BX22" s="147">
        <f>IF(BX$3&gt;='01_MODELO'!$I$78,IF(BX$3&lt;='00_ESTRATEGIA'!$B$5*12,'10_CAPEX-INGRESOS-PAGOS'!$H$35/12*(1+BX$3/12*'01_MODELO'!$I$77),0),0)</f>
        <v>25782.502711445002</v>
      </c>
      <c r="BY22" s="147">
        <f>IF(BY$3&gt;='01_MODELO'!$I$78,IF(BY$3&lt;='00_ESTRATEGIA'!$B$5*12,'10_CAPEX-INGRESOS-PAGOS'!$H$35/12*(1+BY$3/12*'01_MODELO'!$I$77),0),0)</f>
        <v>25812.00214246496</v>
      </c>
      <c r="BZ22" s="147">
        <f>IF(BZ$3&gt;='01_MODELO'!$I$78,IF(BZ$3&lt;='00_ESTRATEGIA'!$B$5*12,'10_CAPEX-INGRESOS-PAGOS'!$H$35/12*(1+BZ$3/12*'01_MODELO'!$I$77),0),0)</f>
        <v>25841.501573484922</v>
      </c>
      <c r="CA22" s="147">
        <f>IF(CA$3&gt;='01_MODELO'!$I$78,IF(CA$3&lt;='00_ESTRATEGIA'!$B$5*12,'10_CAPEX-INGRESOS-PAGOS'!$H$35/12*(1+CA$3/12*'01_MODELO'!$I$77),0),0)</f>
        <v>25871.00100450488</v>
      </c>
      <c r="CB22" s="147">
        <f>IF(CB$3&gt;='01_MODELO'!$I$78,IF(CB$3&lt;='00_ESTRATEGIA'!$B$5*12,'10_CAPEX-INGRESOS-PAGOS'!$H$35/12*(1+CB$3/12*'01_MODELO'!$I$77),0),0)</f>
        <v>25900.500435524838</v>
      </c>
      <c r="CC22" s="147">
        <f>IF(CC$3&gt;='01_MODELO'!$I$78,IF(CC$3&lt;='00_ESTRATEGIA'!$B$5*12,'10_CAPEX-INGRESOS-PAGOS'!$H$35/12*(1+CC$3/12*'01_MODELO'!$I$77),0),0)</f>
        <v>25929.9998665448</v>
      </c>
      <c r="CD22" s="147">
        <f>IF(CD$3&gt;='01_MODELO'!$I$78,IF(CD$3&lt;='00_ESTRATEGIA'!$B$5*12,'10_CAPEX-INGRESOS-PAGOS'!$H$35/12*(1+CD$3/12*'01_MODELO'!$I$77),0),0)</f>
        <v>25959.499297564766</v>
      </c>
      <c r="CE22" s="147">
        <f>IF(CE$3&gt;='01_MODELO'!$I$78,IF(CE$3&lt;='00_ESTRATEGIA'!$B$5*12,'10_CAPEX-INGRESOS-PAGOS'!$H$35/12*(1+CE$3/12*'01_MODELO'!$I$77),0),0)</f>
        <v>25988.998728584724</v>
      </c>
      <c r="CF22" s="147">
        <f>IF(CF$3&gt;='01_MODELO'!$I$78,IF(CF$3&lt;='00_ESTRATEGIA'!$B$5*12,'10_CAPEX-INGRESOS-PAGOS'!$H$35/12*(1+CF$3/12*'01_MODELO'!$I$77),0),0)</f>
        <v>26018.498159604682</v>
      </c>
      <c r="CG22" s="147">
        <f>IF(CG$3&gt;='01_MODELO'!$I$78,IF(CG$3&lt;='00_ESTRATEGIA'!$B$5*12,'10_CAPEX-INGRESOS-PAGOS'!$H$35/12*(1+CG$3/12*'01_MODELO'!$I$77),0),0)</f>
        <v>26047.997590624644</v>
      </c>
      <c r="CH22" s="147">
        <f>IF(CH$3&gt;='01_MODELO'!$I$78,IF(CH$3&lt;='00_ESTRATEGIA'!$B$5*12,'10_CAPEX-INGRESOS-PAGOS'!$H$35/12*(1+CH$3/12*'01_MODELO'!$I$77),0),0)</f>
        <v>26077.497021644602</v>
      </c>
      <c r="CI22" s="147">
        <f>IF(CI$3&gt;='01_MODELO'!$I$78,IF(CI$3&lt;='00_ESTRATEGIA'!$B$5*12,'10_CAPEX-INGRESOS-PAGOS'!$H$35/12*(1+CI$3/12*'01_MODELO'!$I$77),0),0)</f>
        <v>26106.99645266456</v>
      </c>
      <c r="CJ22" s="147">
        <f>IF(CJ$3&gt;='01_MODELO'!$I$78,IF(CJ$3&lt;='00_ESTRATEGIA'!$B$5*12,'10_CAPEX-INGRESOS-PAGOS'!$H$35/12*(1+CJ$3/12*'01_MODELO'!$I$77),0),0)</f>
        <v>26136.495883684522</v>
      </c>
      <c r="CK22" s="147">
        <f>IF(CK$3&gt;='01_MODELO'!$I$78,IF(CK$3&lt;='00_ESTRATEGIA'!$B$5*12,'10_CAPEX-INGRESOS-PAGOS'!$H$35/12*(1+CK$3/12*'01_MODELO'!$I$77),0),0)</f>
        <v>26165.99531470448</v>
      </c>
      <c r="CL22" s="147">
        <f>IF(CL$3&gt;='01_MODELO'!$I$78,IF(CL$3&lt;='00_ESTRATEGIA'!$B$5*12,'10_CAPEX-INGRESOS-PAGOS'!$H$35/12*(1+CL$3/12*'01_MODELO'!$I$77),0),0)</f>
        <v>26195.494745724438</v>
      </c>
      <c r="CM22" s="147">
        <f>IF(CM$3&gt;='01_MODELO'!$I$78,IF(CM$3&lt;='00_ESTRATEGIA'!$B$5*12,'10_CAPEX-INGRESOS-PAGOS'!$H$35/12*(1+CM$3/12*'01_MODELO'!$I$77),0),0)</f>
        <v>26224.994176744403</v>
      </c>
      <c r="CN22" s="147">
        <f>IF(CN$3&gt;='01_MODELO'!$I$78,IF(CN$3&lt;='00_ESTRATEGIA'!$B$5*12,'10_CAPEX-INGRESOS-PAGOS'!$H$35/12*(1+CN$3/12*'01_MODELO'!$I$77),0),0)</f>
        <v>26254.493607764362</v>
      </c>
      <c r="CO22" s="147">
        <f>IF(CO$3&gt;='01_MODELO'!$I$78,IF(CO$3&lt;='00_ESTRATEGIA'!$B$5*12,'10_CAPEX-INGRESOS-PAGOS'!$H$35/12*(1+CO$3/12*'01_MODELO'!$I$77),0),0)</f>
        <v>26283.993038784323</v>
      </c>
      <c r="CP22" s="147">
        <f>IF(CP$3&gt;='01_MODELO'!$I$78,IF(CP$3&lt;='00_ESTRATEGIA'!$B$5*12,'10_CAPEX-INGRESOS-PAGOS'!$H$35/12*(1+CP$3/12*'01_MODELO'!$I$77),0),0)</f>
        <v>26313.492469804281</v>
      </c>
      <c r="CQ22" s="147">
        <f>IF(CQ$3&gt;='01_MODELO'!$I$78,IF(CQ$3&lt;='00_ESTRATEGIA'!$B$5*12,'10_CAPEX-INGRESOS-PAGOS'!$H$35/12*(1+CQ$3/12*'01_MODELO'!$I$77),0),0)</f>
        <v>26342.99190082424</v>
      </c>
      <c r="CR22" s="147">
        <f>IF(CR$3&gt;='01_MODELO'!$I$78,IF(CR$3&lt;='00_ESTRATEGIA'!$B$5*12,'10_CAPEX-INGRESOS-PAGOS'!$H$35/12*(1+CR$3/12*'01_MODELO'!$I$77),0),0)</f>
        <v>26372.491331844201</v>
      </c>
      <c r="CS22" s="147">
        <f>IF(CS$3&gt;='01_MODELO'!$I$78,IF(CS$3&lt;='00_ESTRATEGIA'!$B$5*12,'10_CAPEX-INGRESOS-PAGOS'!$H$35/12*(1+CS$3/12*'01_MODELO'!$I$77),0),0)</f>
        <v>26401.990762864159</v>
      </c>
      <c r="CT22" s="147">
        <f>IF(CT$3&gt;='01_MODELO'!$I$78,IF(CT$3&lt;='00_ESTRATEGIA'!$B$5*12,'10_CAPEX-INGRESOS-PAGOS'!$H$35/12*(1+CT$3/12*'01_MODELO'!$I$77),0),0)</f>
        <v>26431.490193884125</v>
      </c>
      <c r="CU22" s="147">
        <f>IF(CU$3&gt;='01_MODELO'!$I$78,IF(CU$3&lt;='00_ESTRATEGIA'!$B$5*12,'10_CAPEX-INGRESOS-PAGOS'!$H$35/12*(1+CU$3/12*'01_MODELO'!$I$77),0),0)</f>
        <v>26460.989624904083</v>
      </c>
      <c r="CV22" s="147">
        <f>IF(CV$3&gt;='01_MODELO'!$I$78,IF(CV$3&lt;='00_ESTRATEGIA'!$B$5*12,'10_CAPEX-INGRESOS-PAGOS'!$H$35/12*(1+CV$3/12*'01_MODELO'!$I$77),0),0)</f>
        <v>26490.489055924041</v>
      </c>
      <c r="CW22" s="147">
        <f>IF(CW$3&gt;='01_MODELO'!$I$78,IF(CW$3&lt;='00_ESTRATEGIA'!$B$5*12,'10_CAPEX-INGRESOS-PAGOS'!$H$35/12*(1+CW$3/12*'01_MODELO'!$I$77),0),0)</f>
        <v>26519.988486944003</v>
      </c>
      <c r="CX22" s="147">
        <f>IF(CX$3&gt;='01_MODELO'!$I$78,IF(CX$3&lt;='00_ESTRATEGIA'!$B$5*12,'10_CAPEX-INGRESOS-PAGOS'!$H$35/12*(1+CX$3/12*'01_MODELO'!$I$77),0),0)</f>
        <v>26549.487917963961</v>
      </c>
      <c r="CY22" s="147">
        <f>IF(CY$3&gt;='01_MODELO'!$I$78,IF(CY$3&lt;='00_ESTRATEGIA'!$B$5*12,'10_CAPEX-INGRESOS-PAGOS'!$H$35/12*(1+CY$3/12*'01_MODELO'!$I$77),0),0)</f>
        <v>26578.987348983919</v>
      </c>
      <c r="CZ22" s="147">
        <f>IF(CZ$3&gt;='01_MODELO'!$I$78,IF(CZ$3&lt;='00_ESTRATEGIA'!$B$5*12,'10_CAPEX-INGRESOS-PAGOS'!$H$35/12*(1+CZ$3/12*'01_MODELO'!$I$77),0),0)</f>
        <v>26608.486780003881</v>
      </c>
      <c r="DA22" s="147">
        <f>IF(DA$3&gt;='01_MODELO'!$I$78,IF(DA$3&lt;='00_ESTRATEGIA'!$B$5*12,'10_CAPEX-INGRESOS-PAGOS'!$H$35/12*(1+DA$3/12*'01_MODELO'!$I$77),0),0)</f>
        <v>26637.986211023839</v>
      </c>
      <c r="DB22" s="147">
        <f>IF(DB$3&gt;='01_MODELO'!$I$78,IF(DB$3&lt;='00_ESTRATEGIA'!$B$5*12,'10_CAPEX-INGRESOS-PAGOS'!$H$35/12*(1+DB$3/12*'01_MODELO'!$I$77),0),0)</f>
        <v>26667.485642043797</v>
      </c>
      <c r="DC22" s="147">
        <f>IF(DC$3&gt;='01_MODELO'!$I$78,IF(DC$3&lt;='00_ESTRATEGIA'!$B$5*12,'10_CAPEX-INGRESOS-PAGOS'!$H$35/12*(1+DC$3/12*'01_MODELO'!$I$77),0),0)</f>
        <v>26696.985073063763</v>
      </c>
      <c r="DD22" s="147">
        <f>IF(DD$3&gt;='01_MODELO'!$I$78,IF(DD$3&lt;='00_ESTRATEGIA'!$B$5*12,'10_CAPEX-INGRESOS-PAGOS'!$H$35/12*(1+DD$3/12*'01_MODELO'!$I$77),0),0)</f>
        <v>26726.484504083721</v>
      </c>
      <c r="DE22" s="147">
        <f>IF(DE$3&gt;='01_MODELO'!$I$78,IF(DE$3&lt;='00_ESTRATEGIA'!$B$5*12,'10_CAPEX-INGRESOS-PAGOS'!$H$35/12*(1+DE$3/12*'01_MODELO'!$I$77),0),0)</f>
        <v>26755.983935103683</v>
      </c>
      <c r="DF22" s="147">
        <f>IF(DF$3&gt;='01_MODELO'!$I$78,IF(DF$3&lt;='00_ESTRATEGIA'!$B$5*12,'10_CAPEX-INGRESOS-PAGOS'!$H$35/12*(1+DF$3/12*'01_MODELO'!$I$77),0),0)</f>
        <v>26785.483366123641</v>
      </c>
      <c r="DG22" s="147">
        <f>IF(DG$3&gt;='01_MODELO'!$I$78,IF(DG$3&lt;='00_ESTRATEGIA'!$B$5*12,'10_CAPEX-INGRESOS-PAGOS'!$H$35/12*(1+DG$3/12*'01_MODELO'!$I$77),0),0)</f>
        <v>26814.982797143599</v>
      </c>
      <c r="DH22" s="147">
        <f>IF(DH$3&gt;='01_MODELO'!$I$78,IF(DH$3&lt;='00_ESTRATEGIA'!$B$5*12,'10_CAPEX-INGRESOS-PAGOS'!$H$35/12*(1+DH$3/12*'01_MODELO'!$I$77),0),0)</f>
        <v>26844.482228163561</v>
      </c>
      <c r="DI22" s="147">
        <f>IF(DI$3&gt;='01_MODELO'!$I$78,IF(DI$3&lt;='00_ESTRATEGIA'!$B$5*12,'10_CAPEX-INGRESOS-PAGOS'!$H$35/12*(1+DI$3/12*'01_MODELO'!$I$77),0),0)</f>
        <v>26873.981659183519</v>
      </c>
      <c r="DJ22" s="147">
        <f>IF(DJ$3&gt;='01_MODELO'!$I$78,IF(DJ$3&lt;='00_ESTRATEGIA'!$B$5*12,'10_CAPEX-INGRESOS-PAGOS'!$H$35/12*(1+DJ$3/12*'01_MODELO'!$I$77),0),0)</f>
        <v>26903.481090203484</v>
      </c>
      <c r="DK22" s="147">
        <f>IF(DK$3&gt;='01_MODELO'!$I$78,IF(DK$3&lt;='00_ESTRATEGIA'!$B$5*12,'10_CAPEX-INGRESOS-PAGOS'!$H$35/12*(1+DK$3/12*'01_MODELO'!$I$77),0),0)</f>
        <v>26932.980521223439</v>
      </c>
      <c r="DL22" s="147">
        <f>IF(DL$3&gt;='01_MODELO'!$I$78,IF(DL$3&lt;='00_ESTRATEGIA'!$B$5*12,'10_CAPEX-INGRESOS-PAGOS'!$H$35/12*(1+DL$3/12*'01_MODELO'!$I$77),0),0)</f>
        <v>26962.4799522434</v>
      </c>
      <c r="DM22" s="147">
        <f>IF(DM$3&gt;='01_MODELO'!$I$78,IF(DM$3&lt;='00_ESTRATEGIA'!$B$5*12,'10_CAPEX-INGRESOS-PAGOS'!$H$35/12*(1+DM$3/12*'01_MODELO'!$I$77),0),0)</f>
        <v>26991.979383263362</v>
      </c>
      <c r="DN22" s="147">
        <f>IF(DN$3&gt;='01_MODELO'!$I$78,IF(DN$3&lt;='00_ESTRATEGIA'!$B$5*12,'10_CAPEX-INGRESOS-PAGOS'!$H$35/12*(1+DN$3/12*'01_MODELO'!$I$77),0),0)</f>
        <v>27021.47881428332</v>
      </c>
      <c r="DO22" s="147">
        <f>IF(DO$3&gt;='01_MODELO'!$I$78,IF(DO$3&lt;='00_ESTRATEGIA'!$B$5*12,'10_CAPEX-INGRESOS-PAGOS'!$H$35/12*(1+DO$3/12*'01_MODELO'!$I$77),0),0)</f>
        <v>27050.978245303279</v>
      </c>
      <c r="DP22" s="147">
        <f>IF(DP$3&gt;='01_MODELO'!$I$78,IF(DP$3&lt;='00_ESTRATEGIA'!$B$5*12,'10_CAPEX-INGRESOS-PAGOS'!$H$35/12*(1+DP$3/12*'01_MODELO'!$I$77),0),0)</f>
        <v>27080.47767632324</v>
      </c>
      <c r="DQ22" s="147">
        <f>IF(DQ$3&gt;='01_MODELO'!$I$78,IF(DQ$3&lt;='00_ESTRATEGIA'!$B$5*12,'10_CAPEX-INGRESOS-PAGOS'!$H$35/12*(1+DQ$3/12*'01_MODELO'!$I$77),0),0)</f>
        <v>27109.977107343198</v>
      </c>
      <c r="DR22" s="147">
        <f>IF(DR$3&gt;='01_MODELO'!$I$78,IF(DR$3&lt;='00_ESTRATEGIA'!$B$5*12,'10_CAPEX-INGRESOS-PAGOS'!$H$35/12*(1+DR$3/12*'01_MODELO'!$I$77),0),0)</f>
        <v>27139.476538363157</v>
      </c>
      <c r="DS22" s="147">
        <f>IF(DS$3&gt;='01_MODELO'!$I$78,IF(DS$3&lt;='00_ESTRATEGIA'!$B$5*12,'10_CAPEX-INGRESOS-PAGOS'!$H$35/12*(1+DS$3/12*'01_MODELO'!$I$77),0),0)</f>
        <v>27168.975969383122</v>
      </c>
      <c r="DT22" s="147">
        <f>IF(DT$3&gt;='01_MODELO'!$I$78,IF(DT$3&lt;='00_ESTRATEGIA'!$B$5*12,'10_CAPEX-INGRESOS-PAGOS'!$H$35/12*(1+DT$3/12*'01_MODELO'!$I$77),0),0)</f>
        <v>27198.475400403084</v>
      </c>
      <c r="DU22" s="147">
        <f>IF(DU$3&gt;='01_MODELO'!$I$78,IF(DU$3&lt;='00_ESTRATEGIA'!$B$5*12,'10_CAPEX-INGRESOS-PAGOS'!$H$35/12*(1+DU$3/12*'01_MODELO'!$I$77),0),0)</f>
        <v>27227.974831423042</v>
      </c>
      <c r="DV22" s="147">
        <f>IF(DV$3&gt;='01_MODELO'!$I$78,IF(DV$3&lt;='00_ESTRATEGIA'!$B$5*12,'10_CAPEX-INGRESOS-PAGOS'!$H$35/12*(1+DV$3/12*'01_MODELO'!$I$77),0),0)</f>
        <v>27257.474262443</v>
      </c>
      <c r="DW22" s="147">
        <f>IF(DW$3&gt;='01_MODELO'!$I$78,IF(DW$3&lt;='00_ESTRATEGIA'!$B$5*12,'10_CAPEX-INGRESOS-PAGOS'!$H$35/12*(1+DW$3/12*'01_MODELO'!$I$77),0),0)</f>
        <v>27286.973693462962</v>
      </c>
      <c r="DX22" s="147">
        <f>IF(DX$3&gt;='01_MODELO'!$I$78,IF(DX$3&lt;='00_ESTRATEGIA'!$B$5*12,'10_CAPEX-INGRESOS-PAGOS'!$H$35/12*(1+DX$3/12*'01_MODELO'!$I$77),0),0)</f>
        <v>27316.47312448292</v>
      </c>
      <c r="DY22" s="147">
        <f>IF(DY$3&gt;='01_MODELO'!$I$78,IF(DY$3&lt;='00_ESTRATEGIA'!$B$5*12,'10_CAPEX-INGRESOS-PAGOS'!$H$35/12*(1+DY$3/12*'01_MODELO'!$I$77),0),0)</f>
        <v>27345.972555502878</v>
      </c>
      <c r="DZ22" s="147">
        <f>IF(DZ$3&gt;='01_MODELO'!$I$78,IF(DZ$3&lt;='00_ESTRATEGIA'!$B$5*12,'10_CAPEX-INGRESOS-PAGOS'!$H$35/12*(1+DZ$3/12*'01_MODELO'!$I$77),0),0)</f>
        <v>27375.471986522836</v>
      </c>
      <c r="EA22" s="147">
        <f>IF(EA$3&gt;='01_MODELO'!$I$78,IF(EA$3&lt;='00_ESTRATEGIA'!$B$5*12,'10_CAPEX-INGRESOS-PAGOS'!$H$35/12*(1+EA$3/12*'01_MODELO'!$I$77),0),0)</f>
        <v>27404.971417542798</v>
      </c>
      <c r="EB22" s="147">
        <f>IF(EB$3&gt;='01_MODELO'!$I$78,IF(EB$3&lt;='00_ESTRATEGIA'!$B$5*12,'10_CAPEX-INGRESOS-PAGOS'!$H$35/12*(1+EB$3/12*'01_MODELO'!$I$77),0),0)</f>
        <v>27434.470848562763</v>
      </c>
      <c r="EC22" s="147">
        <f>IF(EC$3&gt;='01_MODELO'!$I$78,IF(EC$3&lt;='00_ESTRATEGIA'!$B$5*12,'10_CAPEX-INGRESOS-PAGOS'!$H$35/12*(1+EC$3/12*'01_MODELO'!$I$77),0),0)</f>
        <v>27463.970279582722</v>
      </c>
      <c r="ED22" s="147">
        <f>IF(ED$3&gt;='01_MODELO'!$I$78,IF(ED$3&lt;='00_ESTRATEGIA'!$B$5*12,'10_CAPEX-INGRESOS-PAGOS'!$H$35/12*(1+ED$3/12*'01_MODELO'!$I$77),0),0)</f>
        <v>27493.46971060268</v>
      </c>
      <c r="EE22" s="147">
        <f>IF(EE$3&gt;='01_MODELO'!$I$78,IF(EE$3&lt;='00_ESTRATEGIA'!$B$5*12,'10_CAPEX-INGRESOS-PAGOS'!$H$35/12*(1+EE$3/12*'01_MODELO'!$I$77),0),0)</f>
        <v>27522.969141622641</v>
      </c>
      <c r="EF22" s="147">
        <f>IF(EF$3&gt;='01_MODELO'!$I$78,IF(EF$3&lt;='00_ESTRATEGIA'!$B$5*12,'10_CAPEX-INGRESOS-PAGOS'!$H$35/12*(1+EF$3/12*'01_MODELO'!$I$77),0),0)</f>
        <v>27552.4685726426</v>
      </c>
      <c r="EG22" s="147">
        <f>IF(EG$3&gt;='01_MODELO'!$I$78,IF(EG$3&lt;='00_ESTRATEGIA'!$B$5*12,'10_CAPEX-INGRESOS-PAGOS'!$H$35/12*(1+EG$3/12*'01_MODELO'!$I$77),0),0)</f>
        <v>27581.968003662558</v>
      </c>
      <c r="EH22" s="147">
        <f>IF(EH$3&gt;='01_MODELO'!$I$78,IF(EH$3&lt;='00_ESTRATEGIA'!$B$5*12,'10_CAPEX-INGRESOS-PAGOS'!$H$35/12*(1+EH$3/12*'01_MODELO'!$I$77),0),0)</f>
        <v>27611.46743468252</v>
      </c>
      <c r="EI22" s="147">
        <f>IF(EI$3&gt;='01_MODELO'!$I$78,IF(EI$3&lt;='00_ESTRATEGIA'!$B$5*12,'10_CAPEX-INGRESOS-PAGOS'!$H$35/12*(1+EI$3/12*'01_MODELO'!$I$77),0),0)</f>
        <v>27640.966865702478</v>
      </c>
      <c r="EJ22" s="147">
        <f>IF(EJ$3&gt;='01_MODELO'!$I$78,IF(EJ$3&lt;='00_ESTRATEGIA'!$B$5*12,'10_CAPEX-INGRESOS-PAGOS'!$H$35/12*(1+EJ$3/12*'01_MODELO'!$I$77),0),0)</f>
        <v>27670.466296722436</v>
      </c>
      <c r="EK22" s="147">
        <f>IF(EK$3&gt;='01_MODELO'!$I$78,IF(EK$3&lt;='00_ESTRATEGIA'!$B$5*12,'10_CAPEX-INGRESOS-PAGOS'!$H$35/12*(1+EK$3/12*'01_MODELO'!$I$77),0),0)</f>
        <v>27699.965727742401</v>
      </c>
      <c r="EL22" s="147">
        <f>IF(EL$3&gt;='01_MODELO'!$I$78,IF(EL$3&lt;='00_ESTRATEGIA'!$B$5*12,'10_CAPEX-INGRESOS-PAGOS'!$H$35/12*(1+EL$3/12*'01_MODELO'!$I$77),0),0)</f>
        <v>27729.465158762359</v>
      </c>
      <c r="EM22" s="147">
        <f>IF(EM$3&gt;='01_MODELO'!$I$78,IF(EM$3&lt;='00_ESTRATEGIA'!$B$5*12,'10_CAPEX-INGRESOS-PAGOS'!$H$35/12*(1+EM$3/12*'01_MODELO'!$I$77),0),0)</f>
        <v>27758.964589782321</v>
      </c>
      <c r="EN22" s="147">
        <f>IF(EN$3&gt;='01_MODELO'!$I$78,IF(EN$3&lt;='00_ESTRATEGIA'!$B$5*12,'10_CAPEX-INGRESOS-PAGOS'!$H$35/12*(1+EN$3/12*'01_MODELO'!$I$77),0),0)</f>
        <v>27788.464020802279</v>
      </c>
      <c r="EO22" s="147">
        <f>IF(EO$3&gt;='01_MODELO'!$I$78,IF(EO$3&lt;='00_ESTRATEGIA'!$B$5*12,'10_CAPEX-INGRESOS-PAGOS'!$H$35/12*(1+EO$3/12*'01_MODELO'!$I$77),0),0)</f>
        <v>27817.963451822237</v>
      </c>
      <c r="EP22" s="147">
        <f>IF(EP$3&gt;='01_MODELO'!$I$78,IF(EP$3&lt;='00_ESTRATEGIA'!$B$5*12,'10_CAPEX-INGRESOS-PAGOS'!$H$35/12*(1+EP$3/12*'01_MODELO'!$I$77),0),0)</f>
        <v>27847.462882842199</v>
      </c>
      <c r="EQ22" s="147">
        <f>IF(EQ$3&gt;='01_MODELO'!$I$78,IF(EQ$3&lt;='00_ESTRATEGIA'!$B$5*12,'10_CAPEX-INGRESOS-PAGOS'!$H$35/12*(1+EQ$3/12*'01_MODELO'!$I$77),0),0)</f>
        <v>27876.962313862157</v>
      </c>
      <c r="ER22" s="147">
        <f>IF(ER$3&gt;='01_MODELO'!$I$78,IF(ER$3&lt;='00_ESTRATEGIA'!$B$5*12,'10_CAPEX-INGRESOS-PAGOS'!$H$35/12*(1+ER$3/12*'01_MODELO'!$I$77),0),0)</f>
        <v>27906.461744882123</v>
      </c>
      <c r="ES22" s="147">
        <f>IF(ES$3&gt;='01_MODELO'!$I$78,IF(ES$3&lt;='00_ESTRATEGIA'!$B$5*12,'10_CAPEX-INGRESOS-PAGOS'!$H$35/12*(1+ES$3/12*'01_MODELO'!$I$77),0),0)</f>
        <v>27935.961175902081</v>
      </c>
      <c r="ET22" s="147">
        <f>IF(ET$3&gt;='01_MODELO'!$I$78,IF(ET$3&lt;='00_ESTRATEGIA'!$B$5*12,'10_CAPEX-INGRESOS-PAGOS'!$H$35/12*(1+ET$3/12*'01_MODELO'!$I$77),0),0)</f>
        <v>27965.460606922039</v>
      </c>
      <c r="EU22" s="147">
        <f>IF(EU$3&gt;='01_MODELO'!$I$78,IF(EU$3&lt;='00_ESTRATEGIA'!$B$5*12,'10_CAPEX-INGRESOS-PAGOS'!$H$35/12*(1+EU$3/12*'01_MODELO'!$I$77),0),0)</f>
        <v>27994.960037942001</v>
      </c>
      <c r="EV22" s="147">
        <f>IF(EV$3&gt;='01_MODELO'!$I$78,IF(EV$3&lt;='00_ESTRATEGIA'!$B$5*12,'10_CAPEX-INGRESOS-PAGOS'!$H$35/12*(1+EV$3/12*'01_MODELO'!$I$77),0),0)</f>
        <v>28024.459468961959</v>
      </c>
      <c r="EW22" s="147">
        <f>IF(EW$3&gt;='01_MODELO'!$I$78,IF(EW$3&lt;='00_ESTRATEGIA'!$B$5*12,'10_CAPEX-INGRESOS-PAGOS'!$H$35/12*(1+EW$3/12*'01_MODELO'!$I$77),0),0)</f>
        <v>28053.958899981917</v>
      </c>
      <c r="EX22" s="147">
        <f>IF(EX$3&gt;='01_MODELO'!$I$78,IF(EX$3&lt;='00_ESTRATEGIA'!$B$5*12,'10_CAPEX-INGRESOS-PAGOS'!$H$35/12*(1+EX$3/12*'01_MODELO'!$I$77),0),0)</f>
        <v>28083.458331001879</v>
      </c>
      <c r="EY22" s="147">
        <f>IF(EY$3&gt;='01_MODELO'!$I$78,IF(EY$3&lt;='00_ESTRATEGIA'!$B$5*12,'10_CAPEX-INGRESOS-PAGOS'!$H$35/12*(1+EY$3/12*'01_MODELO'!$I$77),0),0)</f>
        <v>28112.957762021837</v>
      </c>
      <c r="EZ22" s="147">
        <f>IF(EZ$3&gt;='01_MODELO'!$I$78,IF(EZ$3&lt;='00_ESTRATEGIA'!$B$5*12,'10_CAPEX-INGRESOS-PAGOS'!$H$35/12*(1+EZ$3/12*'01_MODELO'!$I$77),0),0)</f>
        <v>28142.457193041795</v>
      </c>
      <c r="FA22" s="147">
        <f>IF(FA$3&gt;='01_MODELO'!$I$78,IF(FA$3&lt;='00_ESTRATEGIA'!$B$5*12,'10_CAPEX-INGRESOS-PAGOS'!$H$35/12*(1+FA$3/12*'01_MODELO'!$I$77),0),0)</f>
        <v>28171.956624061761</v>
      </c>
      <c r="FB22" s="147">
        <f>IF(FB$3&gt;='01_MODELO'!$I$78,IF(FB$3&lt;='00_ESTRATEGIA'!$B$5*12,'10_CAPEX-INGRESOS-PAGOS'!$H$35/12*(1+FB$3/12*'01_MODELO'!$I$77),0),0)</f>
        <v>28201.456055081719</v>
      </c>
      <c r="FC22" s="147">
        <f>IF(FC$3&gt;='01_MODELO'!$I$78,IF(FC$3&lt;='00_ESTRATEGIA'!$B$5*12,'10_CAPEX-INGRESOS-PAGOS'!$H$35/12*(1+FC$3/12*'01_MODELO'!$I$77),0),0)</f>
        <v>28230.95548610168</v>
      </c>
      <c r="FD22" s="147">
        <f>IF(FD$3&gt;='01_MODELO'!$I$78,IF(FD$3&lt;='00_ESTRATEGIA'!$B$5*12,'10_CAPEX-INGRESOS-PAGOS'!$H$35/12*(1+FD$3/12*'01_MODELO'!$I$77),0),0)</f>
        <v>28260.454917121639</v>
      </c>
      <c r="FE22" s="147">
        <f>IF(FE$3&gt;='01_MODELO'!$I$78,IF(FE$3&lt;='00_ESTRATEGIA'!$B$5*12,'10_CAPEX-INGRESOS-PAGOS'!$H$35/12*(1+FE$3/12*'01_MODELO'!$I$77),0),0)</f>
        <v>28289.954348141597</v>
      </c>
      <c r="FF22" s="147">
        <f>IF(FF$3&gt;='01_MODELO'!$I$78,IF(FF$3&lt;='00_ESTRATEGIA'!$B$5*12,'10_CAPEX-INGRESOS-PAGOS'!$H$35/12*(1+FF$3/12*'01_MODELO'!$I$77),0),0)</f>
        <v>28319.453779161558</v>
      </c>
      <c r="FG22" s="147">
        <f>IF(FG$3&gt;='01_MODELO'!$I$78,IF(FG$3&lt;='00_ESTRATEGIA'!$B$5*12,'10_CAPEX-INGRESOS-PAGOS'!$H$35/12*(1+FG$3/12*'01_MODELO'!$I$77),0),0)</f>
        <v>28348.953210181517</v>
      </c>
      <c r="FH22" s="147">
        <f>IF(FH$3&gt;='01_MODELO'!$I$78,IF(FH$3&lt;='00_ESTRATEGIA'!$B$5*12,'10_CAPEX-INGRESOS-PAGOS'!$H$35/12*(1+FH$3/12*'01_MODELO'!$I$77),0),0)</f>
        <v>28378.452641201475</v>
      </c>
      <c r="FI22" s="147">
        <f>IF(FI$3&gt;='01_MODELO'!$I$78,IF(FI$3&lt;='00_ESTRATEGIA'!$B$5*12,'10_CAPEX-INGRESOS-PAGOS'!$H$35/12*(1+FI$3/12*'01_MODELO'!$I$77),0),0)</f>
        <v>28407.95207222144</v>
      </c>
      <c r="FJ22" s="147">
        <f>IF(FJ$3&gt;='01_MODELO'!$I$78,IF(FJ$3&lt;='00_ESTRATEGIA'!$B$5*12,'10_CAPEX-INGRESOS-PAGOS'!$H$35/12*(1+FJ$3/12*'01_MODELO'!$I$77),0),0)</f>
        <v>28437.451503241398</v>
      </c>
      <c r="FK22" s="147">
        <f>IF(FK$3&gt;='01_MODELO'!$I$78,IF(FK$3&lt;='00_ESTRATEGIA'!$B$5*12,'10_CAPEX-INGRESOS-PAGOS'!$H$35/12*(1+FK$3/12*'01_MODELO'!$I$77),0),0)</f>
        <v>28466.95093426136</v>
      </c>
      <c r="FL22" s="147">
        <f>IF(FL$3&gt;='01_MODELO'!$I$78,IF(FL$3&lt;='00_ESTRATEGIA'!$B$5*12,'10_CAPEX-INGRESOS-PAGOS'!$H$35/12*(1+FL$3/12*'01_MODELO'!$I$77),0),0)</f>
        <v>28496.450365281318</v>
      </c>
      <c r="FM22" s="147">
        <f>IF(FM$3&gt;='01_MODELO'!$I$78,IF(FM$3&lt;='00_ESTRATEGIA'!$B$5*12,'10_CAPEX-INGRESOS-PAGOS'!$H$35/12*(1+FM$3/12*'01_MODELO'!$I$77),0),0)</f>
        <v>28525.949796301276</v>
      </c>
      <c r="FN22" s="147">
        <f>IF(FN$3&gt;='01_MODELO'!$I$78,IF(FN$3&lt;='00_ESTRATEGIA'!$B$5*12,'10_CAPEX-INGRESOS-PAGOS'!$H$35/12*(1+FN$3/12*'01_MODELO'!$I$77),0),0)</f>
        <v>28555.449227321238</v>
      </c>
      <c r="FO22" s="147">
        <f>IF(FO$3&gt;='01_MODELO'!$I$78,IF(FO$3&lt;='00_ESTRATEGIA'!$B$5*12,'10_CAPEX-INGRESOS-PAGOS'!$H$35/12*(1+FO$3/12*'01_MODELO'!$I$77),0),0)</f>
        <v>28584.948658341196</v>
      </c>
      <c r="FP22" s="147">
        <f>IF(FP$3&gt;='01_MODELO'!$I$78,IF(FP$3&lt;='00_ESTRATEGIA'!$B$5*12,'10_CAPEX-INGRESOS-PAGOS'!$H$35/12*(1+FP$3/12*'01_MODELO'!$I$77),0),0)</f>
        <v>28614.448089361154</v>
      </c>
      <c r="FQ22" s="147">
        <f>IF(FQ$3&gt;='01_MODELO'!$I$78,IF(FQ$3&lt;='00_ESTRATEGIA'!$B$5*12,'10_CAPEX-INGRESOS-PAGOS'!$H$35/12*(1+FQ$3/12*'01_MODELO'!$I$77),0),0)</f>
        <v>28643.94752038112</v>
      </c>
      <c r="FR22" s="147">
        <f>IF(FR$3&gt;='01_MODELO'!$I$78,IF(FR$3&lt;='00_ESTRATEGIA'!$B$5*12,'10_CAPEX-INGRESOS-PAGOS'!$H$35/12*(1+FR$3/12*'01_MODELO'!$I$77),0),0)</f>
        <v>28673.446951401082</v>
      </c>
      <c r="FS22" s="147">
        <f>IF(FS$3&gt;='01_MODELO'!$I$78,IF(FS$3&lt;='00_ESTRATEGIA'!$B$5*12,'10_CAPEX-INGRESOS-PAGOS'!$H$35/12*(1+FS$3/12*'01_MODELO'!$I$77),0),0)</f>
        <v>28702.94638242104</v>
      </c>
      <c r="FT22" s="147">
        <f>IF(FT$3&gt;='01_MODELO'!$I$78,IF(FT$3&lt;='00_ESTRATEGIA'!$B$5*12,'10_CAPEX-INGRESOS-PAGOS'!$H$35/12*(1+FT$3/12*'01_MODELO'!$I$77),0),0)</f>
        <v>28732.445813440998</v>
      </c>
      <c r="FU22" s="147">
        <f>IF(FU$3&gt;='01_MODELO'!$I$78,IF(FU$3&lt;='00_ESTRATEGIA'!$B$5*12,'10_CAPEX-INGRESOS-PAGOS'!$H$35/12*(1+FU$3/12*'01_MODELO'!$I$77),0),0)</f>
        <v>28761.945244460956</v>
      </c>
      <c r="FV22" s="147">
        <f>IF(FV$3&gt;='01_MODELO'!$I$78,IF(FV$3&lt;='00_ESTRATEGIA'!$B$5*12,'10_CAPEX-INGRESOS-PAGOS'!$H$35/12*(1+FV$3/12*'01_MODELO'!$I$77),0),0)</f>
        <v>28791.444675480918</v>
      </c>
      <c r="FW22" s="147">
        <f>IF(FW$3&gt;='01_MODELO'!$I$78,IF(FW$3&lt;='00_ESTRATEGIA'!$B$5*12,'10_CAPEX-INGRESOS-PAGOS'!$H$35/12*(1+FW$3/12*'01_MODELO'!$I$77),0),0)</f>
        <v>28820.944106500876</v>
      </c>
      <c r="FX22" s="147">
        <f>IF(FX$3&gt;='01_MODELO'!$I$78,IF(FX$3&lt;='00_ESTRATEGIA'!$B$5*12,'10_CAPEX-INGRESOS-PAGOS'!$H$35/12*(1+FX$3/12*'01_MODELO'!$I$77),0),0)</f>
        <v>28850.443537520834</v>
      </c>
      <c r="FY22" s="147">
        <f>IF(FY$3&gt;='01_MODELO'!$I$78,IF(FY$3&lt;='00_ESTRATEGIA'!$B$5*12,'10_CAPEX-INGRESOS-PAGOS'!$H$35/12*(1+FY$3/12*'01_MODELO'!$I$77),0),0)</f>
        <v>28879.942968540796</v>
      </c>
      <c r="FZ22" s="147">
        <f>IF(FZ$3&gt;='01_MODELO'!$I$78,IF(FZ$3&lt;='00_ESTRATEGIA'!$B$5*12,'10_CAPEX-INGRESOS-PAGOS'!$H$35/12*(1+FZ$3/12*'01_MODELO'!$I$77),0),0)</f>
        <v>28909.442399560761</v>
      </c>
    </row>
    <row r="23" spans="1:182" ht="15.75" hidden="1" thickBot="1" x14ac:dyDescent="0.3">
      <c r="A23" s="154" t="s">
        <v>276</v>
      </c>
      <c r="B23" s="147">
        <f>B$22*'01_MODELO'!$I$75</f>
        <v>0</v>
      </c>
      <c r="C23" s="147">
        <f>C$22*'01_MODELO'!$I$75</f>
        <v>0</v>
      </c>
      <c r="D23" s="147">
        <f>D$22*'01_MODELO'!$I$75</f>
        <v>0</v>
      </c>
      <c r="E23" s="147">
        <f>E$22*'01_MODELO'!$I$75</f>
        <v>0</v>
      </c>
      <c r="F23" s="147">
        <f>F$22*'01_MODELO'!$I$75</f>
        <v>0</v>
      </c>
      <c r="G23" s="147">
        <f>G$22*'01_MODELO'!$I$75</f>
        <v>0</v>
      </c>
      <c r="H23" s="147">
        <f>H$22*'01_MODELO'!$I$75</f>
        <v>0</v>
      </c>
      <c r="I23" s="147">
        <f>I$22*'01_MODELO'!$I$75</f>
        <v>0</v>
      </c>
      <c r="J23" s="147">
        <f>J$22*'01_MODELO'!$I$75</f>
        <v>0</v>
      </c>
      <c r="K23" s="147">
        <f>K$22*'01_MODELO'!$I$75</f>
        <v>0</v>
      </c>
      <c r="L23" s="147">
        <f>L$22*'01_MODELO'!$I$75</f>
        <v>0</v>
      </c>
      <c r="M23" s="147">
        <f>M$22*'01_MODELO'!$I$75</f>
        <v>0</v>
      </c>
      <c r="N23" s="147">
        <f>N$22*'01_MODELO'!$I$75</f>
        <v>0</v>
      </c>
      <c r="O23" s="147">
        <f>O$22*'01_MODELO'!$I$75</f>
        <v>0</v>
      </c>
      <c r="P23" s="147">
        <f>P$22*'01_MODELO'!$I$75</f>
        <v>0</v>
      </c>
      <c r="Q23" s="147">
        <f>Q$22*'01_MODELO'!$I$75</f>
        <v>0</v>
      </c>
      <c r="R23" s="147">
        <f>R$22*'01_MODELO'!$I$75</f>
        <v>0</v>
      </c>
      <c r="S23" s="147">
        <f>S$22*'01_MODELO'!$I$75</f>
        <v>0</v>
      </c>
      <c r="T23" s="147">
        <f>T$22*'01_MODELO'!$I$75</f>
        <v>0</v>
      </c>
      <c r="U23" s="147">
        <f>U$22*'01_MODELO'!$I$75</f>
        <v>0</v>
      </c>
      <c r="V23" s="147">
        <f>V$22*'01_MODELO'!$I$75</f>
        <v>0</v>
      </c>
      <c r="W23" s="147">
        <f>W$22*'01_MODELO'!$I$75</f>
        <v>0</v>
      </c>
      <c r="X23" s="147">
        <f>X$22*'01_MODELO'!$I$75</f>
        <v>0</v>
      </c>
      <c r="Y23" s="147">
        <f>Y$22*'01_MODELO'!$I$75</f>
        <v>0</v>
      </c>
      <c r="Z23" s="147">
        <f>Z$22*'01_MODELO'!$I$75</f>
        <v>0</v>
      </c>
      <c r="AA23" s="147">
        <f>AA$22*'01_MODELO'!$I$75</f>
        <v>0</v>
      </c>
      <c r="AB23" s="147">
        <f>AB$22*'01_MODELO'!$I$75</f>
        <v>0</v>
      </c>
      <c r="AC23" s="147">
        <f>AC$22*'01_MODELO'!$I$75</f>
        <v>0</v>
      </c>
      <c r="AD23" s="147">
        <f>AD$22*'01_MODELO'!$I$75</f>
        <v>0</v>
      </c>
      <c r="AE23" s="147">
        <f>AE$22*'01_MODELO'!$I$75</f>
        <v>0</v>
      </c>
      <c r="AF23" s="147">
        <f>AF$22*'01_MODELO'!$I$75</f>
        <v>0</v>
      </c>
      <c r="AG23" s="147">
        <f>AG$22*'01_MODELO'!$I$75</f>
        <v>0</v>
      </c>
      <c r="AH23" s="147">
        <f>AH$22*'01_MODELO'!$I$75</f>
        <v>0</v>
      </c>
      <c r="AI23" s="147">
        <f>AI$22*'01_MODELO'!$I$75</f>
        <v>0</v>
      </c>
      <c r="AJ23" s="147">
        <f>AJ$22*'01_MODELO'!$I$75</f>
        <v>0</v>
      </c>
      <c r="AK23" s="147">
        <f>AK$22*'01_MODELO'!$I$75</f>
        <v>6896.9669724666383</v>
      </c>
      <c r="AL23" s="147">
        <f>AL$22*'01_MODELO'!$I$75</f>
        <v>6905.2268131522269</v>
      </c>
      <c r="AM23" s="147">
        <f>AM$22*'01_MODELO'!$I$75</f>
        <v>6913.4866538378155</v>
      </c>
      <c r="AN23" s="147">
        <f>AN$22*'01_MODELO'!$I$75</f>
        <v>6921.746494523406</v>
      </c>
      <c r="AO23" s="147">
        <f>AO$22*'01_MODELO'!$I$75</f>
        <v>6930.0063352089946</v>
      </c>
      <c r="AP23" s="147">
        <f>AP$22*'01_MODELO'!$I$75</f>
        <v>6938.2661758945824</v>
      </c>
      <c r="AQ23" s="147">
        <f>AQ$22*'01_MODELO'!$I$75</f>
        <v>6946.5260165801719</v>
      </c>
      <c r="AR23" s="147">
        <f>AR$22*'01_MODELO'!$I$75</f>
        <v>6954.7858572657597</v>
      </c>
      <c r="AS23" s="147">
        <f>AS$22*'01_MODELO'!$I$75</f>
        <v>6963.0456979513483</v>
      </c>
      <c r="AT23" s="147">
        <f>AT$22*'01_MODELO'!$I$75</f>
        <v>6971.3055386369379</v>
      </c>
      <c r="AU23" s="147">
        <f>AU$22*'01_MODELO'!$I$75</f>
        <v>6979.5653793225256</v>
      </c>
      <c r="AV23" s="147">
        <f>AV$22*'01_MODELO'!$I$75</f>
        <v>6987.825220008116</v>
      </c>
      <c r="AW23" s="147">
        <f>AW$22*'01_MODELO'!$I$75</f>
        <v>6996.0850606937047</v>
      </c>
      <c r="AX23" s="147">
        <f>AX$22*'01_MODELO'!$I$75</f>
        <v>7004.3449013792924</v>
      </c>
      <c r="AY23" s="147">
        <f>AY$22*'01_MODELO'!$I$75</f>
        <v>7012.604742064882</v>
      </c>
      <c r="AZ23" s="147">
        <f>AZ$22*'01_MODELO'!$I$75</f>
        <v>7020.8645827504706</v>
      </c>
      <c r="BA23" s="147">
        <f>BA$22*'01_MODELO'!$I$75</f>
        <v>7029.1244234360584</v>
      </c>
      <c r="BB23" s="147">
        <f>BB$22*'01_MODELO'!$I$75</f>
        <v>7037.3842641216479</v>
      </c>
      <c r="BC23" s="147">
        <f>BC$22*'01_MODELO'!$I$75</f>
        <v>7045.6441048072365</v>
      </c>
      <c r="BD23" s="147">
        <f>BD$22*'01_MODELO'!$I$75</f>
        <v>7053.9039454928243</v>
      </c>
      <c r="BE23" s="147">
        <f>BE$22*'01_MODELO'!$I$75</f>
        <v>7062.1637861784147</v>
      </c>
      <c r="BF23" s="147">
        <f>BF$22*'01_MODELO'!$I$75</f>
        <v>7070.4236268640034</v>
      </c>
      <c r="BG23" s="147">
        <f>BG$22*'01_MODELO'!$I$75</f>
        <v>7078.683467549592</v>
      </c>
      <c r="BH23" s="147">
        <f>BH$22*'01_MODELO'!$I$75</f>
        <v>7086.9433082351807</v>
      </c>
      <c r="BI23" s="147">
        <f>BI$22*'01_MODELO'!$I$75</f>
        <v>7095.2031489207693</v>
      </c>
      <c r="BJ23" s="147">
        <f>BJ$22*'01_MODELO'!$I$75</f>
        <v>7103.462989606358</v>
      </c>
      <c r="BK23" s="147">
        <f>BK$22*'01_MODELO'!$I$75</f>
        <v>7111.7228302919466</v>
      </c>
      <c r="BL23" s="147">
        <f>BL$22*'01_MODELO'!$I$75</f>
        <v>7119.9826709775352</v>
      </c>
      <c r="BM23" s="147">
        <f>BM$22*'01_MODELO'!$I$75</f>
        <v>7128.2425116631248</v>
      </c>
      <c r="BN23" s="147">
        <f>BN$22*'01_MODELO'!$I$75</f>
        <v>7136.5023523487134</v>
      </c>
      <c r="BO23" s="147">
        <f>BO$22*'01_MODELO'!$I$75</f>
        <v>7144.762193034303</v>
      </c>
      <c r="BP23" s="147">
        <f>BP$22*'01_MODELO'!$I$75</f>
        <v>7153.0220337198907</v>
      </c>
      <c r="BQ23" s="147">
        <f>BQ$22*'01_MODELO'!$I$75</f>
        <v>7161.2818744054794</v>
      </c>
      <c r="BR23" s="147">
        <f>BR$22*'01_MODELO'!$I$75</f>
        <v>7169.5417150910689</v>
      </c>
      <c r="BS23" s="147">
        <f>BS$22*'01_MODELO'!$I$75</f>
        <v>7177.8015557766566</v>
      </c>
      <c r="BT23" s="147">
        <f>BT$22*'01_MODELO'!$I$75</f>
        <v>7186.0613964622453</v>
      </c>
      <c r="BU23" s="147">
        <f>BU$22*'01_MODELO'!$I$75</f>
        <v>7194.3212371478357</v>
      </c>
      <c r="BV23" s="147">
        <f>BV$22*'01_MODELO'!$I$75</f>
        <v>7202.5810778334244</v>
      </c>
      <c r="BW23" s="147">
        <f>BW$22*'01_MODELO'!$I$75</f>
        <v>7210.840918519013</v>
      </c>
      <c r="BX23" s="147">
        <f>BX$22*'01_MODELO'!$I$75</f>
        <v>7219.1007592046017</v>
      </c>
      <c r="BY23" s="147">
        <f>BY$22*'01_MODELO'!$I$75</f>
        <v>7227.3605998901894</v>
      </c>
      <c r="BZ23" s="147">
        <f>BZ$22*'01_MODELO'!$I$75</f>
        <v>7235.620440575779</v>
      </c>
      <c r="CA23" s="147">
        <f>CA$22*'01_MODELO'!$I$75</f>
        <v>7243.8802812613676</v>
      </c>
      <c r="CB23" s="147">
        <f>CB$22*'01_MODELO'!$I$75</f>
        <v>7252.1401219469553</v>
      </c>
      <c r="CC23" s="147">
        <f>CC$22*'01_MODELO'!$I$75</f>
        <v>7260.3999626325449</v>
      </c>
      <c r="CD23" s="147">
        <f>CD$22*'01_MODELO'!$I$75</f>
        <v>7268.6598033181353</v>
      </c>
      <c r="CE23" s="147">
        <f>CE$22*'01_MODELO'!$I$75</f>
        <v>7276.9196440037231</v>
      </c>
      <c r="CF23" s="147">
        <f>CF$22*'01_MODELO'!$I$75</f>
        <v>7285.1794846893117</v>
      </c>
      <c r="CG23" s="147">
        <f>CG$22*'01_MODELO'!$I$75</f>
        <v>7293.4393253749013</v>
      </c>
      <c r="CH23" s="147">
        <f>CH$22*'01_MODELO'!$I$75</f>
        <v>7301.699166060489</v>
      </c>
      <c r="CI23" s="147">
        <f>CI$22*'01_MODELO'!$I$75</f>
        <v>7309.9590067460776</v>
      </c>
      <c r="CJ23" s="147">
        <f>CJ$22*'01_MODELO'!$I$75</f>
        <v>7318.2188474316672</v>
      </c>
      <c r="CK23" s="147">
        <f>CK$22*'01_MODELO'!$I$75</f>
        <v>7326.4786881172549</v>
      </c>
      <c r="CL23" s="147">
        <f>CL$22*'01_MODELO'!$I$75</f>
        <v>7334.7385288028436</v>
      </c>
      <c r="CM23" s="147">
        <f>CM$22*'01_MODELO'!$I$75</f>
        <v>7342.998369488434</v>
      </c>
      <c r="CN23" s="147">
        <f>CN$22*'01_MODELO'!$I$75</f>
        <v>7351.2582101740218</v>
      </c>
      <c r="CO23" s="147">
        <f>CO$22*'01_MODELO'!$I$75</f>
        <v>7359.5180508596113</v>
      </c>
      <c r="CP23" s="147">
        <f>CP$22*'01_MODELO'!$I$75</f>
        <v>7367.7778915451991</v>
      </c>
      <c r="CQ23" s="147">
        <f>CQ$22*'01_MODELO'!$I$75</f>
        <v>7376.0377322307877</v>
      </c>
      <c r="CR23" s="147">
        <f>CR$22*'01_MODELO'!$I$75</f>
        <v>7384.2975729163772</v>
      </c>
      <c r="CS23" s="147">
        <f>CS$22*'01_MODELO'!$I$75</f>
        <v>7392.557413601965</v>
      </c>
      <c r="CT23" s="147">
        <f>CT$22*'01_MODELO'!$I$75</f>
        <v>7400.8172542875554</v>
      </c>
      <c r="CU23" s="147">
        <f>CU$22*'01_MODELO'!$I$75</f>
        <v>7409.0770949731441</v>
      </c>
      <c r="CV23" s="147">
        <f>CV$22*'01_MODELO'!$I$75</f>
        <v>7417.3369356587318</v>
      </c>
      <c r="CW23" s="147">
        <f>CW$22*'01_MODELO'!$I$75</f>
        <v>7425.5967763443214</v>
      </c>
      <c r="CX23" s="147">
        <f>CX$22*'01_MODELO'!$I$75</f>
        <v>7433.85661702991</v>
      </c>
      <c r="CY23" s="147">
        <f>CY$22*'01_MODELO'!$I$75</f>
        <v>7442.1164577154977</v>
      </c>
      <c r="CZ23" s="147">
        <f>CZ$22*'01_MODELO'!$I$75</f>
        <v>7450.3762984010873</v>
      </c>
      <c r="DA23" s="147">
        <f>DA$22*'01_MODELO'!$I$75</f>
        <v>7458.6361390866759</v>
      </c>
      <c r="DB23" s="147">
        <f>DB$22*'01_MODELO'!$I$75</f>
        <v>7466.8959797722637</v>
      </c>
      <c r="DC23" s="147">
        <f>DC$22*'01_MODELO'!$I$75</f>
        <v>7475.1558204578541</v>
      </c>
      <c r="DD23" s="147">
        <f>DD$22*'01_MODELO'!$I$75</f>
        <v>7483.4156611434428</v>
      </c>
      <c r="DE23" s="147">
        <f>DE$22*'01_MODELO'!$I$75</f>
        <v>7491.6755018290314</v>
      </c>
      <c r="DF23" s="147">
        <f>DF$22*'01_MODELO'!$I$75</f>
        <v>7499.9353425146201</v>
      </c>
      <c r="DG23" s="147">
        <f>DG$22*'01_MODELO'!$I$75</f>
        <v>7508.1951832002087</v>
      </c>
      <c r="DH23" s="147">
        <f>DH$22*'01_MODELO'!$I$75</f>
        <v>7516.4550238857973</v>
      </c>
      <c r="DI23" s="147">
        <f>DI$22*'01_MODELO'!$I$75</f>
        <v>7524.714864571386</v>
      </c>
      <c r="DJ23" s="147">
        <f>DJ$22*'01_MODELO'!$I$75</f>
        <v>7532.9747052569764</v>
      </c>
      <c r="DK23" s="147">
        <f>DK$22*'01_MODELO'!$I$75</f>
        <v>7541.2345459425633</v>
      </c>
      <c r="DL23" s="147">
        <f>DL$22*'01_MODELO'!$I$75</f>
        <v>7549.4943866281528</v>
      </c>
      <c r="DM23" s="147">
        <f>DM$22*'01_MODELO'!$I$75</f>
        <v>7557.7542273137424</v>
      </c>
      <c r="DN23" s="147">
        <f>DN$22*'01_MODELO'!$I$75</f>
        <v>7566.0140679993301</v>
      </c>
      <c r="DO23" s="147">
        <f>DO$22*'01_MODELO'!$I$75</f>
        <v>7574.2739086849188</v>
      </c>
      <c r="DP23" s="147">
        <f>DP$22*'01_MODELO'!$I$75</f>
        <v>7582.5337493705083</v>
      </c>
      <c r="DQ23" s="147">
        <f>DQ$22*'01_MODELO'!$I$75</f>
        <v>7590.793590056096</v>
      </c>
      <c r="DR23" s="147">
        <f>DR$22*'01_MODELO'!$I$75</f>
        <v>7599.0534307416847</v>
      </c>
      <c r="DS23" s="147">
        <f>DS$22*'01_MODELO'!$I$75</f>
        <v>7607.3132714272751</v>
      </c>
      <c r="DT23" s="147">
        <f>DT$22*'01_MODELO'!$I$75</f>
        <v>7615.5731121128638</v>
      </c>
      <c r="DU23" s="147">
        <f>DU$22*'01_MODELO'!$I$75</f>
        <v>7623.8329527984524</v>
      </c>
      <c r="DV23" s="147">
        <f>DV$22*'01_MODELO'!$I$75</f>
        <v>7632.0927934840411</v>
      </c>
      <c r="DW23" s="147">
        <f>DW$22*'01_MODELO'!$I$75</f>
        <v>7640.3526341696297</v>
      </c>
      <c r="DX23" s="147">
        <f>DX$22*'01_MODELO'!$I$75</f>
        <v>7648.6124748552184</v>
      </c>
      <c r="DY23" s="147">
        <f>DY$22*'01_MODELO'!$I$75</f>
        <v>7656.872315540807</v>
      </c>
      <c r="DZ23" s="147">
        <f>DZ$22*'01_MODELO'!$I$75</f>
        <v>7665.1321562263947</v>
      </c>
      <c r="EA23" s="147">
        <f>EA$22*'01_MODELO'!$I$75</f>
        <v>7673.3919969119843</v>
      </c>
      <c r="EB23" s="147">
        <f>EB$22*'01_MODELO'!$I$75</f>
        <v>7681.6518375975747</v>
      </c>
      <c r="EC23" s="147">
        <f>EC$22*'01_MODELO'!$I$75</f>
        <v>7689.9116782831625</v>
      </c>
      <c r="ED23" s="147">
        <f>ED$22*'01_MODELO'!$I$75</f>
        <v>7698.1715189687511</v>
      </c>
      <c r="EE23" s="147">
        <f>EE$22*'01_MODELO'!$I$75</f>
        <v>7706.4313596543407</v>
      </c>
      <c r="EF23" s="147">
        <f>EF$22*'01_MODELO'!$I$75</f>
        <v>7714.6912003399284</v>
      </c>
      <c r="EG23" s="147">
        <f>EG$22*'01_MODELO'!$I$75</f>
        <v>7722.951041025517</v>
      </c>
      <c r="EH23" s="147">
        <f>EH$22*'01_MODELO'!$I$75</f>
        <v>7731.2108817111066</v>
      </c>
      <c r="EI23" s="147">
        <f>EI$22*'01_MODELO'!$I$75</f>
        <v>7739.4707223966943</v>
      </c>
      <c r="EJ23" s="147">
        <f>EJ$22*'01_MODELO'!$I$75</f>
        <v>7747.730563082283</v>
      </c>
      <c r="EK23" s="147">
        <f>EK$22*'01_MODELO'!$I$75</f>
        <v>7755.9904037678734</v>
      </c>
      <c r="EL23" s="147">
        <f>EL$22*'01_MODELO'!$I$75</f>
        <v>7764.2502444534612</v>
      </c>
      <c r="EM23" s="147">
        <f>EM$22*'01_MODELO'!$I$75</f>
        <v>7772.5100851390507</v>
      </c>
      <c r="EN23" s="147">
        <f>EN$22*'01_MODELO'!$I$75</f>
        <v>7780.7699258246394</v>
      </c>
      <c r="EO23" s="147">
        <f>EO$22*'01_MODELO'!$I$75</f>
        <v>7789.0297665102271</v>
      </c>
      <c r="EP23" s="147">
        <f>EP$22*'01_MODELO'!$I$75</f>
        <v>7797.2896071958166</v>
      </c>
      <c r="EQ23" s="147">
        <f>EQ$22*'01_MODELO'!$I$75</f>
        <v>7805.5494478814044</v>
      </c>
      <c r="ER23" s="147">
        <f>ER$22*'01_MODELO'!$I$75</f>
        <v>7813.8092885669948</v>
      </c>
      <c r="ES23" s="147">
        <f>ES$22*'01_MODELO'!$I$75</f>
        <v>7822.0691292525835</v>
      </c>
      <c r="ET23" s="147">
        <f>ET$22*'01_MODELO'!$I$75</f>
        <v>7830.3289699381712</v>
      </c>
      <c r="EU23" s="147">
        <f>EU$22*'01_MODELO'!$I$75</f>
        <v>7838.5888106237608</v>
      </c>
      <c r="EV23" s="147">
        <f>EV$22*'01_MODELO'!$I$75</f>
        <v>7846.8486513093494</v>
      </c>
      <c r="EW23" s="147">
        <f>EW$22*'01_MODELO'!$I$75</f>
        <v>7855.1084919949371</v>
      </c>
      <c r="EX23" s="147">
        <f>EX$22*'01_MODELO'!$I$75</f>
        <v>7863.3683326805267</v>
      </c>
      <c r="EY23" s="147">
        <f>EY$22*'01_MODELO'!$I$75</f>
        <v>7871.6281733661153</v>
      </c>
      <c r="EZ23" s="147">
        <f>EZ$22*'01_MODELO'!$I$75</f>
        <v>7879.8880140517031</v>
      </c>
      <c r="FA23" s="147">
        <f>FA$22*'01_MODELO'!$I$75</f>
        <v>7888.1478547372935</v>
      </c>
      <c r="FB23" s="147">
        <f>FB$22*'01_MODELO'!$I$75</f>
        <v>7896.4076954228822</v>
      </c>
      <c r="FC23" s="147">
        <f>FC$22*'01_MODELO'!$I$75</f>
        <v>7904.6675361084717</v>
      </c>
      <c r="FD23" s="147">
        <f>FD$22*'01_MODELO'!$I$75</f>
        <v>7912.9273767940595</v>
      </c>
      <c r="FE23" s="147">
        <f>FE$22*'01_MODELO'!$I$75</f>
        <v>7921.1872174796481</v>
      </c>
      <c r="FF23" s="147">
        <f>FF$22*'01_MODELO'!$I$75</f>
        <v>7929.4470581652367</v>
      </c>
      <c r="FG23" s="147">
        <f>FG$22*'01_MODELO'!$I$75</f>
        <v>7937.7068988508254</v>
      </c>
      <c r="FH23" s="147">
        <f>FH$22*'01_MODELO'!$I$75</f>
        <v>7945.966739536414</v>
      </c>
      <c r="FI23" s="147">
        <f>FI$22*'01_MODELO'!$I$75</f>
        <v>7954.2265802220036</v>
      </c>
      <c r="FJ23" s="147">
        <f>FJ$22*'01_MODELO'!$I$75</f>
        <v>7962.4864209075922</v>
      </c>
      <c r="FK23" s="147">
        <f>FK$22*'01_MODELO'!$I$75</f>
        <v>7970.7462615931818</v>
      </c>
      <c r="FL23" s="147">
        <f>FL$22*'01_MODELO'!$I$75</f>
        <v>7979.0061022787695</v>
      </c>
      <c r="FM23" s="147">
        <f>FM$22*'01_MODELO'!$I$75</f>
        <v>7987.2659429643581</v>
      </c>
      <c r="FN23" s="147">
        <f>FN$22*'01_MODELO'!$I$75</f>
        <v>7995.5257836499477</v>
      </c>
      <c r="FO23" s="147">
        <f>FO$22*'01_MODELO'!$I$75</f>
        <v>8003.7856243355354</v>
      </c>
      <c r="FP23" s="147">
        <f>FP$22*'01_MODELO'!$I$75</f>
        <v>8012.0454650211241</v>
      </c>
      <c r="FQ23" s="147">
        <f>FQ$22*'01_MODELO'!$I$75</f>
        <v>8020.3053057067145</v>
      </c>
      <c r="FR23" s="147">
        <f>FR$22*'01_MODELO'!$I$75</f>
        <v>8028.5651463923032</v>
      </c>
      <c r="FS23" s="147">
        <f>FS$22*'01_MODELO'!$I$75</f>
        <v>8036.8249870778918</v>
      </c>
      <c r="FT23" s="147">
        <f>FT$22*'01_MODELO'!$I$75</f>
        <v>8045.0848277634805</v>
      </c>
      <c r="FU23" s="147">
        <f>FU$22*'01_MODELO'!$I$75</f>
        <v>8053.3446684490682</v>
      </c>
      <c r="FV23" s="147">
        <f>FV$22*'01_MODELO'!$I$75</f>
        <v>8061.6045091346577</v>
      </c>
      <c r="FW23" s="147">
        <f>FW$22*'01_MODELO'!$I$75</f>
        <v>8069.8643498202464</v>
      </c>
      <c r="FX23" s="147">
        <f>FX$22*'01_MODELO'!$I$75</f>
        <v>8078.1241905058341</v>
      </c>
      <c r="FY23" s="147">
        <f>FY$22*'01_MODELO'!$I$75</f>
        <v>8086.3840311914237</v>
      </c>
      <c r="FZ23" s="147">
        <f>FZ$22*'01_MODELO'!$I$75</f>
        <v>8094.6438718770141</v>
      </c>
    </row>
    <row r="24" spans="1:182" ht="15.75" hidden="1" thickBot="1" x14ac:dyDescent="0.3">
      <c r="A24" s="154" t="s">
        <v>277</v>
      </c>
      <c r="B24" s="16">
        <f t="shared" ref="B24:AG24" si="24">B$22-B$23</f>
        <v>0</v>
      </c>
      <c r="C24" s="16">
        <f t="shared" si="24"/>
        <v>0</v>
      </c>
      <c r="D24" s="16">
        <f t="shared" si="24"/>
        <v>0</v>
      </c>
      <c r="E24" s="16">
        <f t="shared" si="24"/>
        <v>0</v>
      </c>
      <c r="F24" s="16">
        <f t="shared" si="24"/>
        <v>0</v>
      </c>
      <c r="G24" s="16">
        <f t="shared" si="24"/>
        <v>0</v>
      </c>
      <c r="H24" s="16">
        <f t="shared" si="24"/>
        <v>0</v>
      </c>
      <c r="I24" s="16">
        <f t="shared" si="24"/>
        <v>0</v>
      </c>
      <c r="J24" s="16">
        <f t="shared" si="24"/>
        <v>0</v>
      </c>
      <c r="K24" s="16">
        <f t="shared" si="24"/>
        <v>0</v>
      </c>
      <c r="L24" s="16">
        <f t="shared" si="24"/>
        <v>0</v>
      </c>
      <c r="M24" s="16">
        <f t="shared" si="24"/>
        <v>0</v>
      </c>
      <c r="N24" s="16">
        <f t="shared" si="24"/>
        <v>0</v>
      </c>
      <c r="O24" s="16">
        <f t="shared" si="24"/>
        <v>0</v>
      </c>
      <c r="P24" s="16">
        <f t="shared" si="24"/>
        <v>0</v>
      </c>
      <c r="Q24" s="16">
        <f t="shared" si="24"/>
        <v>0</v>
      </c>
      <c r="R24" s="16">
        <f t="shared" si="24"/>
        <v>0</v>
      </c>
      <c r="S24" s="16">
        <f t="shared" si="24"/>
        <v>0</v>
      </c>
      <c r="T24" s="16">
        <f t="shared" si="24"/>
        <v>0</v>
      </c>
      <c r="U24" s="16">
        <f t="shared" si="24"/>
        <v>0</v>
      </c>
      <c r="V24" s="16">
        <f t="shared" si="24"/>
        <v>0</v>
      </c>
      <c r="W24" s="16">
        <f t="shared" si="24"/>
        <v>0</v>
      </c>
      <c r="X24" s="16">
        <f t="shared" si="24"/>
        <v>0</v>
      </c>
      <c r="Y24" s="16">
        <f t="shared" si="24"/>
        <v>0</v>
      </c>
      <c r="Z24" s="16">
        <f t="shared" si="24"/>
        <v>0</v>
      </c>
      <c r="AA24" s="16">
        <f t="shared" si="24"/>
        <v>0</v>
      </c>
      <c r="AB24" s="16">
        <f t="shared" si="24"/>
        <v>0</v>
      </c>
      <c r="AC24" s="16">
        <f t="shared" si="24"/>
        <v>0</v>
      </c>
      <c r="AD24" s="16">
        <f t="shared" si="24"/>
        <v>0</v>
      </c>
      <c r="AE24" s="16">
        <f t="shared" si="24"/>
        <v>0</v>
      </c>
      <c r="AF24" s="16">
        <f t="shared" si="24"/>
        <v>0</v>
      </c>
      <c r="AG24" s="16">
        <f t="shared" si="24"/>
        <v>0</v>
      </c>
      <c r="AH24" s="16">
        <f t="shared" ref="AH24:BM24" si="25">AH$22-AH$23</f>
        <v>0</v>
      </c>
      <c r="AI24" s="16">
        <f t="shared" si="25"/>
        <v>0</v>
      </c>
      <c r="AJ24" s="16">
        <f t="shared" si="25"/>
        <v>0</v>
      </c>
      <c r="AK24" s="16">
        <f t="shared" si="25"/>
        <v>17735.057929199924</v>
      </c>
      <c r="AL24" s="16">
        <f t="shared" si="25"/>
        <v>17756.297519534295</v>
      </c>
      <c r="AM24" s="16">
        <f t="shared" si="25"/>
        <v>17777.537109868666</v>
      </c>
      <c r="AN24" s="16">
        <f t="shared" si="25"/>
        <v>17798.776700203041</v>
      </c>
      <c r="AO24" s="16">
        <f t="shared" si="25"/>
        <v>17820.016290537409</v>
      </c>
      <c r="AP24" s="16">
        <f t="shared" si="25"/>
        <v>17841.25588087178</v>
      </c>
      <c r="AQ24" s="16">
        <f t="shared" si="25"/>
        <v>17862.495471206152</v>
      </c>
      <c r="AR24" s="16">
        <f t="shared" si="25"/>
        <v>17883.735061540523</v>
      </c>
      <c r="AS24" s="16">
        <f t="shared" si="25"/>
        <v>17904.974651874894</v>
      </c>
      <c r="AT24" s="16">
        <f t="shared" si="25"/>
        <v>17926.214242209266</v>
      </c>
      <c r="AU24" s="16">
        <f t="shared" si="25"/>
        <v>17947.453832543637</v>
      </c>
      <c r="AV24" s="16">
        <f t="shared" si="25"/>
        <v>17968.693422878012</v>
      </c>
      <c r="AW24" s="16">
        <f t="shared" si="25"/>
        <v>17989.93301321238</v>
      </c>
      <c r="AX24" s="16">
        <f t="shared" si="25"/>
        <v>18011.172603546751</v>
      </c>
      <c r="AY24" s="16">
        <f t="shared" si="25"/>
        <v>18032.412193881122</v>
      </c>
      <c r="AZ24" s="16">
        <f t="shared" si="25"/>
        <v>18053.651784215494</v>
      </c>
      <c r="BA24" s="16">
        <f t="shared" si="25"/>
        <v>18074.891374549865</v>
      </c>
      <c r="BB24" s="16">
        <f t="shared" si="25"/>
        <v>18096.130964884236</v>
      </c>
      <c r="BC24" s="16">
        <f t="shared" si="25"/>
        <v>18117.370555218604</v>
      </c>
      <c r="BD24" s="16">
        <f t="shared" si="25"/>
        <v>18138.610145552975</v>
      </c>
      <c r="BE24" s="16">
        <f t="shared" si="25"/>
        <v>18159.84973588735</v>
      </c>
      <c r="BF24" s="16">
        <f t="shared" si="25"/>
        <v>18181.089326221721</v>
      </c>
      <c r="BG24" s="16">
        <f t="shared" si="25"/>
        <v>18202.328916556093</v>
      </c>
      <c r="BH24" s="16">
        <f t="shared" si="25"/>
        <v>18223.568506890464</v>
      </c>
      <c r="BI24" s="16">
        <f t="shared" si="25"/>
        <v>18244.808097224832</v>
      </c>
      <c r="BJ24" s="16">
        <f t="shared" si="25"/>
        <v>18266.047687559207</v>
      </c>
      <c r="BK24" s="16">
        <f t="shared" si="25"/>
        <v>18287.287277893574</v>
      </c>
      <c r="BL24" s="16">
        <f t="shared" si="25"/>
        <v>18308.526868227942</v>
      </c>
      <c r="BM24" s="16">
        <f t="shared" si="25"/>
        <v>18329.766458562321</v>
      </c>
      <c r="BN24" s="16">
        <f t="shared" ref="BN24:CS24" si="26">BN$22-BN$23</f>
        <v>18351.006048896688</v>
      </c>
      <c r="BO24" s="16">
        <f t="shared" si="26"/>
        <v>18372.245639231063</v>
      </c>
      <c r="BP24" s="16">
        <f t="shared" si="26"/>
        <v>18393.485229565431</v>
      </c>
      <c r="BQ24" s="16">
        <f t="shared" si="26"/>
        <v>18414.724819899802</v>
      </c>
      <c r="BR24" s="16">
        <f t="shared" si="26"/>
        <v>18435.964410234174</v>
      </c>
      <c r="BS24" s="16">
        <f t="shared" si="26"/>
        <v>18457.204000568545</v>
      </c>
      <c r="BT24" s="16">
        <f t="shared" si="26"/>
        <v>18478.443590902913</v>
      </c>
      <c r="BU24" s="16">
        <f t="shared" si="26"/>
        <v>18499.683181237287</v>
      </c>
      <c r="BV24" s="16">
        <f t="shared" si="26"/>
        <v>18520.922771571662</v>
      </c>
      <c r="BW24" s="16">
        <f t="shared" si="26"/>
        <v>18542.16236190603</v>
      </c>
      <c r="BX24" s="16">
        <f t="shared" si="26"/>
        <v>18563.401952240401</v>
      </c>
      <c r="BY24" s="16">
        <f t="shared" si="26"/>
        <v>18584.641542574769</v>
      </c>
      <c r="BZ24" s="16">
        <f t="shared" si="26"/>
        <v>18605.881132909144</v>
      </c>
      <c r="CA24" s="16">
        <f t="shared" si="26"/>
        <v>18627.120723243512</v>
      </c>
      <c r="CB24" s="16">
        <f t="shared" si="26"/>
        <v>18648.360313577883</v>
      </c>
      <c r="CC24" s="16">
        <f t="shared" si="26"/>
        <v>18669.599903912254</v>
      </c>
      <c r="CD24" s="16">
        <f t="shared" si="26"/>
        <v>18690.839494246629</v>
      </c>
      <c r="CE24" s="16">
        <f t="shared" si="26"/>
        <v>18712.079084581001</v>
      </c>
      <c r="CF24" s="16">
        <f t="shared" si="26"/>
        <v>18733.318674915368</v>
      </c>
      <c r="CG24" s="16">
        <f t="shared" si="26"/>
        <v>18754.558265249743</v>
      </c>
      <c r="CH24" s="16">
        <f t="shared" si="26"/>
        <v>18775.797855584111</v>
      </c>
      <c r="CI24" s="16">
        <f t="shared" si="26"/>
        <v>18797.037445918482</v>
      </c>
      <c r="CJ24" s="16">
        <f t="shared" si="26"/>
        <v>18818.277036252854</v>
      </c>
      <c r="CK24" s="16">
        <f t="shared" si="26"/>
        <v>18839.516626587225</v>
      </c>
      <c r="CL24" s="16">
        <f t="shared" si="26"/>
        <v>18860.756216921596</v>
      </c>
      <c r="CM24" s="16">
        <f t="shared" si="26"/>
        <v>18881.995807255968</v>
      </c>
      <c r="CN24" s="16">
        <f t="shared" si="26"/>
        <v>18903.235397590339</v>
      </c>
      <c r="CO24" s="16">
        <f t="shared" si="26"/>
        <v>18924.47498792471</v>
      </c>
      <c r="CP24" s="16">
        <f t="shared" si="26"/>
        <v>18945.714578259081</v>
      </c>
      <c r="CQ24" s="16">
        <f t="shared" si="26"/>
        <v>18966.954168593453</v>
      </c>
      <c r="CR24" s="16">
        <f t="shared" si="26"/>
        <v>18988.193758927824</v>
      </c>
      <c r="CS24" s="16">
        <f t="shared" si="26"/>
        <v>19009.433349262195</v>
      </c>
      <c r="CT24" s="16">
        <f t="shared" ref="CT24:DY24" si="27">CT$22-CT$23</f>
        <v>19030.67293959657</v>
      </c>
      <c r="CU24" s="16">
        <f t="shared" si="27"/>
        <v>19051.912529930938</v>
      </c>
      <c r="CV24" s="16">
        <f t="shared" si="27"/>
        <v>19073.152120265309</v>
      </c>
      <c r="CW24" s="16">
        <f t="shared" si="27"/>
        <v>19094.391710599681</v>
      </c>
      <c r="CX24" s="16">
        <f t="shared" si="27"/>
        <v>19115.631300934052</v>
      </c>
      <c r="CY24" s="16">
        <f t="shared" si="27"/>
        <v>19136.870891268423</v>
      </c>
      <c r="CZ24" s="16">
        <f t="shared" si="27"/>
        <v>19158.110481602795</v>
      </c>
      <c r="DA24" s="16">
        <f t="shared" si="27"/>
        <v>19179.350071937162</v>
      </c>
      <c r="DB24" s="16">
        <f t="shared" si="27"/>
        <v>19200.589662271534</v>
      </c>
      <c r="DC24" s="16">
        <f t="shared" si="27"/>
        <v>19221.829252605909</v>
      </c>
      <c r="DD24" s="16">
        <f t="shared" si="27"/>
        <v>19243.06884294028</v>
      </c>
      <c r="DE24" s="16">
        <f t="shared" si="27"/>
        <v>19264.308433274651</v>
      </c>
      <c r="DF24" s="16">
        <f t="shared" si="27"/>
        <v>19285.548023609022</v>
      </c>
      <c r="DG24" s="16">
        <f t="shared" si="27"/>
        <v>19306.78761394339</v>
      </c>
      <c r="DH24" s="16">
        <f t="shared" si="27"/>
        <v>19328.027204277765</v>
      </c>
      <c r="DI24" s="16">
        <f t="shared" si="27"/>
        <v>19349.266794612133</v>
      </c>
      <c r="DJ24" s="16">
        <f t="shared" si="27"/>
        <v>19370.506384946508</v>
      </c>
      <c r="DK24" s="16">
        <f t="shared" si="27"/>
        <v>19391.745975280875</v>
      </c>
      <c r="DL24" s="16">
        <f t="shared" si="27"/>
        <v>19412.985565615247</v>
      </c>
      <c r="DM24" s="16">
        <f t="shared" si="27"/>
        <v>19434.225155949622</v>
      </c>
      <c r="DN24" s="16">
        <f t="shared" si="27"/>
        <v>19455.464746283989</v>
      </c>
      <c r="DO24" s="16">
        <f t="shared" si="27"/>
        <v>19476.704336618361</v>
      </c>
      <c r="DP24" s="16">
        <f t="shared" si="27"/>
        <v>19497.943926952732</v>
      </c>
      <c r="DQ24" s="16">
        <f t="shared" si="27"/>
        <v>19519.183517287103</v>
      </c>
      <c r="DR24" s="16">
        <f t="shared" si="27"/>
        <v>19540.423107621471</v>
      </c>
      <c r="DS24" s="16">
        <f t="shared" si="27"/>
        <v>19561.662697955846</v>
      </c>
      <c r="DT24" s="16">
        <f t="shared" si="27"/>
        <v>19582.902288290221</v>
      </c>
      <c r="DU24" s="16">
        <f t="shared" si="27"/>
        <v>19604.141878624589</v>
      </c>
      <c r="DV24" s="16">
        <f t="shared" si="27"/>
        <v>19625.38146895896</v>
      </c>
      <c r="DW24" s="16">
        <f t="shared" si="27"/>
        <v>19646.621059293331</v>
      </c>
      <c r="DX24" s="16">
        <f t="shared" si="27"/>
        <v>19667.860649627703</v>
      </c>
      <c r="DY24" s="16">
        <f t="shared" si="27"/>
        <v>19689.10023996207</v>
      </c>
      <c r="DZ24" s="16">
        <f t="shared" ref="DZ24:FE24" si="28">DZ$22-DZ$23</f>
        <v>19710.339830296442</v>
      </c>
      <c r="EA24" s="16">
        <f t="shared" si="28"/>
        <v>19731.579420630813</v>
      </c>
      <c r="EB24" s="16">
        <f t="shared" si="28"/>
        <v>19752.819010965188</v>
      </c>
      <c r="EC24" s="16">
        <f t="shared" si="28"/>
        <v>19774.058601299559</v>
      </c>
      <c r="ED24" s="16">
        <f t="shared" si="28"/>
        <v>19795.298191633927</v>
      </c>
      <c r="EE24" s="16">
        <f t="shared" si="28"/>
        <v>19816.537781968302</v>
      </c>
      <c r="EF24" s="16">
        <f t="shared" si="28"/>
        <v>19837.777372302669</v>
      </c>
      <c r="EG24" s="16">
        <f t="shared" si="28"/>
        <v>19859.016962637041</v>
      </c>
      <c r="EH24" s="16">
        <f t="shared" si="28"/>
        <v>19880.256552971412</v>
      </c>
      <c r="EI24" s="16">
        <f t="shared" si="28"/>
        <v>19901.496143305783</v>
      </c>
      <c r="EJ24" s="16">
        <f t="shared" si="28"/>
        <v>19922.735733640155</v>
      </c>
      <c r="EK24" s="16">
        <f t="shared" si="28"/>
        <v>19943.975323974526</v>
      </c>
      <c r="EL24" s="16">
        <f t="shared" si="28"/>
        <v>19965.214914308897</v>
      </c>
      <c r="EM24" s="16">
        <f t="shared" si="28"/>
        <v>19986.454504643269</v>
      </c>
      <c r="EN24" s="16">
        <f t="shared" si="28"/>
        <v>20007.69409497764</v>
      </c>
      <c r="EO24" s="16">
        <f t="shared" si="28"/>
        <v>20028.933685312011</v>
      </c>
      <c r="EP24" s="16">
        <f t="shared" si="28"/>
        <v>20050.173275646383</v>
      </c>
      <c r="EQ24" s="16">
        <f t="shared" si="28"/>
        <v>20071.412865980754</v>
      </c>
      <c r="ER24" s="16">
        <f t="shared" si="28"/>
        <v>20092.652456315129</v>
      </c>
      <c r="ES24" s="16">
        <f t="shared" si="28"/>
        <v>20113.892046649496</v>
      </c>
      <c r="ET24" s="16">
        <f t="shared" si="28"/>
        <v>20135.131636983868</v>
      </c>
      <c r="EU24" s="16">
        <f t="shared" si="28"/>
        <v>20156.371227318239</v>
      </c>
      <c r="EV24" s="16">
        <f t="shared" si="28"/>
        <v>20177.61081765261</v>
      </c>
      <c r="EW24" s="16">
        <f t="shared" si="28"/>
        <v>20198.850407986982</v>
      </c>
      <c r="EX24" s="16">
        <f t="shared" si="28"/>
        <v>20220.089998321353</v>
      </c>
      <c r="EY24" s="16">
        <f t="shared" si="28"/>
        <v>20241.329588655721</v>
      </c>
      <c r="EZ24" s="16">
        <f t="shared" si="28"/>
        <v>20262.569178990092</v>
      </c>
      <c r="FA24" s="16">
        <f t="shared" si="28"/>
        <v>20283.808769324467</v>
      </c>
      <c r="FB24" s="16">
        <f t="shared" si="28"/>
        <v>20305.048359658838</v>
      </c>
      <c r="FC24" s="16">
        <f t="shared" si="28"/>
        <v>20326.28794999321</v>
      </c>
      <c r="FD24" s="16">
        <f t="shared" si="28"/>
        <v>20347.527540327581</v>
      </c>
      <c r="FE24" s="16">
        <f t="shared" si="28"/>
        <v>20368.767130661949</v>
      </c>
      <c r="FF24" s="16">
        <f t="shared" ref="FF24:FZ24" si="29">FF$22-FF$23</f>
        <v>20390.006720996324</v>
      </c>
      <c r="FG24" s="16">
        <f t="shared" si="29"/>
        <v>20411.246311330691</v>
      </c>
      <c r="FH24" s="16">
        <f t="shared" si="29"/>
        <v>20432.485901665059</v>
      </c>
      <c r="FI24" s="16">
        <f t="shared" si="29"/>
        <v>20453.725491999438</v>
      </c>
      <c r="FJ24" s="16">
        <f t="shared" si="29"/>
        <v>20474.965082333805</v>
      </c>
      <c r="FK24" s="16">
        <f t="shared" si="29"/>
        <v>20496.20467266818</v>
      </c>
      <c r="FL24" s="16">
        <f t="shared" si="29"/>
        <v>20517.444263002548</v>
      </c>
      <c r="FM24" s="16">
        <f t="shared" si="29"/>
        <v>20538.683853336919</v>
      </c>
      <c r="FN24" s="16">
        <f t="shared" si="29"/>
        <v>20559.92344367129</v>
      </c>
      <c r="FO24" s="16">
        <f t="shared" si="29"/>
        <v>20581.163034005662</v>
      </c>
      <c r="FP24" s="16">
        <f t="shared" si="29"/>
        <v>20602.402624340029</v>
      </c>
      <c r="FQ24" s="16">
        <f t="shared" si="29"/>
        <v>20623.642214674404</v>
      </c>
      <c r="FR24" s="16">
        <f t="shared" si="29"/>
        <v>20644.881805008779</v>
      </c>
      <c r="FS24" s="16">
        <f t="shared" si="29"/>
        <v>20666.121395343147</v>
      </c>
      <c r="FT24" s="16">
        <f t="shared" si="29"/>
        <v>20687.360985677518</v>
      </c>
      <c r="FU24" s="16">
        <f t="shared" si="29"/>
        <v>20708.600576011886</v>
      </c>
      <c r="FV24" s="16">
        <f t="shared" si="29"/>
        <v>20729.840166346261</v>
      </c>
      <c r="FW24" s="16">
        <f t="shared" si="29"/>
        <v>20751.079756680629</v>
      </c>
      <c r="FX24" s="16">
        <f t="shared" si="29"/>
        <v>20772.319347015</v>
      </c>
      <c r="FY24" s="16">
        <f t="shared" si="29"/>
        <v>20793.558937349371</v>
      </c>
      <c r="FZ24" s="16">
        <f t="shared" si="29"/>
        <v>20814.798527683746</v>
      </c>
    </row>
    <row r="25" spans="1:182" ht="15.75" hidden="1" thickBot="1" x14ac:dyDescent="0.3">
      <c r="A25" s="154" t="s">
        <v>278</v>
      </c>
      <c r="B25" s="16">
        <f>IF(B$3='00_ESTRATEGIA'!$B$5*12,(B$24*12*(1+'01_MODELO'!$I$77))/('01_MODELO'!$I$76-'01_MODELO'!$I$77),0)</f>
        <v>0</v>
      </c>
      <c r="C25" s="16">
        <f>IF(C$3='00_ESTRATEGIA'!$B$5*12,(C$24*12*(1+'01_MODELO'!$I$77))/('01_MODELO'!$I$76-'01_MODELO'!$I$77),0)</f>
        <v>0</v>
      </c>
      <c r="D25" s="16">
        <f>IF(D$3='00_ESTRATEGIA'!$B$5*12,(D$24*12*(1+'01_MODELO'!$I$77))/('01_MODELO'!$I$76-'01_MODELO'!$I$77),0)</f>
        <v>0</v>
      </c>
      <c r="E25" s="16">
        <f>IF(E$3='00_ESTRATEGIA'!$B$5*12,(E$24*12*(1+'01_MODELO'!$I$77))/('01_MODELO'!$I$76-'01_MODELO'!$I$77),0)</f>
        <v>0</v>
      </c>
      <c r="F25" s="16">
        <f>IF(F$3='00_ESTRATEGIA'!$B$5*12,(F$24*12*(1+'01_MODELO'!$I$77))/('01_MODELO'!$I$76-'01_MODELO'!$I$77),0)</f>
        <v>0</v>
      </c>
      <c r="G25" s="16">
        <f>IF(G$3='00_ESTRATEGIA'!$B$5*12,(G$24*12*(1+'01_MODELO'!$I$77))/('01_MODELO'!$I$76-'01_MODELO'!$I$77),0)</f>
        <v>0</v>
      </c>
      <c r="H25" s="16">
        <f>IF(H$3='00_ESTRATEGIA'!$B$5*12,(H$24*12*(1+'01_MODELO'!$I$77))/('01_MODELO'!$I$76-'01_MODELO'!$I$77),0)</f>
        <v>0</v>
      </c>
      <c r="I25" s="16">
        <f>IF(I$3='00_ESTRATEGIA'!$B$5*12,(I$24*12*(1+'01_MODELO'!$I$77))/('01_MODELO'!$I$76-'01_MODELO'!$I$77),0)</f>
        <v>0</v>
      </c>
      <c r="J25" s="16">
        <f>IF(J$3='00_ESTRATEGIA'!$B$5*12,(J$24*12*(1+'01_MODELO'!$I$77))/('01_MODELO'!$I$76-'01_MODELO'!$I$77),0)</f>
        <v>0</v>
      </c>
      <c r="K25" s="16">
        <f>IF(K$3='00_ESTRATEGIA'!$B$5*12,(K$24*12*(1+'01_MODELO'!$I$77))/('01_MODELO'!$I$76-'01_MODELO'!$I$77),0)</f>
        <v>0</v>
      </c>
      <c r="L25" s="16">
        <f>IF(L$3='00_ESTRATEGIA'!$B$5*12,(L$24*12*(1+'01_MODELO'!$I$77))/('01_MODELO'!$I$76-'01_MODELO'!$I$77),0)</f>
        <v>0</v>
      </c>
      <c r="M25" s="16">
        <f>IF(M$3='00_ESTRATEGIA'!$B$5*12,(M$24*12*(1+'01_MODELO'!$I$77))/('01_MODELO'!$I$76-'01_MODELO'!$I$77),0)</f>
        <v>0</v>
      </c>
      <c r="N25" s="16">
        <f>IF(N$3='00_ESTRATEGIA'!$B$5*12,(N$24*12*(1+'01_MODELO'!$I$77))/('01_MODELO'!$I$76-'01_MODELO'!$I$77),0)</f>
        <v>0</v>
      </c>
      <c r="O25" s="16">
        <f>IF(O$3='00_ESTRATEGIA'!$B$5*12,(O$24*12*(1+'01_MODELO'!$I$77))/('01_MODELO'!$I$76-'01_MODELO'!$I$77),0)</f>
        <v>0</v>
      </c>
      <c r="P25" s="16">
        <f>IF(P$3='00_ESTRATEGIA'!$B$5*12,(P$24*12*(1+'01_MODELO'!$I$77))/('01_MODELO'!$I$76-'01_MODELO'!$I$77),0)</f>
        <v>0</v>
      </c>
      <c r="Q25" s="16">
        <f>IF(Q$3='00_ESTRATEGIA'!$B$5*12,(Q$24*12*(1+'01_MODELO'!$I$77))/('01_MODELO'!$I$76-'01_MODELO'!$I$77),0)</f>
        <v>0</v>
      </c>
      <c r="R25" s="16">
        <f>IF(R$3='00_ESTRATEGIA'!$B$5*12,(R$24*12*(1+'01_MODELO'!$I$77))/('01_MODELO'!$I$76-'01_MODELO'!$I$77),0)</f>
        <v>0</v>
      </c>
      <c r="S25" s="16">
        <f>IF(S$3='00_ESTRATEGIA'!$B$5*12,(S$24*12*(1+'01_MODELO'!$I$77))/('01_MODELO'!$I$76-'01_MODELO'!$I$77),0)</f>
        <v>0</v>
      </c>
      <c r="T25" s="16">
        <f>IF(T$3='00_ESTRATEGIA'!$B$5*12,(T$24*12*(1+'01_MODELO'!$I$77))/('01_MODELO'!$I$76-'01_MODELO'!$I$77),0)</f>
        <v>0</v>
      </c>
      <c r="U25" s="16">
        <f>IF(U$3='00_ESTRATEGIA'!$B$5*12,(U$24*12*(1+'01_MODELO'!$I$77))/('01_MODELO'!$I$76-'01_MODELO'!$I$77),0)</f>
        <v>0</v>
      </c>
      <c r="V25" s="16">
        <f>IF(V$3='00_ESTRATEGIA'!$B$5*12,(V$24*12*(1+'01_MODELO'!$I$77))/('01_MODELO'!$I$76-'01_MODELO'!$I$77),0)</f>
        <v>0</v>
      </c>
      <c r="W25" s="16">
        <f>IF(W$3='00_ESTRATEGIA'!$B$5*12,(W$24*12*(1+'01_MODELO'!$I$77))/('01_MODELO'!$I$76-'01_MODELO'!$I$77),0)</f>
        <v>0</v>
      </c>
      <c r="X25" s="16">
        <f>IF(X$3='00_ESTRATEGIA'!$B$5*12,(X$24*12*(1+'01_MODELO'!$I$77))/('01_MODELO'!$I$76-'01_MODELO'!$I$77),0)</f>
        <v>0</v>
      </c>
      <c r="Y25" s="16">
        <f>IF(Y$3='00_ESTRATEGIA'!$B$5*12,(Y$24*12*(1+'01_MODELO'!$I$77))/('01_MODELO'!$I$76-'01_MODELO'!$I$77),0)</f>
        <v>0</v>
      </c>
      <c r="Z25" s="16">
        <f>IF(Z$3='00_ESTRATEGIA'!$B$5*12,(Z$24*12*(1+'01_MODELO'!$I$77))/('01_MODELO'!$I$76-'01_MODELO'!$I$77),0)</f>
        <v>0</v>
      </c>
      <c r="AA25" s="16">
        <f>IF(AA$3='00_ESTRATEGIA'!$B$5*12,(AA$24*12*(1+'01_MODELO'!$I$77))/('01_MODELO'!$I$76-'01_MODELO'!$I$77),0)</f>
        <v>0</v>
      </c>
      <c r="AB25" s="16">
        <f>IF(AB$3='00_ESTRATEGIA'!$B$5*12,(AB$24*12*(1+'01_MODELO'!$I$77))/('01_MODELO'!$I$76-'01_MODELO'!$I$77),0)</f>
        <v>0</v>
      </c>
      <c r="AC25" s="16">
        <f>IF(AC$3='00_ESTRATEGIA'!$B$5*12,(AC$24*12*(1+'01_MODELO'!$I$77))/('01_MODELO'!$I$76-'01_MODELO'!$I$77),0)</f>
        <v>0</v>
      </c>
      <c r="AD25" s="16">
        <f>IF(AD$3='00_ESTRATEGIA'!$B$5*12,(AD$24*12*(1+'01_MODELO'!$I$77))/('01_MODELO'!$I$76-'01_MODELO'!$I$77),0)</f>
        <v>0</v>
      </c>
      <c r="AE25" s="16">
        <f>IF(AE$3='00_ESTRATEGIA'!$B$5*12,(AE$24*12*(1+'01_MODELO'!$I$77))/('01_MODELO'!$I$76-'01_MODELO'!$I$77),0)</f>
        <v>0</v>
      </c>
      <c r="AF25" s="16">
        <f>IF(AF$3='00_ESTRATEGIA'!$B$5*12,(AF$24*12*(1+'01_MODELO'!$I$77))/('01_MODELO'!$I$76-'01_MODELO'!$I$77),0)</f>
        <v>0</v>
      </c>
      <c r="AG25" s="16">
        <f>IF(AG$3='00_ESTRATEGIA'!$B$5*12,(AG$24*12*(1+'01_MODELO'!$I$77))/('01_MODELO'!$I$76-'01_MODELO'!$I$77),0)</f>
        <v>0</v>
      </c>
      <c r="AH25" s="16">
        <f>IF(AH$3='00_ESTRATEGIA'!$B$5*12,(AH$24*12*(1+'01_MODELO'!$I$77))/('01_MODELO'!$I$76-'01_MODELO'!$I$77),0)</f>
        <v>0</v>
      </c>
      <c r="AI25" s="16">
        <f>IF(AI$3='00_ESTRATEGIA'!$B$5*12,(AI$24*12*(1+'01_MODELO'!$I$77))/('01_MODELO'!$I$76-'01_MODELO'!$I$77),0)</f>
        <v>0</v>
      </c>
      <c r="AJ25" s="16">
        <f>IF(AJ$3='00_ESTRATEGIA'!$B$5*12,(AJ$24*12*(1+'01_MODELO'!$I$77))/('01_MODELO'!$I$76-'01_MODELO'!$I$77),0)</f>
        <v>0</v>
      </c>
      <c r="AK25" s="16">
        <f>IF(AK$3='00_ESTRATEGIA'!$B$5*12,(AK$24*12*(1+'01_MODELO'!$I$77))/('01_MODELO'!$I$76-'01_MODELO'!$I$77),0)</f>
        <v>0</v>
      </c>
      <c r="AL25" s="16">
        <f>IF(AL$3='00_ESTRATEGIA'!$B$5*12,(AL$24*12*(1+'01_MODELO'!$I$77))/('01_MODELO'!$I$76-'01_MODELO'!$I$77),0)</f>
        <v>0</v>
      </c>
      <c r="AM25" s="16">
        <f>IF(AM$3='00_ESTRATEGIA'!$B$5*12,(AM$24*12*(1+'01_MODELO'!$I$77))/('01_MODELO'!$I$76-'01_MODELO'!$I$77),0)</f>
        <v>0</v>
      </c>
      <c r="AN25" s="16">
        <f>IF(AN$3='00_ESTRATEGIA'!$B$5*12,(AN$24*12*(1+'01_MODELO'!$I$77))/('01_MODELO'!$I$76-'01_MODELO'!$I$77),0)</f>
        <v>0</v>
      </c>
      <c r="AO25" s="16">
        <f>IF(AO$3='00_ESTRATEGIA'!$B$5*12,(AO$24*12*(1+'01_MODELO'!$I$77))/('01_MODELO'!$I$76-'01_MODELO'!$I$77),0)</f>
        <v>0</v>
      </c>
      <c r="AP25" s="16">
        <f>IF(AP$3='00_ESTRATEGIA'!$B$5*12,(AP$24*12*(1+'01_MODELO'!$I$77))/('01_MODELO'!$I$76-'01_MODELO'!$I$77),0)</f>
        <v>0</v>
      </c>
      <c r="AQ25" s="16">
        <f>IF(AQ$3='00_ESTRATEGIA'!$B$5*12,(AQ$24*12*(1+'01_MODELO'!$I$77))/('01_MODELO'!$I$76-'01_MODELO'!$I$77),0)</f>
        <v>0</v>
      </c>
      <c r="AR25" s="16">
        <f>IF(AR$3='00_ESTRATEGIA'!$B$5*12,(AR$24*12*(1+'01_MODELO'!$I$77))/('01_MODELO'!$I$76-'01_MODELO'!$I$77),0)</f>
        <v>0</v>
      </c>
      <c r="AS25" s="16">
        <f>IF(AS$3='00_ESTRATEGIA'!$B$5*12,(AS$24*12*(1+'01_MODELO'!$I$77))/('01_MODELO'!$I$76-'01_MODELO'!$I$77),0)</f>
        <v>0</v>
      </c>
      <c r="AT25" s="16">
        <f>IF(AT$3='00_ESTRATEGIA'!$B$5*12,(AT$24*12*(1+'01_MODELO'!$I$77))/('01_MODELO'!$I$76-'01_MODELO'!$I$77),0)</f>
        <v>0</v>
      </c>
      <c r="AU25" s="16">
        <f>IF(AU$3='00_ESTRATEGIA'!$B$5*12,(AU$24*12*(1+'01_MODELO'!$I$77))/('01_MODELO'!$I$76-'01_MODELO'!$I$77),0)</f>
        <v>0</v>
      </c>
      <c r="AV25" s="16">
        <f>IF(AV$3='00_ESTRATEGIA'!$B$5*12,(AV$24*12*(1+'01_MODELO'!$I$77))/('01_MODELO'!$I$76-'01_MODELO'!$I$77),0)</f>
        <v>0</v>
      </c>
      <c r="AW25" s="16">
        <f>IF(AW$3='00_ESTRATEGIA'!$B$5*12,(AW$24*12*(1+'01_MODELO'!$I$77))/('01_MODELO'!$I$76-'01_MODELO'!$I$77),0)</f>
        <v>0</v>
      </c>
      <c r="AX25" s="16">
        <f>IF(AX$3='00_ESTRATEGIA'!$B$5*12,(AX$24*12*(1+'01_MODELO'!$I$77))/('01_MODELO'!$I$76-'01_MODELO'!$I$77),0)</f>
        <v>0</v>
      </c>
      <c r="AY25" s="16">
        <f>IF(AY$3='00_ESTRATEGIA'!$B$5*12,(AY$24*12*(1+'01_MODELO'!$I$77))/('01_MODELO'!$I$76-'01_MODELO'!$I$77),0)</f>
        <v>0</v>
      </c>
      <c r="AZ25" s="16">
        <f>IF(AZ$3='00_ESTRATEGIA'!$B$5*12,(AZ$24*12*(1+'01_MODELO'!$I$77))/('01_MODELO'!$I$76-'01_MODELO'!$I$77),0)</f>
        <v>0</v>
      </c>
      <c r="BA25" s="16">
        <f>IF(BA$3='00_ESTRATEGIA'!$B$5*12,(BA$24*12*(1+'01_MODELO'!$I$77))/('01_MODELO'!$I$76-'01_MODELO'!$I$77),0)</f>
        <v>0</v>
      </c>
      <c r="BB25" s="16">
        <f>IF(BB$3='00_ESTRATEGIA'!$B$5*12,(BB$24*12*(1+'01_MODELO'!$I$77))/('01_MODELO'!$I$76-'01_MODELO'!$I$77),0)</f>
        <v>0</v>
      </c>
      <c r="BC25" s="16">
        <f>IF(BC$3='00_ESTRATEGIA'!$B$5*12,(BC$24*12*(1+'01_MODELO'!$I$77))/('01_MODELO'!$I$76-'01_MODELO'!$I$77),0)</f>
        <v>0</v>
      </c>
      <c r="BD25" s="16">
        <f>IF(BD$3='00_ESTRATEGIA'!$B$5*12,(BD$24*12*(1+'01_MODELO'!$I$77))/('01_MODELO'!$I$76-'01_MODELO'!$I$77),0)</f>
        <v>0</v>
      </c>
      <c r="BE25" s="16">
        <f>IF(BE$3='00_ESTRATEGIA'!$B$5*12,(BE$24*12*(1+'01_MODELO'!$I$77))/('01_MODELO'!$I$76-'01_MODELO'!$I$77),0)</f>
        <v>0</v>
      </c>
      <c r="BF25" s="16">
        <f>IF(BF$3='00_ESTRATEGIA'!$B$5*12,(BF$24*12*(1+'01_MODELO'!$I$77))/('01_MODELO'!$I$76-'01_MODELO'!$I$77),0)</f>
        <v>0</v>
      </c>
      <c r="BG25" s="16">
        <f>IF(BG$3='00_ESTRATEGIA'!$B$5*12,(BG$24*12*(1+'01_MODELO'!$I$77))/('01_MODELO'!$I$76-'01_MODELO'!$I$77),0)</f>
        <v>0</v>
      </c>
      <c r="BH25" s="16">
        <f>IF(BH$3='00_ESTRATEGIA'!$B$5*12,(BH$24*12*(1+'01_MODELO'!$I$77))/('01_MODELO'!$I$76-'01_MODELO'!$I$77),0)</f>
        <v>0</v>
      </c>
      <c r="BI25" s="16">
        <f>IF(BI$3='00_ESTRATEGIA'!$B$5*12,(BI$24*12*(1+'01_MODELO'!$I$77))/('01_MODELO'!$I$76-'01_MODELO'!$I$77),0)</f>
        <v>0</v>
      </c>
      <c r="BJ25" s="16">
        <f>IF(BJ$3='00_ESTRATEGIA'!$B$5*12,(BJ$24*12*(1+'01_MODELO'!$I$77))/('01_MODELO'!$I$76-'01_MODELO'!$I$77),0)</f>
        <v>0</v>
      </c>
      <c r="BK25" s="16">
        <f>IF(BK$3='00_ESTRATEGIA'!$B$5*12,(BK$24*12*(1+'01_MODELO'!$I$77))/('01_MODELO'!$I$76-'01_MODELO'!$I$77),0)</f>
        <v>0</v>
      </c>
      <c r="BL25" s="16">
        <f>IF(BL$3='00_ESTRATEGIA'!$B$5*12,(BL$24*12*(1+'01_MODELO'!$I$77))/('01_MODELO'!$I$76-'01_MODELO'!$I$77),0)</f>
        <v>0</v>
      </c>
      <c r="BM25" s="16">
        <f>IF(BM$3='00_ESTRATEGIA'!$B$5*12,(BM$24*12*(1+'01_MODELO'!$I$77))/('01_MODELO'!$I$76-'01_MODELO'!$I$77),0)</f>
        <v>0</v>
      </c>
      <c r="BN25" s="16">
        <f>IF(BN$3='00_ESTRATEGIA'!$B$5*12,(BN$24*12*(1+'01_MODELO'!$I$77))/('01_MODELO'!$I$76-'01_MODELO'!$I$77),0)</f>
        <v>0</v>
      </c>
      <c r="BO25" s="16">
        <f>IF(BO$3='00_ESTRATEGIA'!$B$5*12,(BO$24*12*(1+'01_MODELO'!$I$77))/('01_MODELO'!$I$76-'01_MODELO'!$I$77),0)</f>
        <v>0</v>
      </c>
      <c r="BP25" s="16">
        <f>IF(BP$3='00_ESTRATEGIA'!$B$5*12,(BP$24*12*(1+'01_MODELO'!$I$77))/('01_MODELO'!$I$76-'01_MODELO'!$I$77),0)</f>
        <v>0</v>
      </c>
      <c r="BQ25" s="16">
        <f>IF(BQ$3='00_ESTRATEGIA'!$B$5*12,(BQ$24*12*(1+'01_MODELO'!$I$77))/('01_MODELO'!$I$76-'01_MODELO'!$I$77),0)</f>
        <v>0</v>
      </c>
      <c r="BR25" s="16">
        <f>IF(BR$3='00_ESTRATEGIA'!$B$5*12,(BR$24*12*(1+'01_MODELO'!$I$77))/('01_MODELO'!$I$76-'01_MODELO'!$I$77),0)</f>
        <v>0</v>
      </c>
      <c r="BS25" s="16">
        <f>IF(BS$3='00_ESTRATEGIA'!$B$5*12,(BS$24*12*(1+'01_MODELO'!$I$77))/('01_MODELO'!$I$76-'01_MODELO'!$I$77),0)</f>
        <v>0</v>
      </c>
      <c r="BT25" s="16">
        <f>IF(BT$3='00_ESTRATEGIA'!$B$5*12,(BT$24*12*(1+'01_MODELO'!$I$77))/('01_MODELO'!$I$76-'01_MODELO'!$I$77),0)</f>
        <v>0</v>
      </c>
      <c r="BU25" s="16">
        <f>IF(BU$3='00_ESTRATEGIA'!$B$5*12,(BU$24*12*(1+'01_MODELO'!$I$77))/('01_MODELO'!$I$76-'01_MODELO'!$I$77),0)</f>
        <v>0</v>
      </c>
      <c r="BV25" s="16">
        <f>IF(BV$3='00_ESTRATEGIA'!$B$5*12,(BV$24*12*(1+'01_MODELO'!$I$77))/('01_MODELO'!$I$76-'01_MODELO'!$I$77),0)</f>
        <v>0</v>
      </c>
      <c r="BW25" s="16">
        <f>IF(BW$3='00_ESTRATEGIA'!$B$5*12,(BW$24*12*(1+'01_MODELO'!$I$77))/('01_MODELO'!$I$76-'01_MODELO'!$I$77),0)</f>
        <v>0</v>
      </c>
      <c r="BX25" s="16">
        <f>IF(BX$3='00_ESTRATEGIA'!$B$5*12,(BX$24*12*(1+'01_MODELO'!$I$77))/('01_MODELO'!$I$76-'01_MODELO'!$I$77),0)</f>
        <v>0</v>
      </c>
      <c r="BY25" s="16">
        <f>IF(BY$3='00_ESTRATEGIA'!$B$5*12,(BY$24*12*(1+'01_MODELO'!$I$77))/('01_MODELO'!$I$76-'01_MODELO'!$I$77),0)</f>
        <v>0</v>
      </c>
      <c r="BZ25" s="16">
        <f>IF(BZ$3='00_ESTRATEGIA'!$B$5*12,(BZ$24*12*(1+'01_MODELO'!$I$77))/('01_MODELO'!$I$76-'01_MODELO'!$I$77),0)</f>
        <v>0</v>
      </c>
      <c r="CA25" s="16">
        <f>IF(CA$3='00_ESTRATEGIA'!$B$5*12,(CA$24*12*(1+'01_MODELO'!$I$77))/('01_MODELO'!$I$76-'01_MODELO'!$I$77),0)</f>
        <v>0</v>
      </c>
      <c r="CB25" s="16">
        <f>IF(CB$3='00_ESTRATEGIA'!$B$5*12,(CB$24*12*(1+'01_MODELO'!$I$77))/('01_MODELO'!$I$76-'01_MODELO'!$I$77),0)</f>
        <v>0</v>
      </c>
      <c r="CC25" s="16">
        <f>IF(CC$3='00_ESTRATEGIA'!$B$5*12,(CC$24*12*(1+'01_MODELO'!$I$77))/('01_MODELO'!$I$76-'01_MODELO'!$I$77),0)</f>
        <v>0</v>
      </c>
      <c r="CD25" s="16">
        <f>IF(CD$3='00_ESTRATEGIA'!$B$5*12,(CD$24*12*(1+'01_MODELO'!$I$77))/('01_MODELO'!$I$76-'01_MODELO'!$I$77),0)</f>
        <v>0</v>
      </c>
      <c r="CE25" s="16">
        <f>IF(CE$3='00_ESTRATEGIA'!$B$5*12,(CE$24*12*(1+'01_MODELO'!$I$77))/('01_MODELO'!$I$76-'01_MODELO'!$I$77),0)</f>
        <v>0</v>
      </c>
      <c r="CF25" s="16">
        <f>IF(CF$3='00_ESTRATEGIA'!$B$5*12,(CF$24*12*(1+'01_MODELO'!$I$77))/('01_MODELO'!$I$76-'01_MODELO'!$I$77),0)</f>
        <v>0</v>
      </c>
      <c r="CG25" s="16">
        <f>IF(CG$3='00_ESTRATEGIA'!$B$5*12,(CG$24*12*(1+'01_MODELO'!$I$77))/('01_MODELO'!$I$76-'01_MODELO'!$I$77),0)</f>
        <v>0</v>
      </c>
      <c r="CH25" s="16">
        <f>IF(CH$3='00_ESTRATEGIA'!$B$5*12,(CH$24*12*(1+'01_MODELO'!$I$77))/('01_MODELO'!$I$76-'01_MODELO'!$I$77),0)</f>
        <v>0</v>
      </c>
      <c r="CI25" s="16">
        <f>IF(CI$3='00_ESTRATEGIA'!$B$5*12,(CI$24*12*(1+'01_MODELO'!$I$77))/('01_MODELO'!$I$76-'01_MODELO'!$I$77),0)</f>
        <v>0</v>
      </c>
      <c r="CJ25" s="16">
        <f>IF(CJ$3='00_ESTRATEGIA'!$B$5*12,(CJ$24*12*(1+'01_MODELO'!$I$77))/('01_MODELO'!$I$76-'01_MODELO'!$I$77),0)</f>
        <v>0</v>
      </c>
      <c r="CK25" s="16">
        <f>IF(CK$3='00_ESTRATEGIA'!$B$5*12,(CK$24*12*(1+'01_MODELO'!$I$77))/('01_MODELO'!$I$76-'01_MODELO'!$I$77),0)</f>
        <v>0</v>
      </c>
      <c r="CL25" s="16">
        <f>IF(CL$3='00_ESTRATEGIA'!$B$5*12,(CL$24*12*(1+'01_MODELO'!$I$77))/('01_MODELO'!$I$76-'01_MODELO'!$I$77),0)</f>
        <v>0</v>
      </c>
      <c r="CM25" s="16">
        <f>IF(CM$3='00_ESTRATEGIA'!$B$5*12,(CM$24*12*(1+'01_MODELO'!$I$77))/('01_MODELO'!$I$76-'01_MODELO'!$I$77),0)</f>
        <v>0</v>
      </c>
      <c r="CN25" s="16">
        <f>IF(CN$3='00_ESTRATEGIA'!$B$5*12,(CN$24*12*(1+'01_MODELO'!$I$77))/('01_MODELO'!$I$76-'01_MODELO'!$I$77),0)</f>
        <v>0</v>
      </c>
      <c r="CO25" s="16">
        <f>IF(CO$3='00_ESTRATEGIA'!$B$5*12,(CO$24*12*(1+'01_MODELO'!$I$77))/('01_MODELO'!$I$76-'01_MODELO'!$I$77),0)</f>
        <v>0</v>
      </c>
      <c r="CP25" s="16">
        <f>IF(CP$3='00_ESTRATEGIA'!$B$5*12,(CP$24*12*(1+'01_MODELO'!$I$77))/('01_MODELO'!$I$76-'01_MODELO'!$I$77),0)</f>
        <v>0</v>
      </c>
      <c r="CQ25" s="16">
        <f>IF(CQ$3='00_ESTRATEGIA'!$B$5*12,(CQ$24*12*(1+'01_MODELO'!$I$77))/('01_MODELO'!$I$76-'01_MODELO'!$I$77),0)</f>
        <v>0</v>
      </c>
      <c r="CR25" s="16">
        <f>IF(CR$3='00_ESTRATEGIA'!$B$5*12,(CR$24*12*(1+'01_MODELO'!$I$77))/('01_MODELO'!$I$76-'01_MODELO'!$I$77),0)</f>
        <v>0</v>
      </c>
      <c r="CS25" s="16">
        <f>IF(CS$3='00_ESTRATEGIA'!$B$5*12,(CS$24*12*(1+'01_MODELO'!$I$77))/('01_MODELO'!$I$76-'01_MODELO'!$I$77),0)</f>
        <v>0</v>
      </c>
      <c r="CT25" s="16">
        <f>IF(CT$3='00_ESTRATEGIA'!$B$5*12,(CT$24*12*(1+'01_MODELO'!$I$77))/('01_MODELO'!$I$76-'01_MODELO'!$I$77),0)</f>
        <v>0</v>
      </c>
      <c r="CU25" s="16">
        <f>IF(CU$3='00_ESTRATEGIA'!$B$5*12,(CU$24*12*(1+'01_MODELO'!$I$77))/('01_MODELO'!$I$76-'01_MODELO'!$I$77),0)</f>
        <v>0</v>
      </c>
      <c r="CV25" s="16">
        <f>IF(CV$3='00_ESTRATEGIA'!$B$5*12,(CV$24*12*(1+'01_MODELO'!$I$77))/('01_MODELO'!$I$76-'01_MODELO'!$I$77),0)</f>
        <v>0</v>
      </c>
      <c r="CW25" s="16">
        <f>IF(CW$3='00_ESTRATEGIA'!$B$5*12,(CW$24*12*(1+'01_MODELO'!$I$77))/('01_MODELO'!$I$76-'01_MODELO'!$I$77),0)</f>
        <v>0</v>
      </c>
      <c r="CX25" s="16">
        <f>IF(CX$3='00_ESTRATEGIA'!$B$5*12,(CX$24*12*(1+'01_MODELO'!$I$77))/('01_MODELO'!$I$76-'01_MODELO'!$I$77),0)</f>
        <v>0</v>
      </c>
      <c r="CY25" s="16">
        <f>IF(CY$3='00_ESTRATEGIA'!$B$5*12,(CY$24*12*(1+'01_MODELO'!$I$77))/('01_MODELO'!$I$76-'01_MODELO'!$I$77),0)</f>
        <v>0</v>
      </c>
      <c r="CZ25" s="16">
        <f>IF(CZ$3='00_ESTRATEGIA'!$B$5*12,(CZ$24*12*(1+'01_MODELO'!$I$77))/('01_MODELO'!$I$76-'01_MODELO'!$I$77),0)</f>
        <v>0</v>
      </c>
      <c r="DA25" s="16">
        <f>IF(DA$3='00_ESTRATEGIA'!$B$5*12,(DA$24*12*(1+'01_MODELO'!$I$77))/('01_MODELO'!$I$76-'01_MODELO'!$I$77),0)</f>
        <v>0</v>
      </c>
      <c r="DB25" s="16">
        <f>IF(DB$3='00_ESTRATEGIA'!$B$5*12,(DB$24*12*(1+'01_MODELO'!$I$77))/('01_MODELO'!$I$76-'01_MODELO'!$I$77),0)</f>
        <v>0</v>
      </c>
      <c r="DC25" s="16">
        <f>IF(DC$3='00_ESTRATEGIA'!$B$5*12,(DC$24*12*(1+'01_MODELO'!$I$77))/('01_MODELO'!$I$76-'01_MODELO'!$I$77),0)</f>
        <v>0</v>
      </c>
      <c r="DD25" s="16">
        <f>IF(DD$3='00_ESTRATEGIA'!$B$5*12,(DD$24*12*(1+'01_MODELO'!$I$77))/('01_MODELO'!$I$76-'01_MODELO'!$I$77),0)</f>
        <v>0</v>
      </c>
      <c r="DE25" s="16">
        <f>IF(DE$3='00_ESTRATEGIA'!$B$5*12,(DE$24*12*(1+'01_MODELO'!$I$77))/('01_MODELO'!$I$76-'01_MODELO'!$I$77),0)</f>
        <v>0</v>
      </c>
      <c r="DF25" s="16">
        <f>IF(DF$3='00_ESTRATEGIA'!$B$5*12,(DF$24*12*(1+'01_MODELO'!$I$77))/('01_MODELO'!$I$76-'01_MODELO'!$I$77),0)</f>
        <v>0</v>
      </c>
      <c r="DG25" s="16">
        <f>IF(DG$3='00_ESTRATEGIA'!$B$5*12,(DG$24*12*(1+'01_MODELO'!$I$77))/('01_MODELO'!$I$76-'01_MODELO'!$I$77),0)</f>
        <v>0</v>
      </c>
      <c r="DH25" s="16">
        <f>IF(DH$3='00_ESTRATEGIA'!$B$5*12,(DH$24*12*(1+'01_MODELO'!$I$77))/('01_MODELO'!$I$76-'01_MODELO'!$I$77),0)</f>
        <v>0</v>
      </c>
      <c r="DI25" s="16">
        <f>IF(DI$3='00_ESTRATEGIA'!$B$5*12,(DI$24*12*(1+'01_MODELO'!$I$77))/('01_MODELO'!$I$76-'01_MODELO'!$I$77),0)</f>
        <v>0</v>
      </c>
      <c r="DJ25" s="16">
        <f>IF(DJ$3='00_ESTRATEGIA'!$B$5*12,(DJ$24*12*(1+'01_MODELO'!$I$77))/('01_MODELO'!$I$76-'01_MODELO'!$I$77),0)</f>
        <v>0</v>
      </c>
      <c r="DK25" s="16">
        <f>IF(DK$3='00_ESTRATEGIA'!$B$5*12,(DK$24*12*(1+'01_MODELO'!$I$77))/('01_MODELO'!$I$76-'01_MODELO'!$I$77),0)</f>
        <v>0</v>
      </c>
      <c r="DL25" s="16">
        <f>IF(DL$3='00_ESTRATEGIA'!$B$5*12,(DL$24*12*(1+'01_MODELO'!$I$77))/('01_MODELO'!$I$76-'01_MODELO'!$I$77),0)</f>
        <v>0</v>
      </c>
      <c r="DM25" s="16">
        <f>IF(DM$3='00_ESTRATEGIA'!$B$5*12,(DM$24*12*(1+'01_MODELO'!$I$77))/('01_MODELO'!$I$76-'01_MODELO'!$I$77),0)</f>
        <v>0</v>
      </c>
      <c r="DN25" s="16">
        <f>IF(DN$3='00_ESTRATEGIA'!$B$5*12,(DN$24*12*(1+'01_MODELO'!$I$77))/('01_MODELO'!$I$76-'01_MODELO'!$I$77),0)</f>
        <v>0</v>
      </c>
      <c r="DO25" s="16">
        <f>IF(DO$3='00_ESTRATEGIA'!$B$5*12,(DO$24*12*(1+'01_MODELO'!$I$77))/('01_MODELO'!$I$76-'01_MODELO'!$I$77),0)</f>
        <v>0</v>
      </c>
      <c r="DP25" s="16">
        <f>IF(DP$3='00_ESTRATEGIA'!$B$5*12,(DP$24*12*(1+'01_MODELO'!$I$77))/('01_MODELO'!$I$76-'01_MODELO'!$I$77),0)</f>
        <v>0</v>
      </c>
      <c r="DQ25" s="16">
        <f>IF(DQ$3='00_ESTRATEGIA'!$B$5*12,(DQ$24*12*(1+'01_MODELO'!$I$77))/('01_MODELO'!$I$76-'01_MODELO'!$I$77),0)</f>
        <v>0</v>
      </c>
      <c r="DR25" s="16">
        <f>IF(DR$3='00_ESTRATEGIA'!$B$5*12,(DR$24*12*(1+'01_MODELO'!$I$77))/('01_MODELO'!$I$76-'01_MODELO'!$I$77),0)</f>
        <v>0</v>
      </c>
      <c r="DS25" s="16">
        <f>IF(DS$3='00_ESTRATEGIA'!$B$5*12,(DS$24*12*(1+'01_MODELO'!$I$77))/('01_MODELO'!$I$76-'01_MODELO'!$I$77),0)</f>
        <v>0</v>
      </c>
      <c r="DT25" s="16">
        <f>IF(DT$3='00_ESTRATEGIA'!$B$5*12,(DT$24*12*(1+'01_MODELO'!$I$77))/('01_MODELO'!$I$76-'01_MODELO'!$I$77),0)</f>
        <v>0</v>
      </c>
      <c r="DU25" s="16">
        <f>IF(DU$3='00_ESTRATEGIA'!$B$5*12,(DU$24*12*(1+'01_MODELO'!$I$77))/('01_MODELO'!$I$76-'01_MODELO'!$I$77),0)</f>
        <v>0</v>
      </c>
      <c r="DV25" s="16">
        <f>IF(DV$3='00_ESTRATEGIA'!$B$5*12,(DV$24*12*(1+'01_MODELO'!$I$77))/('01_MODELO'!$I$76-'01_MODELO'!$I$77),0)</f>
        <v>0</v>
      </c>
      <c r="DW25" s="16">
        <f>IF(DW$3='00_ESTRATEGIA'!$B$5*12,(DW$24*12*(1+'01_MODELO'!$I$77))/('01_MODELO'!$I$76-'01_MODELO'!$I$77),0)</f>
        <v>0</v>
      </c>
      <c r="DX25" s="16">
        <f>IF(DX$3='00_ESTRATEGIA'!$B$5*12,(DX$24*12*(1+'01_MODELO'!$I$77))/('01_MODELO'!$I$76-'01_MODELO'!$I$77),0)</f>
        <v>0</v>
      </c>
      <c r="DY25" s="16">
        <f>IF(DY$3='00_ESTRATEGIA'!$B$5*12,(DY$24*12*(1+'01_MODELO'!$I$77))/('01_MODELO'!$I$76-'01_MODELO'!$I$77),0)</f>
        <v>0</v>
      </c>
      <c r="DZ25" s="16">
        <f>IF(DZ$3='00_ESTRATEGIA'!$B$5*12,(DZ$24*12*(1+'01_MODELO'!$I$77))/('01_MODELO'!$I$76-'01_MODELO'!$I$77),0)</f>
        <v>0</v>
      </c>
      <c r="EA25" s="16">
        <f>IF(EA$3='00_ESTRATEGIA'!$B$5*12,(EA$24*12*(1+'01_MODELO'!$I$77))/('01_MODELO'!$I$76-'01_MODELO'!$I$77),0)</f>
        <v>0</v>
      </c>
      <c r="EB25" s="16">
        <f>IF(EB$3='00_ESTRATEGIA'!$B$5*12,(EB$24*12*(1+'01_MODELO'!$I$77))/('01_MODELO'!$I$76-'01_MODELO'!$I$77),0)</f>
        <v>0</v>
      </c>
      <c r="EC25" s="16">
        <f>IF(EC$3='00_ESTRATEGIA'!$B$5*12,(EC$24*12*(1+'01_MODELO'!$I$77))/('01_MODELO'!$I$76-'01_MODELO'!$I$77),0)</f>
        <v>0</v>
      </c>
      <c r="ED25" s="16">
        <f>IF(ED$3='00_ESTRATEGIA'!$B$5*12,(ED$24*12*(1+'01_MODELO'!$I$77))/('01_MODELO'!$I$76-'01_MODELO'!$I$77),0)</f>
        <v>0</v>
      </c>
      <c r="EE25" s="16">
        <f>IF(EE$3='00_ESTRATEGIA'!$B$5*12,(EE$24*12*(1+'01_MODELO'!$I$77))/('01_MODELO'!$I$76-'01_MODELO'!$I$77),0)</f>
        <v>0</v>
      </c>
      <c r="EF25" s="16">
        <f>IF(EF$3='00_ESTRATEGIA'!$B$5*12,(EF$24*12*(1+'01_MODELO'!$I$77))/('01_MODELO'!$I$76-'01_MODELO'!$I$77),0)</f>
        <v>0</v>
      </c>
      <c r="EG25" s="16">
        <f>IF(EG$3='00_ESTRATEGIA'!$B$5*12,(EG$24*12*(1+'01_MODELO'!$I$77))/('01_MODELO'!$I$76-'01_MODELO'!$I$77),0)</f>
        <v>0</v>
      </c>
      <c r="EH25" s="16">
        <f>IF(EH$3='00_ESTRATEGIA'!$B$5*12,(EH$24*12*(1+'01_MODELO'!$I$77))/('01_MODELO'!$I$76-'01_MODELO'!$I$77),0)</f>
        <v>0</v>
      </c>
      <c r="EI25" s="16">
        <f>IF(EI$3='00_ESTRATEGIA'!$B$5*12,(EI$24*12*(1+'01_MODELO'!$I$77))/('01_MODELO'!$I$76-'01_MODELO'!$I$77),0)</f>
        <v>0</v>
      </c>
      <c r="EJ25" s="16">
        <f>IF(EJ$3='00_ESTRATEGIA'!$B$5*12,(EJ$24*12*(1+'01_MODELO'!$I$77))/('01_MODELO'!$I$76-'01_MODELO'!$I$77),0)</f>
        <v>0</v>
      </c>
      <c r="EK25" s="16">
        <f>IF(EK$3='00_ESTRATEGIA'!$B$5*12,(EK$24*12*(1+'01_MODELO'!$I$77))/('01_MODELO'!$I$76-'01_MODELO'!$I$77),0)</f>
        <v>0</v>
      </c>
      <c r="EL25" s="16">
        <f>IF(EL$3='00_ESTRATEGIA'!$B$5*12,(EL$24*12*(1+'01_MODELO'!$I$77))/('01_MODELO'!$I$76-'01_MODELO'!$I$77),0)</f>
        <v>0</v>
      </c>
      <c r="EM25" s="16">
        <f>IF(EM$3='00_ESTRATEGIA'!$B$5*12,(EM$24*12*(1+'01_MODELO'!$I$77))/('01_MODELO'!$I$76-'01_MODELO'!$I$77),0)</f>
        <v>0</v>
      </c>
      <c r="EN25" s="16">
        <f>IF(EN$3='00_ESTRATEGIA'!$B$5*12,(EN$24*12*(1+'01_MODELO'!$I$77))/('01_MODELO'!$I$76-'01_MODELO'!$I$77),0)</f>
        <v>0</v>
      </c>
      <c r="EO25" s="16">
        <f>IF(EO$3='00_ESTRATEGIA'!$B$5*12,(EO$24*12*(1+'01_MODELO'!$I$77))/('01_MODELO'!$I$76-'01_MODELO'!$I$77),0)</f>
        <v>0</v>
      </c>
      <c r="EP25" s="16">
        <f>IF(EP$3='00_ESTRATEGIA'!$B$5*12,(EP$24*12*(1+'01_MODELO'!$I$77))/('01_MODELO'!$I$76-'01_MODELO'!$I$77),0)</f>
        <v>0</v>
      </c>
      <c r="EQ25" s="16">
        <f>IF(EQ$3='00_ESTRATEGIA'!$B$5*12,(EQ$24*12*(1+'01_MODELO'!$I$77))/('01_MODELO'!$I$76-'01_MODELO'!$I$77),0)</f>
        <v>0</v>
      </c>
      <c r="ER25" s="16">
        <f>IF(ER$3='00_ESTRATEGIA'!$B$5*12,(ER$24*12*(1+'01_MODELO'!$I$77))/('01_MODELO'!$I$76-'01_MODELO'!$I$77),0)</f>
        <v>0</v>
      </c>
      <c r="ES25" s="16">
        <f>IF(ES$3='00_ESTRATEGIA'!$B$5*12,(ES$24*12*(1+'01_MODELO'!$I$77))/('01_MODELO'!$I$76-'01_MODELO'!$I$77),0)</f>
        <v>0</v>
      </c>
      <c r="ET25" s="16">
        <f>IF(ET$3='00_ESTRATEGIA'!$B$5*12,(ET$24*12*(1+'01_MODELO'!$I$77))/('01_MODELO'!$I$76-'01_MODELO'!$I$77),0)</f>
        <v>0</v>
      </c>
      <c r="EU25" s="16">
        <f>IF(EU$3='00_ESTRATEGIA'!$B$5*12,(EU$24*12*(1+'01_MODELO'!$I$77))/('01_MODELO'!$I$76-'01_MODELO'!$I$77),0)</f>
        <v>0</v>
      </c>
      <c r="EV25" s="16">
        <f>IF(EV$3='00_ESTRATEGIA'!$B$5*12,(EV$24*12*(1+'01_MODELO'!$I$77))/('01_MODELO'!$I$76-'01_MODELO'!$I$77),0)</f>
        <v>0</v>
      </c>
      <c r="EW25" s="16">
        <f>IF(EW$3='00_ESTRATEGIA'!$B$5*12,(EW$24*12*(1+'01_MODELO'!$I$77))/('01_MODELO'!$I$76-'01_MODELO'!$I$77),0)</f>
        <v>0</v>
      </c>
      <c r="EX25" s="16">
        <f>IF(EX$3='00_ESTRATEGIA'!$B$5*12,(EX$24*12*(1+'01_MODELO'!$I$77))/('01_MODELO'!$I$76-'01_MODELO'!$I$77),0)</f>
        <v>0</v>
      </c>
      <c r="EY25" s="16">
        <f>IF(EY$3='00_ESTRATEGIA'!$B$5*12,(EY$24*12*(1+'01_MODELO'!$I$77))/('01_MODELO'!$I$76-'01_MODELO'!$I$77),0)</f>
        <v>0</v>
      </c>
      <c r="EZ25" s="16">
        <f>IF(EZ$3='00_ESTRATEGIA'!$B$5*12,(EZ$24*12*(1+'01_MODELO'!$I$77))/('01_MODELO'!$I$76-'01_MODELO'!$I$77),0)</f>
        <v>0</v>
      </c>
      <c r="FA25" s="16">
        <f>IF(FA$3='00_ESTRATEGIA'!$B$5*12,(FA$24*12*(1+'01_MODELO'!$I$77))/('01_MODELO'!$I$76-'01_MODELO'!$I$77),0)</f>
        <v>0</v>
      </c>
      <c r="FB25" s="16">
        <f>IF(FB$3='00_ESTRATEGIA'!$B$5*12,(FB$24*12*(1+'01_MODELO'!$I$77))/('01_MODELO'!$I$76-'01_MODELO'!$I$77),0)</f>
        <v>0</v>
      </c>
      <c r="FC25" s="16">
        <f>IF(FC$3='00_ESTRATEGIA'!$B$5*12,(FC$24*12*(1+'01_MODELO'!$I$77))/('01_MODELO'!$I$76-'01_MODELO'!$I$77),0)</f>
        <v>0</v>
      </c>
      <c r="FD25" s="16">
        <f>IF(FD$3='00_ESTRATEGIA'!$B$5*12,(FD$24*12*(1+'01_MODELO'!$I$77))/('01_MODELO'!$I$76-'01_MODELO'!$I$77),0)</f>
        <v>0</v>
      </c>
      <c r="FE25" s="16">
        <f>IF(FE$3='00_ESTRATEGIA'!$B$5*12,(FE$24*12*(1+'01_MODELO'!$I$77))/('01_MODELO'!$I$76-'01_MODELO'!$I$77),0)</f>
        <v>0</v>
      </c>
      <c r="FF25" s="16">
        <f>IF(FF$3='00_ESTRATEGIA'!$B$5*12,(FF$24*12*(1+'01_MODELO'!$I$77))/('01_MODELO'!$I$76-'01_MODELO'!$I$77),0)</f>
        <v>0</v>
      </c>
      <c r="FG25" s="16">
        <f>IF(FG$3='00_ESTRATEGIA'!$B$5*12,(FG$24*12*(1+'01_MODELO'!$I$77))/('01_MODELO'!$I$76-'01_MODELO'!$I$77),0)</f>
        <v>0</v>
      </c>
      <c r="FH25" s="16">
        <f>IF(FH$3='00_ESTRATEGIA'!$B$5*12,(FH$24*12*(1+'01_MODELO'!$I$77))/('01_MODELO'!$I$76-'01_MODELO'!$I$77),0)</f>
        <v>0</v>
      </c>
      <c r="FI25" s="16">
        <f>IF(FI$3='00_ESTRATEGIA'!$B$5*12,(FI$24*12*(1+'01_MODELO'!$I$77))/('01_MODELO'!$I$76-'01_MODELO'!$I$77),0)</f>
        <v>0</v>
      </c>
      <c r="FJ25" s="16">
        <f>IF(FJ$3='00_ESTRATEGIA'!$B$5*12,(FJ$24*12*(1+'01_MODELO'!$I$77))/('01_MODELO'!$I$76-'01_MODELO'!$I$77),0)</f>
        <v>0</v>
      </c>
      <c r="FK25" s="16">
        <f>IF(FK$3='00_ESTRATEGIA'!$B$5*12,(FK$24*12*(1+'01_MODELO'!$I$77))/('01_MODELO'!$I$76-'01_MODELO'!$I$77),0)</f>
        <v>0</v>
      </c>
      <c r="FL25" s="16">
        <f>IF(FL$3='00_ESTRATEGIA'!$B$5*12,(FL$24*12*(1+'01_MODELO'!$I$77))/('01_MODELO'!$I$76-'01_MODELO'!$I$77),0)</f>
        <v>0</v>
      </c>
      <c r="FM25" s="16">
        <f>IF(FM$3='00_ESTRATEGIA'!$B$5*12,(FM$24*12*(1+'01_MODELO'!$I$77))/('01_MODELO'!$I$76-'01_MODELO'!$I$77),0)</f>
        <v>0</v>
      </c>
      <c r="FN25" s="16">
        <f>IF(FN$3='00_ESTRATEGIA'!$B$5*12,(FN$24*12*(1+'01_MODELO'!$I$77))/('01_MODELO'!$I$76-'01_MODELO'!$I$77),0)</f>
        <v>0</v>
      </c>
      <c r="FO25" s="16">
        <f>IF(FO$3='00_ESTRATEGIA'!$B$5*12,(FO$24*12*(1+'01_MODELO'!$I$77))/('01_MODELO'!$I$76-'01_MODELO'!$I$77),0)</f>
        <v>0</v>
      </c>
      <c r="FP25" s="16">
        <f>IF(FP$3='00_ESTRATEGIA'!$B$5*12,(FP$24*12*(1+'01_MODELO'!$I$77))/('01_MODELO'!$I$76-'01_MODELO'!$I$77),0)</f>
        <v>0</v>
      </c>
      <c r="FQ25" s="16">
        <f>IF(FQ$3='00_ESTRATEGIA'!$B$5*12,(FQ$24*12*(1+'01_MODELO'!$I$77))/('01_MODELO'!$I$76-'01_MODELO'!$I$77),0)</f>
        <v>0</v>
      </c>
      <c r="FR25" s="16">
        <f>IF(FR$3='00_ESTRATEGIA'!$B$5*12,(FR$24*12*(1+'01_MODELO'!$I$77))/('01_MODELO'!$I$76-'01_MODELO'!$I$77),0)</f>
        <v>0</v>
      </c>
      <c r="FS25" s="16">
        <f>IF(FS$3='00_ESTRATEGIA'!$B$5*12,(FS$24*12*(1+'01_MODELO'!$I$77))/('01_MODELO'!$I$76-'01_MODELO'!$I$77),0)</f>
        <v>0</v>
      </c>
      <c r="FT25" s="16">
        <f>IF(FT$3='00_ESTRATEGIA'!$B$5*12,(FT$24*12*(1+'01_MODELO'!$I$77))/('01_MODELO'!$I$76-'01_MODELO'!$I$77),0)</f>
        <v>0</v>
      </c>
      <c r="FU25" s="16">
        <f>IF(FU$3='00_ESTRATEGIA'!$B$5*12,(FU$24*12*(1+'01_MODELO'!$I$77))/('01_MODELO'!$I$76-'01_MODELO'!$I$77),0)</f>
        <v>0</v>
      </c>
      <c r="FV25" s="16">
        <f>IF(FV$3='00_ESTRATEGIA'!$B$5*12,(FV$24*12*(1+'01_MODELO'!$I$77))/('01_MODELO'!$I$76-'01_MODELO'!$I$77),0)</f>
        <v>0</v>
      </c>
      <c r="FW25" s="16">
        <f>IF(FW$3='00_ESTRATEGIA'!$B$5*12,(FW$24*12*(1+'01_MODELO'!$I$77))/('01_MODELO'!$I$76-'01_MODELO'!$I$77),0)</f>
        <v>0</v>
      </c>
      <c r="FX25" s="16">
        <f>IF(FX$3='00_ESTRATEGIA'!$B$5*12,(FX$24*12*(1+'01_MODELO'!$I$77))/('01_MODELO'!$I$76-'01_MODELO'!$I$77),0)</f>
        <v>0</v>
      </c>
      <c r="FY25" s="16">
        <f>IF(FY$3='00_ESTRATEGIA'!$B$5*12,(FY$24*12*(1+'01_MODELO'!$I$77))/('01_MODELO'!$I$76-'01_MODELO'!$I$77),0)</f>
        <v>0</v>
      </c>
      <c r="FZ25" s="16">
        <f>IF(FZ$3='00_ESTRATEGIA'!$B$5*12,(FZ$24*12*(1+'01_MODELO'!$I$77))/('01_MODELO'!$I$76-'01_MODELO'!$I$77),0)</f>
        <v>5633872.1348264003</v>
      </c>
    </row>
    <row r="26" spans="1:182" ht="15.75" hidden="1" thickBot="1" x14ac:dyDescent="0.3">
      <c r="A26" s="155" t="s">
        <v>279</v>
      </c>
      <c r="B26" s="156">
        <f t="shared" ref="B26:AG26" si="30">B$8+B$24+B$25</f>
        <v>-1183546</v>
      </c>
      <c r="C26" s="156">
        <f t="shared" si="30"/>
        <v>0</v>
      </c>
      <c r="D26" s="156">
        <f t="shared" si="30"/>
        <v>0</v>
      </c>
      <c r="E26" s="156">
        <f t="shared" si="30"/>
        <v>0</v>
      </c>
      <c r="F26" s="156">
        <f t="shared" si="30"/>
        <v>0</v>
      </c>
      <c r="G26" s="156">
        <f t="shared" si="30"/>
        <v>0</v>
      </c>
      <c r="H26" s="156">
        <f t="shared" si="30"/>
        <v>0</v>
      </c>
      <c r="I26" s="156">
        <f t="shared" si="30"/>
        <v>0</v>
      </c>
      <c r="J26" s="156">
        <f t="shared" si="30"/>
        <v>0</v>
      </c>
      <c r="K26" s="156">
        <f t="shared" si="30"/>
        <v>0</v>
      </c>
      <c r="L26" s="156">
        <f t="shared" si="30"/>
        <v>0</v>
      </c>
      <c r="M26" s="156">
        <f t="shared" si="30"/>
        <v>-269680.32000000007</v>
      </c>
      <c r="N26" s="156">
        <f t="shared" si="30"/>
        <v>-269680.32000000007</v>
      </c>
      <c r="O26" s="156">
        <f t="shared" si="30"/>
        <v>-269680.32000000007</v>
      </c>
      <c r="P26" s="156">
        <f t="shared" si="30"/>
        <v>-269680.32000000007</v>
      </c>
      <c r="Q26" s="156">
        <f t="shared" si="30"/>
        <v>-269680.32000000007</v>
      </c>
      <c r="R26" s="156">
        <f t="shared" si="30"/>
        <v>-269680.32000000007</v>
      </c>
      <c r="S26" s="156">
        <f t="shared" si="30"/>
        <v>-269680.32000000007</v>
      </c>
      <c r="T26" s="156">
        <f t="shared" si="30"/>
        <v>-269680.32000000007</v>
      </c>
      <c r="U26" s="156">
        <f t="shared" si="30"/>
        <v>-269680.32000000007</v>
      </c>
      <c r="V26" s="156">
        <f t="shared" si="30"/>
        <v>-269680.32000000007</v>
      </c>
      <c r="W26" s="156">
        <f t="shared" si="30"/>
        <v>-269680.32000000007</v>
      </c>
      <c r="X26" s="156">
        <f t="shared" si="30"/>
        <v>-269680.32000000007</v>
      </c>
      <c r="Y26" s="156">
        <f t="shared" si="30"/>
        <v>-269680.32000000007</v>
      </c>
      <c r="Z26" s="156">
        <f t="shared" si="30"/>
        <v>-269680.32000000007</v>
      </c>
      <c r="AA26" s="156">
        <f t="shared" si="30"/>
        <v>-269680.32000000007</v>
      </c>
      <c r="AB26" s="156">
        <f t="shared" si="30"/>
        <v>-269680.32000000007</v>
      </c>
      <c r="AC26" s="156">
        <f t="shared" si="30"/>
        <v>-269680.32000000007</v>
      </c>
      <c r="AD26" s="156">
        <f t="shared" si="30"/>
        <v>-269680.32000000007</v>
      </c>
      <c r="AE26" s="156">
        <f t="shared" si="30"/>
        <v>-269680.32000000007</v>
      </c>
      <c r="AF26" s="156">
        <f t="shared" si="30"/>
        <v>-269680.32000000007</v>
      </c>
      <c r="AG26" s="156">
        <f t="shared" si="30"/>
        <v>-269680.32000000007</v>
      </c>
      <c r="AH26" s="156">
        <f t="shared" ref="AH26:BM26" si="31">AH$8+AH$24+AH$25</f>
        <v>-269680.32000000007</v>
      </c>
      <c r="AI26" s="156">
        <f t="shared" si="31"/>
        <v>-269680.32000000007</v>
      </c>
      <c r="AJ26" s="156">
        <f t="shared" si="31"/>
        <v>-269680.32000000007</v>
      </c>
      <c r="AK26" s="156">
        <f t="shared" si="31"/>
        <v>17735.057929199924</v>
      </c>
      <c r="AL26" s="156">
        <f t="shared" si="31"/>
        <v>17756.297519534295</v>
      </c>
      <c r="AM26" s="156">
        <f t="shared" si="31"/>
        <v>17777.537109868666</v>
      </c>
      <c r="AN26" s="156">
        <f t="shared" si="31"/>
        <v>17798.776700203041</v>
      </c>
      <c r="AO26" s="156">
        <f t="shared" si="31"/>
        <v>17820.016290537409</v>
      </c>
      <c r="AP26" s="156">
        <f t="shared" si="31"/>
        <v>17841.25588087178</v>
      </c>
      <c r="AQ26" s="156">
        <f t="shared" si="31"/>
        <v>17862.495471206152</v>
      </c>
      <c r="AR26" s="156">
        <f t="shared" si="31"/>
        <v>17883.735061540523</v>
      </c>
      <c r="AS26" s="156">
        <f t="shared" si="31"/>
        <v>17904.974651874894</v>
      </c>
      <c r="AT26" s="156">
        <f t="shared" si="31"/>
        <v>17926.214242209266</v>
      </c>
      <c r="AU26" s="156">
        <f t="shared" si="31"/>
        <v>17947.453832543637</v>
      </c>
      <c r="AV26" s="156">
        <f t="shared" si="31"/>
        <v>17968.693422878012</v>
      </c>
      <c r="AW26" s="156">
        <f t="shared" si="31"/>
        <v>17989.93301321238</v>
      </c>
      <c r="AX26" s="156">
        <f t="shared" si="31"/>
        <v>18011.172603546751</v>
      </c>
      <c r="AY26" s="156">
        <f t="shared" si="31"/>
        <v>18032.412193881122</v>
      </c>
      <c r="AZ26" s="156">
        <f t="shared" si="31"/>
        <v>18053.651784215494</v>
      </c>
      <c r="BA26" s="156">
        <f t="shared" si="31"/>
        <v>18074.891374549865</v>
      </c>
      <c r="BB26" s="156">
        <f t="shared" si="31"/>
        <v>18096.130964884236</v>
      </c>
      <c r="BC26" s="156">
        <f t="shared" si="31"/>
        <v>18117.370555218604</v>
      </c>
      <c r="BD26" s="156">
        <f t="shared" si="31"/>
        <v>18138.610145552975</v>
      </c>
      <c r="BE26" s="156">
        <f t="shared" si="31"/>
        <v>18159.84973588735</v>
      </c>
      <c r="BF26" s="156">
        <f t="shared" si="31"/>
        <v>18181.089326221721</v>
      </c>
      <c r="BG26" s="156">
        <f t="shared" si="31"/>
        <v>18202.328916556093</v>
      </c>
      <c r="BH26" s="156">
        <f t="shared" si="31"/>
        <v>18223.568506890464</v>
      </c>
      <c r="BI26" s="156">
        <f t="shared" si="31"/>
        <v>18244.808097224832</v>
      </c>
      <c r="BJ26" s="156">
        <f t="shared" si="31"/>
        <v>18266.047687559207</v>
      </c>
      <c r="BK26" s="156">
        <f t="shared" si="31"/>
        <v>18287.287277893574</v>
      </c>
      <c r="BL26" s="156">
        <f t="shared" si="31"/>
        <v>18308.526868227942</v>
      </c>
      <c r="BM26" s="156">
        <f t="shared" si="31"/>
        <v>18329.766458562321</v>
      </c>
      <c r="BN26" s="156">
        <f t="shared" ref="BN26:CS26" si="32">BN$8+BN$24+BN$25</f>
        <v>18351.006048896688</v>
      </c>
      <c r="BO26" s="156">
        <f t="shared" si="32"/>
        <v>18372.245639231063</v>
      </c>
      <c r="BP26" s="156">
        <f t="shared" si="32"/>
        <v>18393.485229565431</v>
      </c>
      <c r="BQ26" s="156">
        <f t="shared" si="32"/>
        <v>18414.724819899802</v>
      </c>
      <c r="BR26" s="156">
        <f t="shared" si="32"/>
        <v>18435.964410234174</v>
      </c>
      <c r="BS26" s="156">
        <f t="shared" si="32"/>
        <v>18457.204000568545</v>
      </c>
      <c r="BT26" s="156">
        <f t="shared" si="32"/>
        <v>18478.443590902913</v>
      </c>
      <c r="BU26" s="156">
        <f t="shared" si="32"/>
        <v>18499.683181237287</v>
      </c>
      <c r="BV26" s="156">
        <f t="shared" si="32"/>
        <v>18520.922771571662</v>
      </c>
      <c r="BW26" s="156">
        <f t="shared" si="32"/>
        <v>18542.16236190603</v>
      </c>
      <c r="BX26" s="156">
        <f t="shared" si="32"/>
        <v>18563.401952240401</v>
      </c>
      <c r="BY26" s="156">
        <f t="shared" si="32"/>
        <v>18584.641542574769</v>
      </c>
      <c r="BZ26" s="156">
        <f t="shared" si="32"/>
        <v>18605.881132909144</v>
      </c>
      <c r="CA26" s="156">
        <f t="shared" si="32"/>
        <v>18627.120723243512</v>
      </c>
      <c r="CB26" s="156">
        <f t="shared" si="32"/>
        <v>18648.360313577883</v>
      </c>
      <c r="CC26" s="156">
        <f t="shared" si="32"/>
        <v>18669.599903912254</v>
      </c>
      <c r="CD26" s="156">
        <f t="shared" si="32"/>
        <v>18690.839494246629</v>
      </c>
      <c r="CE26" s="156">
        <f t="shared" si="32"/>
        <v>18712.079084581001</v>
      </c>
      <c r="CF26" s="156">
        <f t="shared" si="32"/>
        <v>18733.318674915368</v>
      </c>
      <c r="CG26" s="156">
        <f t="shared" si="32"/>
        <v>18754.558265249743</v>
      </c>
      <c r="CH26" s="156">
        <f t="shared" si="32"/>
        <v>18775.797855584111</v>
      </c>
      <c r="CI26" s="156">
        <f t="shared" si="32"/>
        <v>18797.037445918482</v>
      </c>
      <c r="CJ26" s="156">
        <f t="shared" si="32"/>
        <v>18818.277036252854</v>
      </c>
      <c r="CK26" s="156">
        <f t="shared" si="32"/>
        <v>18839.516626587225</v>
      </c>
      <c r="CL26" s="156">
        <f t="shared" si="32"/>
        <v>18860.756216921596</v>
      </c>
      <c r="CM26" s="156">
        <f t="shared" si="32"/>
        <v>18881.995807255968</v>
      </c>
      <c r="CN26" s="156">
        <f t="shared" si="32"/>
        <v>18903.235397590339</v>
      </c>
      <c r="CO26" s="156">
        <f t="shared" si="32"/>
        <v>18924.47498792471</v>
      </c>
      <c r="CP26" s="156">
        <f t="shared" si="32"/>
        <v>18945.714578259081</v>
      </c>
      <c r="CQ26" s="156">
        <f t="shared" si="32"/>
        <v>18966.954168593453</v>
      </c>
      <c r="CR26" s="156">
        <f t="shared" si="32"/>
        <v>18988.193758927824</v>
      </c>
      <c r="CS26" s="156">
        <f t="shared" si="32"/>
        <v>19009.433349262195</v>
      </c>
      <c r="CT26" s="156">
        <f t="shared" ref="CT26:DY26" si="33">CT$8+CT$24+CT$25</f>
        <v>19030.67293959657</v>
      </c>
      <c r="CU26" s="156">
        <f t="shared" si="33"/>
        <v>19051.912529930938</v>
      </c>
      <c r="CV26" s="156">
        <f t="shared" si="33"/>
        <v>19073.152120265309</v>
      </c>
      <c r="CW26" s="156">
        <f t="shared" si="33"/>
        <v>19094.391710599681</v>
      </c>
      <c r="CX26" s="156">
        <f t="shared" si="33"/>
        <v>19115.631300934052</v>
      </c>
      <c r="CY26" s="156">
        <f t="shared" si="33"/>
        <v>19136.870891268423</v>
      </c>
      <c r="CZ26" s="156">
        <f t="shared" si="33"/>
        <v>19158.110481602795</v>
      </c>
      <c r="DA26" s="156">
        <f t="shared" si="33"/>
        <v>19179.350071937162</v>
      </c>
      <c r="DB26" s="156">
        <f t="shared" si="33"/>
        <v>19200.589662271534</v>
      </c>
      <c r="DC26" s="156">
        <f t="shared" si="33"/>
        <v>19221.829252605909</v>
      </c>
      <c r="DD26" s="156">
        <f t="shared" si="33"/>
        <v>19243.06884294028</v>
      </c>
      <c r="DE26" s="156">
        <f t="shared" si="33"/>
        <v>19264.308433274651</v>
      </c>
      <c r="DF26" s="156">
        <f t="shared" si="33"/>
        <v>19285.548023609022</v>
      </c>
      <c r="DG26" s="156">
        <f t="shared" si="33"/>
        <v>19306.78761394339</v>
      </c>
      <c r="DH26" s="156">
        <f t="shared" si="33"/>
        <v>19328.027204277765</v>
      </c>
      <c r="DI26" s="156">
        <f t="shared" si="33"/>
        <v>19349.266794612133</v>
      </c>
      <c r="DJ26" s="156">
        <f t="shared" si="33"/>
        <v>19370.506384946508</v>
      </c>
      <c r="DK26" s="156">
        <f t="shared" si="33"/>
        <v>19391.745975280875</v>
      </c>
      <c r="DL26" s="156">
        <f t="shared" si="33"/>
        <v>19412.985565615247</v>
      </c>
      <c r="DM26" s="156">
        <f t="shared" si="33"/>
        <v>19434.225155949622</v>
      </c>
      <c r="DN26" s="156">
        <f t="shared" si="33"/>
        <v>19455.464746283989</v>
      </c>
      <c r="DO26" s="156">
        <f t="shared" si="33"/>
        <v>19476.704336618361</v>
      </c>
      <c r="DP26" s="156">
        <f t="shared" si="33"/>
        <v>19497.943926952732</v>
      </c>
      <c r="DQ26" s="156">
        <f t="shared" si="33"/>
        <v>19519.183517287103</v>
      </c>
      <c r="DR26" s="156">
        <f t="shared" si="33"/>
        <v>19540.423107621471</v>
      </c>
      <c r="DS26" s="156">
        <f t="shared" si="33"/>
        <v>19561.662697955846</v>
      </c>
      <c r="DT26" s="156">
        <f t="shared" si="33"/>
        <v>19582.902288290221</v>
      </c>
      <c r="DU26" s="156">
        <f t="shared" si="33"/>
        <v>19604.141878624589</v>
      </c>
      <c r="DV26" s="156">
        <f t="shared" si="33"/>
        <v>19625.38146895896</v>
      </c>
      <c r="DW26" s="156">
        <f t="shared" si="33"/>
        <v>19646.621059293331</v>
      </c>
      <c r="DX26" s="156">
        <f t="shared" si="33"/>
        <v>19667.860649627703</v>
      </c>
      <c r="DY26" s="156">
        <f t="shared" si="33"/>
        <v>19689.10023996207</v>
      </c>
      <c r="DZ26" s="156">
        <f t="shared" ref="DZ26:FE26" si="34">DZ$8+DZ$24+DZ$25</f>
        <v>19710.339830296442</v>
      </c>
      <c r="EA26" s="156">
        <f t="shared" si="34"/>
        <v>19731.579420630813</v>
      </c>
      <c r="EB26" s="156">
        <f t="shared" si="34"/>
        <v>19752.819010965188</v>
      </c>
      <c r="EC26" s="156">
        <f t="shared" si="34"/>
        <v>19774.058601299559</v>
      </c>
      <c r="ED26" s="156">
        <f t="shared" si="34"/>
        <v>19795.298191633927</v>
      </c>
      <c r="EE26" s="156">
        <f t="shared" si="34"/>
        <v>19816.537781968302</v>
      </c>
      <c r="EF26" s="156">
        <f t="shared" si="34"/>
        <v>19837.777372302669</v>
      </c>
      <c r="EG26" s="156">
        <f t="shared" si="34"/>
        <v>19859.016962637041</v>
      </c>
      <c r="EH26" s="156">
        <f t="shared" si="34"/>
        <v>19880.256552971412</v>
      </c>
      <c r="EI26" s="156">
        <f t="shared" si="34"/>
        <v>19901.496143305783</v>
      </c>
      <c r="EJ26" s="156">
        <f t="shared" si="34"/>
        <v>19922.735733640155</v>
      </c>
      <c r="EK26" s="156">
        <f t="shared" si="34"/>
        <v>19943.975323974526</v>
      </c>
      <c r="EL26" s="156">
        <f t="shared" si="34"/>
        <v>19965.214914308897</v>
      </c>
      <c r="EM26" s="156">
        <f t="shared" si="34"/>
        <v>19986.454504643269</v>
      </c>
      <c r="EN26" s="156">
        <f t="shared" si="34"/>
        <v>20007.69409497764</v>
      </c>
      <c r="EO26" s="156">
        <f t="shared" si="34"/>
        <v>20028.933685312011</v>
      </c>
      <c r="EP26" s="156">
        <f t="shared" si="34"/>
        <v>20050.173275646383</v>
      </c>
      <c r="EQ26" s="156">
        <f t="shared" si="34"/>
        <v>20071.412865980754</v>
      </c>
      <c r="ER26" s="156">
        <f t="shared" si="34"/>
        <v>20092.652456315129</v>
      </c>
      <c r="ES26" s="156">
        <f t="shared" si="34"/>
        <v>20113.892046649496</v>
      </c>
      <c r="ET26" s="156">
        <f t="shared" si="34"/>
        <v>20135.131636983868</v>
      </c>
      <c r="EU26" s="156">
        <f t="shared" si="34"/>
        <v>20156.371227318239</v>
      </c>
      <c r="EV26" s="156">
        <f t="shared" si="34"/>
        <v>20177.61081765261</v>
      </c>
      <c r="EW26" s="156">
        <f t="shared" si="34"/>
        <v>20198.850407986982</v>
      </c>
      <c r="EX26" s="156">
        <f t="shared" si="34"/>
        <v>20220.089998321353</v>
      </c>
      <c r="EY26" s="156">
        <f t="shared" si="34"/>
        <v>20241.329588655721</v>
      </c>
      <c r="EZ26" s="156">
        <f t="shared" si="34"/>
        <v>20262.569178990092</v>
      </c>
      <c r="FA26" s="156">
        <f t="shared" si="34"/>
        <v>20283.808769324467</v>
      </c>
      <c r="FB26" s="156">
        <f t="shared" si="34"/>
        <v>20305.048359658838</v>
      </c>
      <c r="FC26" s="156">
        <f t="shared" si="34"/>
        <v>20326.28794999321</v>
      </c>
      <c r="FD26" s="156">
        <f t="shared" si="34"/>
        <v>20347.527540327581</v>
      </c>
      <c r="FE26" s="156">
        <f t="shared" si="34"/>
        <v>20368.767130661949</v>
      </c>
      <c r="FF26" s="156">
        <f t="shared" ref="FF26:FZ26" si="35">FF$8+FF$24+FF$25</f>
        <v>20390.006720996324</v>
      </c>
      <c r="FG26" s="156">
        <f t="shared" si="35"/>
        <v>20411.246311330691</v>
      </c>
      <c r="FH26" s="156">
        <f t="shared" si="35"/>
        <v>20432.485901665059</v>
      </c>
      <c r="FI26" s="156">
        <f t="shared" si="35"/>
        <v>20453.725491999438</v>
      </c>
      <c r="FJ26" s="156">
        <f t="shared" si="35"/>
        <v>20474.965082333805</v>
      </c>
      <c r="FK26" s="156">
        <f t="shared" si="35"/>
        <v>20496.20467266818</v>
      </c>
      <c r="FL26" s="156">
        <f t="shared" si="35"/>
        <v>20517.444263002548</v>
      </c>
      <c r="FM26" s="156">
        <f t="shared" si="35"/>
        <v>20538.683853336919</v>
      </c>
      <c r="FN26" s="156">
        <f t="shared" si="35"/>
        <v>20559.92344367129</v>
      </c>
      <c r="FO26" s="156">
        <f t="shared" si="35"/>
        <v>20581.163034005662</v>
      </c>
      <c r="FP26" s="156">
        <f t="shared" si="35"/>
        <v>20602.402624340029</v>
      </c>
      <c r="FQ26" s="156">
        <f t="shared" si="35"/>
        <v>20623.642214674404</v>
      </c>
      <c r="FR26" s="156">
        <f t="shared" si="35"/>
        <v>20644.881805008779</v>
      </c>
      <c r="FS26" s="156">
        <f t="shared" si="35"/>
        <v>20666.121395343147</v>
      </c>
      <c r="FT26" s="156">
        <f t="shared" si="35"/>
        <v>20687.360985677518</v>
      </c>
      <c r="FU26" s="156">
        <f t="shared" si="35"/>
        <v>20708.600576011886</v>
      </c>
      <c r="FV26" s="156">
        <f t="shared" si="35"/>
        <v>20729.840166346261</v>
      </c>
      <c r="FW26" s="156">
        <f t="shared" si="35"/>
        <v>20751.079756680629</v>
      </c>
      <c r="FX26" s="156">
        <f t="shared" si="35"/>
        <v>20772.319347015</v>
      </c>
      <c r="FY26" s="156">
        <f t="shared" si="35"/>
        <v>20793.558937349371</v>
      </c>
      <c r="FZ26" s="156">
        <f t="shared" si="35"/>
        <v>5654686.9333540844</v>
      </c>
    </row>
    <row r="27" spans="1:182" ht="15.75" customHeight="1" thickTop="1" x14ac:dyDescent="0.25">
      <c r="A27" s="250" t="s">
        <v>282</v>
      </c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  <c r="BD27" s="152"/>
      <c r="BE27" s="152"/>
      <c r="BF27" s="152"/>
      <c r="BG27" s="152"/>
      <c r="BH27" s="152"/>
      <c r="BI27" s="152"/>
      <c r="BJ27" s="152"/>
      <c r="BK27" s="152"/>
      <c r="BL27" s="152"/>
      <c r="BM27" s="152"/>
      <c r="BN27" s="152"/>
      <c r="BO27" s="152"/>
      <c r="BP27" s="152"/>
      <c r="BQ27" s="152"/>
      <c r="BR27" s="152"/>
      <c r="BS27" s="152"/>
      <c r="BT27" s="152"/>
      <c r="BU27" s="152"/>
      <c r="BV27" s="152"/>
      <c r="BW27" s="152"/>
      <c r="BX27" s="152"/>
      <c r="BY27" s="152"/>
      <c r="BZ27" s="152"/>
      <c r="CA27" s="152"/>
      <c r="CB27" s="152"/>
      <c r="CC27" s="152"/>
      <c r="CD27" s="152"/>
      <c r="CE27" s="152"/>
      <c r="CF27" s="152"/>
      <c r="CG27" s="152"/>
      <c r="CH27" s="152"/>
      <c r="CI27" s="152"/>
      <c r="CJ27" s="152"/>
      <c r="CK27" s="152"/>
      <c r="CL27" s="152"/>
      <c r="CM27" s="152"/>
      <c r="CN27" s="152"/>
      <c r="CO27" s="152"/>
      <c r="CP27" s="152"/>
      <c r="CQ27" s="152"/>
      <c r="CR27" s="152"/>
      <c r="CS27" s="152"/>
      <c r="CT27" s="152"/>
      <c r="CU27" s="152"/>
      <c r="CV27" s="152"/>
      <c r="CW27" s="152"/>
      <c r="CX27" s="152"/>
      <c r="CY27" s="152"/>
      <c r="CZ27" s="152"/>
      <c r="DA27" s="152"/>
      <c r="DB27" s="152"/>
      <c r="DC27" s="152"/>
      <c r="DD27" s="152"/>
      <c r="DE27" s="152"/>
      <c r="DF27" s="152"/>
      <c r="DG27" s="152"/>
      <c r="DH27" s="152"/>
      <c r="DI27" s="152"/>
      <c r="DJ27" s="152"/>
      <c r="DK27" s="152"/>
      <c r="DL27" s="152"/>
      <c r="DM27" s="152"/>
      <c r="DN27" s="152"/>
      <c r="DO27" s="152"/>
      <c r="DP27" s="152"/>
      <c r="DQ27" s="152"/>
      <c r="DR27" s="152"/>
      <c r="DS27" s="152"/>
      <c r="DT27" s="152"/>
      <c r="DU27" s="152"/>
      <c r="DV27" s="152"/>
      <c r="DW27" s="152"/>
      <c r="DX27" s="152"/>
      <c r="DY27" s="152"/>
      <c r="DZ27" s="152"/>
      <c r="EA27" s="152"/>
      <c r="EB27" s="152"/>
      <c r="EC27" s="152"/>
      <c r="ED27" s="152"/>
      <c r="EE27" s="152"/>
      <c r="EF27" s="152"/>
      <c r="EG27" s="152"/>
      <c r="EH27" s="152"/>
      <c r="EI27" s="152"/>
      <c r="EJ27" s="152"/>
      <c r="EK27" s="152"/>
      <c r="EL27" s="152"/>
      <c r="EM27" s="152"/>
      <c r="EN27" s="152"/>
      <c r="EO27" s="152"/>
      <c r="EP27" s="152"/>
      <c r="EQ27" s="152"/>
      <c r="ER27" s="152"/>
      <c r="ES27" s="152"/>
      <c r="ET27" s="152"/>
      <c r="EU27" s="152"/>
      <c r="EV27" s="152"/>
      <c r="EW27" s="152"/>
      <c r="EX27" s="152"/>
      <c r="EY27" s="152"/>
      <c r="EZ27" s="152"/>
      <c r="FA27" s="152"/>
      <c r="FB27" s="152"/>
      <c r="FC27" s="152"/>
      <c r="FD27" s="152"/>
      <c r="FE27" s="152"/>
      <c r="FF27" s="152"/>
      <c r="FG27" s="152"/>
      <c r="FH27" s="152"/>
      <c r="FI27" s="152"/>
      <c r="FJ27" s="152"/>
      <c r="FK27" s="152"/>
      <c r="FL27" s="152"/>
      <c r="FM27" s="152"/>
      <c r="FN27" s="152"/>
      <c r="FO27" s="152"/>
      <c r="FP27" s="152"/>
      <c r="FQ27" s="152"/>
      <c r="FR27" s="152"/>
      <c r="FS27" s="152"/>
      <c r="FT27" s="152"/>
      <c r="FU27" s="152"/>
      <c r="FV27" s="152"/>
      <c r="FW27" s="152"/>
      <c r="FX27" s="152"/>
      <c r="FY27" s="152"/>
      <c r="FZ27" s="152"/>
    </row>
    <row r="28" spans="1:182" x14ac:dyDescent="0.25">
      <c r="A28" s="203" t="s">
        <v>283</v>
      </c>
      <c r="B28" s="204">
        <f>MAX(0,-(B20+B29+B37+B38))</f>
        <v>1183546</v>
      </c>
      <c r="C28" s="204">
        <f t="shared" ref="C28:BN28" si="36">MAX(0,-(C20+C29+C37+C38))</f>
        <v>0</v>
      </c>
      <c r="D28" s="204">
        <f t="shared" si="36"/>
        <v>0</v>
      </c>
      <c r="E28" s="204">
        <f t="shared" si="36"/>
        <v>0</v>
      </c>
      <c r="F28" s="204">
        <f t="shared" si="36"/>
        <v>0</v>
      </c>
      <c r="G28" s="204">
        <f t="shared" si="36"/>
        <v>0</v>
      </c>
      <c r="H28" s="204">
        <f t="shared" si="36"/>
        <v>0</v>
      </c>
      <c r="I28" s="204">
        <f t="shared" si="36"/>
        <v>0</v>
      </c>
      <c r="J28" s="204">
        <f t="shared" si="36"/>
        <v>0</v>
      </c>
      <c r="K28" s="204">
        <f t="shared" si="36"/>
        <v>0</v>
      </c>
      <c r="L28" s="204">
        <f t="shared" si="36"/>
        <v>0</v>
      </c>
      <c r="M28" s="204">
        <f t="shared" si="36"/>
        <v>33305.519520000031</v>
      </c>
      <c r="N28" s="204">
        <f t="shared" si="36"/>
        <v>1640.5552800000014</v>
      </c>
      <c r="O28" s="204">
        <f t="shared" si="36"/>
        <v>1528.1884800000014</v>
      </c>
      <c r="P28" s="204">
        <f t="shared" si="36"/>
        <v>1415.8216800000016</v>
      </c>
      <c r="Q28" s="204">
        <f t="shared" si="36"/>
        <v>1303.4548800000014</v>
      </c>
      <c r="R28" s="204">
        <f t="shared" si="36"/>
        <v>1191.0880800000011</v>
      </c>
      <c r="S28" s="204">
        <f t="shared" si="36"/>
        <v>1078.7212800000013</v>
      </c>
      <c r="T28" s="204">
        <f t="shared" si="36"/>
        <v>966.35448000000133</v>
      </c>
      <c r="U28" s="204">
        <f t="shared" si="36"/>
        <v>853.98768000000121</v>
      </c>
      <c r="V28" s="204">
        <f t="shared" si="36"/>
        <v>741.62088000000108</v>
      </c>
      <c r="W28" s="204">
        <f t="shared" si="36"/>
        <v>629.25408000000095</v>
      </c>
      <c r="X28" s="204">
        <f t="shared" si="36"/>
        <v>516.88728000000083</v>
      </c>
      <c r="Y28" s="204">
        <f t="shared" si="36"/>
        <v>0</v>
      </c>
      <c r="Z28" s="204">
        <f t="shared" si="36"/>
        <v>0</v>
      </c>
      <c r="AA28" s="204">
        <f t="shared" si="36"/>
        <v>0</v>
      </c>
      <c r="AB28" s="204">
        <f t="shared" si="36"/>
        <v>0</v>
      </c>
      <c r="AC28" s="204">
        <f t="shared" si="36"/>
        <v>77930.320000000065</v>
      </c>
      <c r="AD28" s="204">
        <f t="shared" si="36"/>
        <v>77930.320000000065</v>
      </c>
      <c r="AE28" s="204">
        <f t="shared" si="36"/>
        <v>77930.320000000065</v>
      </c>
      <c r="AF28" s="204">
        <f t="shared" si="36"/>
        <v>77930.320000000065</v>
      </c>
      <c r="AG28" s="204">
        <f t="shared" si="36"/>
        <v>77930.320000000065</v>
      </c>
      <c r="AH28" s="204">
        <f t="shared" si="36"/>
        <v>77930.320000000065</v>
      </c>
      <c r="AI28" s="204">
        <f t="shared" si="36"/>
        <v>88655.320000000065</v>
      </c>
      <c r="AJ28" s="204">
        <f t="shared" si="36"/>
        <v>95805.320000000065</v>
      </c>
      <c r="AK28" s="204">
        <f t="shared" si="36"/>
        <v>0</v>
      </c>
      <c r="AL28" s="204">
        <f t="shared" si="36"/>
        <v>0</v>
      </c>
      <c r="AM28" s="204">
        <f t="shared" si="36"/>
        <v>0</v>
      </c>
      <c r="AN28" s="204">
        <f t="shared" si="36"/>
        <v>0</v>
      </c>
      <c r="AO28" s="204">
        <f t="shared" si="36"/>
        <v>0</v>
      </c>
      <c r="AP28" s="204">
        <f t="shared" si="36"/>
        <v>0</v>
      </c>
      <c r="AQ28" s="204">
        <f t="shared" si="36"/>
        <v>0</v>
      </c>
      <c r="AR28" s="204">
        <f t="shared" si="36"/>
        <v>0</v>
      </c>
      <c r="AS28" s="204">
        <f t="shared" si="36"/>
        <v>0</v>
      </c>
      <c r="AT28" s="204">
        <f t="shared" si="36"/>
        <v>0</v>
      </c>
      <c r="AU28" s="204">
        <f t="shared" si="36"/>
        <v>0</v>
      </c>
      <c r="AV28" s="204">
        <f t="shared" si="36"/>
        <v>0</v>
      </c>
      <c r="AW28" s="204">
        <f t="shared" si="36"/>
        <v>0</v>
      </c>
      <c r="AX28" s="204">
        <f t="shared" si="36"/>
        <v>0</v>
      </c>
      <c r="AY28" s="204">
        <f t="shared" si="36"/>
        <v>0</v>
      </c>
      <c r="AZ28" s="204">
        <f t="shared" si="36"/>
        <v>0</v>
      </c>
      <c r="BA28" s="204">
        <f t="shared" si="36"/>
        <v>0</v>
      </c>
      <c r="BB28" s="204">
        <f t="shared" si="36"/>
        <v>0</v>
      </c>
      <c r="BC28" s="204">
        <f t="shared" si="36"/>
        <v>0</v>
      </c>
      <c r="BD28" s="204">
        <f t="shared" si="36"/>
        <v>0</v>
      </c>
      <c r="BE28" s="204">
        <f t="shared" si="36"/>
        <v>0</v>
      </c>
      <c r="BF28" s="204">
        <f t="shared" si="36"/>
        <v>0</v>
      </c>
      <c r="BG28" s="204">
        <f t="shared" si="36"/>
        <v>0</v>
      </c>
      <c r="BH28" s="204">
        <f t="shared" si="36"/>
        <v>0</v>
      </c>
      <c r="BI28" s="204">
        <f t="shared" si="36"/>
        <v>0</v>
      </c>
      <c r="BJ28" s="204">
        <f t="shared" si="36"/>
        <v>0</v>
      </c>
      <c r="BK28" s="204">
        <f t="shared" si="36"/>
        <v>0</v>
      </c>
      <c r="BL28" s="204">
        <f t="shared" si="36"/>
        <v>0</v>
      </c>
      <c r="BM28" s="204">
        <f t="shared" si="36"/>
        <v>0</v>
      </c>
      <c r="BN28" s="204">
        <f t="shared" si="36"/>
        <v>0</v>
      </c>
      <c r="BO28" s="204">
        <f t="shared" ref="BO28:DZ28" si="37">MAX(0,-(BO20+BO29+BO37+BO38))</f>
        <v>0</v>
      </c>
      <c r="BP28" s="204">
        <f t="shared" si="37"/>
        <v>0</v>
      </c>
      <c r="BQ28" s="204">
        <f t="shared" si="37"/>
        <v>0</v>
      </c>
      <c r="BR28" s="204">
        <f t="shared" si="37"/>
        <v>0</v>
      </c>
      <c r="BS28" s="204">
        <f t="shared" si="37"/>
        <v>0</v>
      </c>
      <c r="BT28" s="204">
        <f t="shared" si="37"/>
        <v>0</v>
      </c>
      <c r="BU28" s="204">
        <f t="shared" si="37"/>
        <v>0</v>
      </c>
      <c r="BV28" s="204">
        <f t="shared" si="37"/>
        <v>0</v>
      </c>
      <c r="BW28" s="204">
        <f t="shared" si="37"/>
        <v>0</v>
      </c>
      <c r="BX28" s="204">
        <f t="shared" si="37"/>
        <v>0</v>
      </c>
      <c r="BY28" s="204">
        <f t="shared" si="37"/>
        <v>0</v>
      </c>
      <c r="BZ28" s="204">
        <f t="shared" si="37"/>
        <v>0</v>
      </c>
      <c r="CA28" s="204">
        <f t="shared" si="37"/>
        <v>0</v>
      </c>
      <c r="CB28" s="204">
        <f t="shared" si="37"/>
        <v>0</v>
      </c>
      <c r="CC28" s="204">
        <f t="shared" si="37"/>
        <v>0</v>
      </c>
      <c r="CD28" s="204">
        <f t="shared" si="37"/>
        <v>0</v>
      </c>
      <c r="CE28" s="204">
        <f t="shared" si="37"/>
        <v>0</v>
      </c>
      <c r="CF28" s="204">
        <f t="shared" si="37"/>
        <v>0</v>
      </c>
      <c r="CG28" s="204">
        <f t="shared" si="37"/>
        <v>0</v>
      </c>
      <c r="CH28" s="204">
        <f t="shared" si="37"/>
        <v>0</v>
      </c>
      <c r="CI28" s="204">
        <f t="shared" si="37"/>
        <v>0</v>
      </c>
      <c r="CJ28" s="204">
        <f t="shared" si="37"/>
        <v>0</v>
      </c>
      <c r="CK28" s="204">
        <f t="shared" si="37"/>
        <v>0</v>
      </c>
      <c r="CL28" s="204">
        <f t="shared" si="37"/>
        <v>0</v>
      </c>
      <c r="CM28" s="204">
        <f t="shared" si="37"/>
        <v>0</v>
      </c>
      <c r="CN28" s="204">
        <f t="shared" si="37"/>
        <v>0</v>
      </c>
      <c r="CO28" s="204">
        <f t="shared" si="37"/>
        <v>0</v>
      </c>
      <c r="CP28" s="204">
        <f t="shared" si="37"/>
        <v>0</v>
      </c>
      <c r="CQ28" s="204">
        <f t="shared" si="37"/>
        <v>0</v>
      </c>
      <c r="CR28" s="204">
        <f t="shared" si="37"/>
        <v>0</v>
      </c>
      <c r="CS28" s="204">
        <f t="shared" si="37"/>
        <v>0</v>
      </c>
      <c r="CT28" s="204">
        <f t="shared" si="37"/>
        <v>0</v>
      </c>
      <c r="CU28" s="204">
        <f t="shared" si="37"/>
        <v>0</v>
      </c>
      <c r="CV28" s="204">
        <f t="shared" si="37"/>
        <v>0</v>
      </c>
      <c r="CW28" s="204">
        <f t="shared" si="37"/>
        <v>0</v>
      </c>
      <c r="CX28" s="204">
        <f t="shared" si="37"/>
        <v>0</v>
      </c>
      <c r="CY28" s="204">
        <f t="shared" si="37"/>
        <v>0</v>
      </c>
      <c r="CZ28" s="204">
        <f t="shared" si="37"/>
        <v>0</v>
      </c>
      <c r="DA28" s="204">
        <f t="shared" si="37"/>
        <v>0</v>
      </c>
      <c r="DB28" s="204">
        <f t="shared" si="37"/>
        <v>0</v>
      </c>
      <c r="DC28" s="204">
        <f t="shared" si="37"/>
        <v>0</v>
      </c>
      <c r="DD28" s="204">
        <f t="shared" si="37"/>
        <v>0</v>
      </c>
      <c r="DE28" s="204">
        <f t="shared" si="37"/>
        <v>0</v>
      </c>
      <c r="DF28" s="204">
        <f t="shared" si="37"/>
        <v>0</v>
      </c>
      <c r="DG28" s="204">
        <f t="shared" si="37"/>
        <v>0</v>
      </c>
      <c r="DH28" s="204">
        <f t="shared" si="37"/>
        <v>0</v>
      </c>
      <c r="DI28" s="204">
        <f t="shared" si="37"/>
        <v>0</v>
      </c>
      <c r="DJ28" s="204">
        <f t="shared" si="37"/>
        <v>0</v>
      </c>
      <c r="DK28" s="204">
        <f t="shared" si="37"/>
        <v>0</v>
      </c>
      <c r="DL28" s="204">
        <f t="shared" si="37"/>
        <v>0</v>
      </c>
      <c r="DM28" s="204">
        <f t="shared" si="37"/>
        <v>0</v>
      </c>
      <c r="DN28" s="204">
        <f t="shared" si="37"/>
        <v>0</v>
      </c>
      <c r="DO28" s="204">
        <f t="shared" si="37"/>
        <v>0</v>
      </c>
      <c r="DP28" s="204">
        <f t="shared" si="37"/>
        <v>0</v>
      </c>
      <c r="DQ28" s="204">
        <f t="shared" si="37"/>
        <v>0</v>
      </c>
      <c r="DR28" s="204">
        <f t="shared" si="37"/>
        <v>0</v>
      </c>
      <c r="DS28" s="204">
        <f t="shared" si="37"/>
        <v>0</v>
      </c>
      <c r="DT28" s="204">
        <f t="shared" si="37"/>
        <v>0</v>
      </c>
      <c r="DU28" s="204">
        <f t="shared" si="37"/>
        <v>0</v>
      </c>
      <c r="DV28" s="204">
        <f t="shared" si="37"/>
        <v>0</v>
      </c>
      <c r="DW28" s="204">
        <f t="shared" si="37"/>
        <v>0</v>
      </c>
      <c r="DX28" s="204">
        <f t="shared" si="37"/>
        <v>0</v>
      </c>
      <c r="DY28" s="204">
        <f t="shared" si="37"/>
        <v>0</v>
      </c>
      <c r="DZ28" s="204">
        <f t="shared" si="37"/>
        <v>0</v>
      </c>
      <c r="EA28" s="204">
        <f t="shared" ref="EA28:FZ28" si="38">MAX(0,-(EA20+EA29+EA37+EA38))</f>
        <v>0</v>
      </c>
      <c r="EB28" s="204">
        <f t="shared" si="38"/>
        <v>0</v>
      </c>
      <c r="EC28" s="204">
        <f t="shared" si="38"/>
        <v>0</v>
      </c>
      <c r="ED28" s="204">
        <f t="shared" si="38"/>
        <v>0</v>
      </c>
      <c r="EE28" s="204">
        <f t="shared" si="38"/>
        <v>0</v>
      </c>
      <c r="EF28" s="204">
        <f t="shared" si="38"/>
        <v>0</v>
      </c>
      <c r="EG28" s="204">
        <f t="shared" si="38"/>
        <v>0</v>
      </c>
      <c r="EH28" s="204">
        <f t="shared" si="38"/>
        <v>0</v>
      </c>
      <c r="EI28" s="204">
        <f t="shared" si="38"/>
        <v>0</v>
      </c>
      <c r="EJ28" s="204">
        <f t="shared" si="38"/>
        <v>0</v>
      </c>
      <c r="EK28" s="204">
        <f t="shared" si="38"/>
        <v>0</v>
      </c>
      <c r="EL28" s="204">
        <f t="shared" si="38"/>
        <v>0</v>
      </c>
      <c r="EM28" s="204">
        <f t="shared" si="38"/>
        <v>0</v>
      </c>
      <c r="EN28" s="204">
        <f t="shared" si="38"/>
        <v>0</v>
      </c>
      <c r="EO28" s="204">
        <f t="shared" si="38"/>
        <v>0</v>
      </c>
      <c r="EP28" s="204">
        <f t="shared" si="38"/>
        <v>0</v>
      </c>
      <c r="EQ28" s="204">
        <f t="shared" si="38"/>
        <v>0</v>
      </c>
      <c r="ER28" s="204">
        <f t="shared" si="38"/>
        <v>0</v>
      </c>
      <c r="ES28" s="204">
        <f t="shared" si="38"/>
        <v>0</v>
      </c>
      <c r="ET28" s="204">
        <f t="shared" si="38"/>
        <v>0</v>
      </c>
      <c r="EU28" s="204">
        <f t="shared" si="38"/>
        <v>0</v>
      </c>
      <c r="EV28" s="204">
        <f t="shared" si="38"/>
        <v>0</v>
      </c>
      <c r="EW28" s="204">
        <f t="shared" si="38"/>
        <v>0</v>
      </c>
      <c r="EX28" s="204">
        <f t="shared" si="38"/>
        <v>0</v>
      </c>
      <c r="EY28" s="204">
        <f t="shared" si="38"/>
        <v>0</v>
      </c>
      <c r="EZ28" s="204">
        <f t="shared" si="38"/>
        <v>0</v>
      </c>
      <c r="FA28" s="204">
        <f t="shared" si="38"/>
        <v>0</v>
      </c>
      <c r="FB28" s="204">
        <f t="shared" si="38"/>
        <v>0</v>
      </c>
      <c r="FC28" s="204">
        <f t="shared" si="38"/>
        <v>0</v>
      </c>
      <c r="FD28" s="204">
        <f t="shared" si="38"/>
        <v>0</v>
      </c>
      <c r="FE28" s="204">
        <f t="shared" si="38"/>
        <v>0</v>
      </c>
      <c r="FF28" s="204">
        <f t="shared" si="38"/>
        <v>0</v>
      </c>
      <c r="FG28" s="204">
        <f t="shared" si="38"/>
        <v>0</v>
      </c>
      <c r="FH28" s="204">
        <f t="shared" si="38"/>
        <v>0</v>
      </c>
      <c r="FI28" s="204">
        <f t="shared" si="38"/>
        <v>0</v>
      </c>
      <c r="FJ28" s="204">
        <f t="shared" si="38"/>
        <v>0</v>
      </c>
      <c r="FK28" s="204">
        <f t="shared" si="38"/>
        <v>0</v>
      </c>
      <c r="FL28" s="204">
        <f t="shared" si="38"/>
        <v>0</v>
      </c>
      <c r="FM28" s="204">
        <f t="shared" si="38"/>
        <v>0</v>
      </c>
      <c r="FN28" s="204">
        <f t="shared" si="38"/>
        <v>0</v>
      </c>
      <c r="FO28" s="204">
        <f t="shared" si="38"/>
        <v>0</v>
      </c>
      <c r="FP28" s="204">
        <f t="shared" si="38"/>
        <v>0</v>
      </c>
      <c r="FQ28" s="204">
        <f t="shared" si="38"/>
        <v>0</v>
      </c>
      <c r="FR28" s="204">
        <f t="shared" si="38"/>
        <v>0</v>
      </c>
      <c r="FS28" s="204">
        <f t="shared" si="38"/>
        <v>0</v>
      </c>
      <c r="FT28" s="204">
        <f t="shared" si="38"/>
        <v>0</v>
      </c>
      <c r="FU28" s="204">
        <f t="shared" si="38"/>
        <v>0</v>
      </c>
      <c r="FV28" s="204">
        <f t="shared" si="38"/>
        <v>0</v>
      </c>
      <c r="FW28" s="204">
        <f t="shared" si="38"/>
        <v>0</v>
      </c>
      <c r="FX28" s="204">
        <f t="shared" si="38"/>
        <v>0</v>
      </c>
      <c r="FY28" s="204">
        <f t="shared" si="38"/>
        <v>0</v>
      </c>
      <c r="FZ28" s="204">
        <f t="shared" si="38"/>
        <v>0</v>
      </c>
    </row>
    <row r="29" spans="1:182" ht="15.75" customHeight="1" x14ac:dyDescent="0.25">
      <c r="A29" s="216" t="s">
        <v>284</v>
      </c>
      <c r="B29" s="215">
        <f>IF(AND(B$3&gt;='20_FINANCIACION'!$B$13,B$3&lt;'20_FINANCIACION'!$B$14),MAX(0,MIN(-'30_CASHFLOW'!B7,'20_FINANCIACION'!$B$11*ABS(SUM('30_CASHFLOW'!$B$7:$FZ$7)) - 0)),0)</f>
        <v>0</v>
      </c>
      <c r="C29" s="215">
        <f>IF(AND(C$3&gt;='20_FINANCIACION'!$B$13,C$3&lt;'20_FINANCIACION'!$B$14),MAX(0,MIN(-'30_CASHFLOW'!C7,'20_FINANCIACION'!$B$11*ABS(SUM('30_CASHFLOW'!$B$7:$FZ$7)) - SUM($B$29:B29))),0)</f>
        <v>0</v>
      </c>
      <c r="D29" s="215">
        <f>IF(AND(D$3&gt;='20_FINANCIACION'!$B$13,D$3&lt;'20_FINANCIACION'!$B$14),MAX(0,MIN(-'30_CASHFLOW'!D7,'20_FINANCIACION'!$B$11*ABS(SUM('30_CASHFLOW'!$B$7:$FZ$7)) - SUM($B$29:C29))),0)</f>
        <v>0</v>
      </c>
      <c r="E29" s="215">
        <f>IF(AND(E$3&gt;='20_FINANCIACION'!$B$13,E$3&lt;'20_FINANCIACION'!$B$14),MAX(0,MIN(-'30_CASHFLOW'!E7,'20_FINANCIACION'!$B$11*ABS(SUM('30_CASHFLOW'!$B$7:$FZ$7)) - SUM($B$29:D29))),0)</f>
        <v>0</v>
      </c>
      <c r="F29" s="215">
        <f>IF(AND(F$3&gt;='20_FINANCIACION'!$B$13,F$3&lt;'20_FINANCIACION'!$B$14),MAX(0,MIN(-'30_CASHFLOW'!F7,'20_FINANCIACION'!$B$11*ABS(SUM('30_CASHFLOW'!$B$7:$FZ$7)) - SUM($B$29:E29))),0)</f>
        <v>0</v>
      </c>
      <c r="G29" s="215">
        <f>IF(AND(G$3&gt;='20_FINANCIACION'!$B$13,G$3&lt;'20_FINANCIACION'!$B$14),MAX(0,MIN(-'30_CASHFLOW'!G7,'20_FINANCIACION'!$B$11*ABS(SUM('30_CASHFLOW'!$B$7:$FZ$7)) - SUM($B$29:F29))),0)</f>
        <v>0</v>
      </c>
      <c r="H29" s="215">
        <f>IF(AND(H$3&gt;='20_FINANCIACION'!$B$13,H$3&lt;'20_FINANCIACION'!$B$14),MAX(0,MIN(-'30_CASHFLOW'!H7,'20_FINANCIACION'!$B$11*ABS(SUM('30_CASHFLOW'!$B$7:$FZ$7)) - SUM($B$29:G29))),0)</f>
        <v>0</v>
      </c>
      <c r="I29" s="215">
        <f>IF(AND(I$3&gt;='20_FINANCIACION'!$B$13,I$3&lt;'20_FINANCIACION'!$B$14),MAX(0,MIN(-'30_CASHFLOW'!I7,'20_FINANCIACION'!$B$11*ABS(SUM('30_CASHFLOW'!$B$7:$FZ$7)) - SUM($B$29:H29))),0)</f>
        <v>0</v>
      </c>
      <c r="J29" s="215">
        <f>IF(AND(J$3&gt;='20_FINANCIACION'!$B$13,J$3&lt;'20_FINANCIACION'!$B$14),MAX(0,MIN(-'30_CASHFLOW'!J7,'20_FINANCIACION'!$B$11*ABS(SUM('30_CASHFLOW'!$B$7:$FZ$7)) - SUM($B$29:I29))),0)</f>
        <v>0</v>
      </c>
      <c r="K29" s="215">
        <f>IF(AND(K$3&gt;='20_FINANCIACION'!$B$13,K$3&lt;'20_FINANCIACION'!$B$14),MAX(0,MIN(-'30_CASHFLOW'!K7,'20_FINANCIACION'!$B$11*ABS(SUM('30_CASHFLOW'!$B$7:$FZ$7)) - SUM($B$29:J29))),0)</f>
        <v>0</v>
      </c>
      <c r="L29" s="215">
        <f>IF(AND(L$3&gt;='20_FINANCIACION'!$B$13,L$3&lt;'20_FINANCIACION'!$B$14),MAX(0,MIN(-'30_CASHFLOW'!L7,'20_FINANCIACION'!$B$11*ABS(SUM('30_CASHFLOW'!$B$7:$FZ$7)) - SUM($B$29:K29))),0)</f>
        <v>0</v>
      </c>
      <c r="M29" s="215">
        <f>IF(AND(M$3&gt;='20_FINANCIACION'!$B$13,M$3&lt;'20_FINANCIACION'!$B$14),MAX(0,MIN(-'30_CASHFLOW'!M7,'20_FINANCIACION'!$B$11*ABS(SUM('30_CASHFLOW'!$B$7:$FZ$7)) - SUM($B$29:L29))),0)</f>
        <v>269680.32000000007</v>
      </c>
      <c r="N29" s="215">
        <f>IF(AND(N$3&gt;='20_FINANCIACION'!$B$13,N$3&lt;'20_FINANCIACION'!$B$14),MAX(0,MIN(-'30_CASHFLOW'!N7,'20_FINANCIACION'!$B$11*ABS(SUM('30_CASHFLOW'!$B$7:$FZ$7)) - SUM($B$29:M29))),0)</f>
        <v>269680.32000000007</v>
      </c>
      <c r="O29" s="215">
        <f>IF(AND(O$3&gt;='20_FINANCIACION'!$B$13,O$3&lt;'20_FINANCIACION'!$B$14),MAX(0,MIN(-'30_CASHFLOW'!O7,'20_FINANCIACION'!$B$11*ABS(SUM('30_CASHFLOW'!$B$7:$FZ$7)) - SUM($B$29:N29))),0)</f>
        <v>269680.32000000007</v>
      </c>
      <c r="P29" s="215">
        <f>IF(AND(P$3&gt;='20_FINANCIACION'!$B$13,P$3&lt;'20_FINANCIACION'!$B$14),MAX(0,MIN(-'30_CASHFLOW'!P7,'20_FINANCIACION'!$B$11*ABS(SUM('30_CASHFLOW'!$B$7:$FZ$7)) - SUM($B$29:O29))),0)</f>
        <v>269680.32000000007</v>
      </c>
      <c r="Q29" s="215">
        <f>IF(AND(Q$3&gt;='20_FINANCIACION'!$B$13,Q$3&lt;'20_FINANCIACION'!$B$14),MAX(0,MIN(-'30_CASHFLOW'!Q7,'20_FINANCIACION'!$B$11*ABS(SUM('30_CASHFLOW'!$B$7:$FZ$7)) - SUM($B$29:P29))),0)</f>
        <v>269680.32000000007</v>
      </c>
      <c r="R29" s="215">
        <f>IF(AND(R$3&gt;='20_FINANCIACION'!$B$13,R$3&lt;'20_FINANCIACION'!$B$14),MAX(0,MIN(-'30_CASHFLOW'!R7,'20_FINANCIACION'!$B$11*ABS(SUM('30_CASHFLOW'!$B$7:$FZ$7)) - SUM($B$29:Q29))),0)</f>
        <v>269680.32000000007</v>
      </c>
      <c r="S29" s="215">
        <f>IF(AND(S$3&gt;='20_FINANCIACION'!$B$13,S$3&lt;'20_FINANCIACION'!$B$14),MAX(0,MIN(-'30_CASHFLOW'!S7,'20_FINANCIACION'!$B$11*ABS(SUM('30_CASHFLOW'!$B$7:$FZ$7)) - SUM($B$29:R29))),0)</f>
        <v>269680.32000000007</v>
      </c>
      <c r="T29" s="215">
        <f>IF(AND(T$3&gt;='20_FINANCIACION'!$B$13,T$3&lt;'20_FINANCIACION'!$B$14),MAX(0,MIN(-'30_CASHFLOW'!T7,'20_FINANCIACION'!$B$11*ABS(SUM('30_CASHFLOW'!$B$7:$FZ$7)) - SUM($B$29:S29))),0)</f>
        <v>269680.32000000007</v>
      </c>
      <c r="U29" s="215">
        <f>IF(AND(U$3&gt;='20_FINANCIACION'!$B$13,U$3&lt;'20_FINANCIACION'!$B$14),MAX(0,MIN(-'30_CASHFLOW'!U7,'20_FINANCIACION'!$B$11*ABS(SUM('30_CASHFLOW'!$B$7:$FZ$7)) - SUM($B$29:T29))),0)</f>
        <v>269680.32000000007</v>
      </c>
      <c r="V29" s="215">
        <f>IF(AND(V$3&gt;='20_FINANCIACION'!$B$13,V$3&lt;'20_FINANCIACION'!$B$14),MAX(0,MIN(-'30_CASHFLOW'!V7,'20_FINANCIACION'!$B$11*ABS(SUM('30_CASHFLOW'!$B$7:$FZ$7)) - SUM($B$29:U29))),0)</f>
        <v>269680.32000000007</v>
      </c>
      <c r="W29" s="215">
        <f>IF(AND(W$3&gt;='20_FINANCIACION'!$B$13,W$3&lt;'20_FINANCIACION'!$B$14),MAX(0,MIN(-'30_CASHFLOW'!W7,'20_FINANCIACION'!$B$11*ABS(SUM('30_CASHFLOW'!$B$7:$FZ$7)) - SUM($B$29:V29))),0)</f>
        <v>269680.32000000007</v>
      </c>
      <c r="X29" s="215">
        <f>IF(AND(X$3&gt;='20_FINANCIACION'!$B$13,X$3&lt;'20_FINANCIACION'!$B$14),MAX(0,MIN(-'30_CASHFLOW'!X7,'20_FINANCIACION'!$B$11*ABS(SUM('30_CASHFLOW'!$B$7:$FZ$7)) - SUM($B$29:W29))),0)</f>
        <v>269680.32000000007</v>
      </c>
      <c r="Y29" s="215">
        <f>IF(AND(Y$3&gt;='20_FINANCIACION'!$B$13,Y$3&lt;'20_FINANCIACION'!$B$14),MAX(0,MIN(-'30_CASHFLOW'!Y7,'20_FINANCIACION'!$B$11*ABS(SUM('30_CASHFLOW'!$B$7:$FZ$7)) - SUM($B$29:X29))),0)</f>
        <v>269680.32000000007</v>
      </c>
      <c r="Z29" s="215">
        <f>IF(AND(Z$3&gt;='20_FINANCIACION'!$B$13,Z$3&lt;'20_FINANCIACION'!$B$14),MAX(0,MIN(-'30_CASHFLOW'!Z7,'20_FINANCIACION'!$B$11*ABS(SUM('30_CASHFLOW'!$B$7:$FZ$7)) - SUM($B$29:Y29))),0)</f>
        <v>269680.32000000007</v>
      </c>
      <c r="AA29" s="215">
        <f>IF(AND(AA$3&gt;='20_FINANCIACION'!$B$13,AA$3&lt;'20_FINANCIACION'!$B$14),MAX(0,MIN(-'30_CASHFLOW'!AA7,'20_FINANCIACION'!$B$11*ABS(SUM('30_CASHFLOW'!$B$7:$FZ$7)) - SUM($B$29:Z29))),0)</f>
        <v>269680.32000000007</v>
      </c>
      <c r="AB29" s="215">
        <f>IF(AND(AB$3&gt;='20_FINANCIACION'!$B$13,AB$3&lt;'20_FINANCIACION'!$B$14),MAX(0,MIN(-'30_CASHFLOW'!AB7,'20_FINANCIACION'!$B$11*ABS(SUM('30_CASHFLOW'!$B$7:$FZ$7)) - SUM($B$29:AA29))),0)</f>
        <v>161808.19200000074</v>
      </c>
      <c r="AC29" s="215">
        <f>IF(AND(AC$3&gt;='20_FINANCIACION'!$B$13,AC$3&lt;'20_FINANCIACION'!$B$14),MAX(0,MIN(-'30_CASHFLOW'!AC7,'20_FINANCIACION'!$B$11*ABS(SUM('30_CASHFLOW'!$B$7:$FZ$7)) - SUM($B$29:AB29))),0)</f>
        <v>0</v>
      </c>
      <c r="AD29" s="215">
        <f>IF(AND(AD$3&gt;='20_FINANCIACION'!$B$13,AD$3&lt;'20_FINANCIACION'!$B$14),MAX(0,MIN(-'30_CASHFLOW'!AD7,'20_FINANCIACION'!$B$11*ABS(SUM('30_CASHFLOW'!$B$7:$FZ$7)) - SUM($B$29:AC29))),0)</f>
        <v>0</v>
      </c>
      <c r="AE29" s="215">
        <f>IF(AND(AE$3&gt;='20_FINANCIACION'!$B$13,AE$3&lt;'20_FINANCIACION'!$B$14),MAX(0,MIN(-'30_CASHFLOW'!AE7,'20_FINANCIACION'!$B$11*ABS(SUM('30_CASHFLOW'!$B$7:$FZ$7)) - SUM($B$29:AD29))),0)</f>
        <v>0</v>
      </c>
      <c r="AF29" s="215">
        <f>IF(AND(AF$3&gt;='20_FINANCIACION'!$B$13,AF$3&lt;'20_FINANCIACION'!$B$14),MAX(0,MIN(-'30_CASHFLOW'!AF7,'20_FINANCIACION'!$B$11*ABS(SUM('30_CASHFLOW'!$B$7:$FZ$7)) - SUM($B$29:AE29))),0)</f>
        <v>0</v>
      </c>
      <c r="AG29" s="215">
        <f>IF(AND(AG$3&gt;='20_FINANCIACION'!$B$13,AG$3&lt;'20_FINANCIACION'!$B$14),MAX(0,MIN(-'30_CASHFLOW'!AG7,'20_FINANCIACION'!$B$11*ABS(SUM('30_CASHFLOW'!$B$7:$FZ$7)) - SUM($B$29:AF29))),0)</f>
        <v>0</v>
      </c>
      <c r="AH29" s="215">
        <f>IF(AND(AH$3&gt;='20_FINANCIACION'!$B$13,AH$3&lt;'20_FINANCIACION'!$B$14),MAX(0,MIN(-'30_CASHFLOW'!AH7,'20_FINANCIACION'!$B$11*ABS(SUM('30_CASHFLOW'!$B$7:$FZ$7)) - SUM($B$29:AG29))),0)</f>
        <v>0</v>
      </c>
      <c r="AI29" s="215">
        <f>IF(AND(AI$3&gt;='20_FINANCIACION'!$B$13,AI$3&lt;'20_FINANCIACION'!$B$14),MAX(0,MIN(-'30_CASHFLOW'!AI7,'20_FINANCIACION'!$B$11*ABS(SUM('30_CASHFLOW'!$B$7:$FZ$7)) - SUM($B$29:AH29))),0)</f>
        <v>0</v>
      </c>
      <c r="AJ29" s="215">
        <f>IF(AND(AJ$3&gt;='20_FINANCIACION'!$B$13,AJ$3&lt;'20_FINANCIACION'!$B$14),MAX(0,MIN(-'30_CASHFLOW'!AJ7,'20_FINANCIACION'!$B$11*ABS(SUM('30_CASHFLOW'!$B$7:$FZ$7)) - SUM($B$29:AI29))),0)</f>
        <v>0</v>
      </c>
      <c r="AK29" s="215">
        <f>IF(AND(AK$3&gt;='20_FINANCIACION'!$B$13,AK$3&lt;'20_FINANCIACION'!$B$14),MAX(0,MIN(-'30_CASHFLOW'!AK7,'20_FINANCIACION'!$B$11*ABS(SUM('30_CASHFLOW'!$B$7:$FZ$7)) - SUM($B$29:AJ29))),0)</f>
        <v>0</v>
      </c>
      <c r="AL29" s="215">
        <f>IF(AND(AL$3&gt;='20_FINANCIACION'!$B$13,AL$3&lt;'20_FINANCIACION'!$B$14),MAX(0,MIN(-'30_CASHFLOW'!AL7,'20_FINANCIACION'!$B$11*ABS(SUM('30_CASHFLOW'!$B$7:$FZ$7)) - SUM($B$29:AK29))),0)</f>
        <v>0</v>
      </c>
      <c r="AM29" s="215">
        <f>IF(AND(AM$3&gt;='20_FINANCIACION'!$B$13,AM$3&lt;'20_FINANCIACION'!$B$14),MAX(0,MIN(-'30_CASHFLOW'!AM7,'20_FINANCIACION'!$B$11*ABS(SUM('30_CASHFLOW'!$B$7:$FZ$7)) - SUM($B$29:AL29))),0)</f>
        <v>0</v>
      </c>
      <c r="AN29" s="215">
        <f>IF(AND(AN$3&gt;='20_FINANCIACION'!$B$13,AN$3&lt;'20_FINANCIACION'!$B$14),MAX(0,MIN(-'30_CASHFLOW'!AN7,'20_FINANCIACION'!$B$11*ABS(SUM('30_CASHFLOW'!$B$7:$FZ$7)) - SUM($B$29:AM29))),0)</f>
        <v>0</v>
      </c>
      <c r="AO29" s="215">
        <f>IF(AND(AO$3&gt;='20_FINANCIACION'!$B$13,AO$3&lt;'20_FINANCIACION'!$B$14),MAX(0,MIN(-'30_CASHFLOW'!AO7,'20_FINANCIACION'!$B$11*ABS(SUM('30_CASHFLOW'!$B$7:$FZ$7)) - SUM($B$29:AN29))),0)</f>
        <v>0</v>
      </c>
      <c r="AP29" s="215">
        <f>IF(AND(AP$3&gt;='20_FINANCIACION'!$B$13,AP$3&lt;'20_FINANCIACION'!$B$14),MAX(0,MIN(-'30_CASHFLOW'!AP7,'20_FINANCIACION'!$B$11*ABS(SUM('30_CASHFLOW'!$B$7:$FZ$7)) - SUM($B$29:AO29))),0)</f>
        <v>0</v>
      </c>
      <c r="AQ29" s="215">
        <f>IF(AND(AQ$3&gt;='20_FINANCIACION'!$B$13,AQ$3&lt;'20_FINANCIACION'!$B$14),MAX(0,MIN(-'30_CASHFLOW'!AQ7,'20_FINANCIACION'!$B$11*ABS(SUM('30_CASHFLOW'!$B$7:$FZ$7)) - SUM($B$29:AP29))),0)</f>
        <v>0</v>
      </c>
      <c r="AR29" s="215">
        <f>IF(AND(AR$3&gt;='20_FINANCIACION'!$B$13,AR$3&lt;'20_FINANCIACION'!$B$14),MAX(0,MIN(-'30_CASHFLOW'!AR7,'20_FINANCIACION'!$B$11*ABS(SUM('30_CASHFLOW'!$B$7:$FZ$7)) - SUM($B$29:AQ29))),0)</f>
        <v>0</v>
      </c>
      <c r="AS29" s="215">
        <f>IF(AND(AS$3&gt;='20_FINANCIACION'!$B$13,AS$3&lt;'20_FINANCIACION'!$B$14),MAX(0,MIN(-'30_CASHFLOW'!AS7,'20_FINANCIACION'!$B$11*ABS(SUM('30_CASHFLOW'!$B$7:$FZ$7)) - SUM($B$29:AR29))),0)</f>
        <v>0</v>
      </c>
      <c r="AT29" s="215">
        <f>IF(AND(AT$3&gt;='20_FINANCIACION'!$B$13,AT$3&lt;'20_FINANCIACION'!$B$14),MAX(0,MIN(-'30_CASHFLOW'!AT7,'20_FINANCIACION'!$B$11*ABS(SUM('30_CASHFLOW'!$B$7:$FZ$7)) - SUM($B$29:AS29))),0)</f>
        <v>0</v>
      </c>
      <c r="AU29" s="215">
        <f>IF(AND(AU$3&gt;='20_FINANCIACION'!$B$13,AU$3&lt;'20_FINANCIACION'!$B$14),MAX(0,MIN(-'30_CASHFLOW'!AU7,'20_FINANCIACION'!$B$11*ABS(SUM('30_CASHFLOW'!$B$7:$FZ$7)) - SUM($B$29:AT29))),0)</f>
        <v>0</v>
      </c>
      <c r="AV29" s="215">
        <f>IF(AND(AV$3&gt;='20_FINANCIACION'!$B$13,AV$3&lt;'20_FINANCIACION'!$B$14),MAX(0,MIN(-'30_CASHFLOW'!AV7,'20_FINANCIACION'!$B$11*ABS(SUM('30_CASHFLOW'!$B$7:$FZ$7)) - SUM($B$29:AU29))),0)</f>
        <v>0</v>
      </c>
      <c r="AW29" s="215">
        <f>IF(AND(AW$3&gt;='20_FINANCIACION'!$B$13,AW$3&lt;'20_FINANCIACION'!$B$14),MAX(0,MIN(-'30_CASHFLOW'!AW7,'20_FINANCIACION'!$B$11*ABS(SUM('30_CASHFLOW'!$B$7:$FZ$7)) - SUM($B$29:AV29))),0)</f>
        <v>0</v>
      </c>
      <c r="AX29" s="215">
        <f>IF(AND(AX$3&gt;='20_FINANCIACION'!$B$13,AX$3&lt;'20_FINANCIACION'!$B$14),MAX(0,MIN(-'30_CASHFLOW'!AX7,'20_FINANCIACION'!$B$11*ABS(SUM('30_CASHFLOW'!$B$7:$FZ$7)) - SUM($B$29:AW29))),0)</f>
        <v>0</v>
      </c>
      <c r="AY29" s="215">
        <f>IF(AND(AY$3&gt;='20_FINANCIACION'!$B$13,AY$3&lt;'20_FINANCIACION'!$B$14),MAX(0,MIN(-'30_CASHFLOW'!AY7,'20_FINANCIACION'!$B$11*ABS(SUM('30_CASHFLOW'!$B$7:$FZ$7)) - SUM($B$29:AX29))),0)</f>
        <v>0</v>
      </c>
      <c r="AZ29" s="215">
        <f>IF(AND(AZ$3&gt;='20_FINANCIACION'!$B$13,AZ$3&lt;'20_FINANCIACION'!$B$14),MAX(0,MIN(-'30_CASHFLOW'!AZ7,'20_FINANCIACION'!$B$11*ABS(SUM('30_CASHFLOW'!$B$7:$FZ$7)) - SUM($B$29:AY29))),0)</f>
        <v>0</v>
      </c>
      <c r="BA29" s="215">
        <f>IF(AND(BA$3&gt;='20_FINANCIACION'!$B$13,BA$3&lt;'20_FINANCIACION'!$B$14),MAX(0,MIN(-'30_CASHFLOW'!BA7,'20_FINANCIACION'!$B$11*ABS(SUM('30_CASHFLOW'!$B$7:$FZ$7)) - SUM($B$29:AZ29))),0)</f>
        <v>0</v>
      </c>
      <c r="BB29" s="215">
        <f>IF(AND(BB$3&gt;='20_FINANCIACION'!$B$13,BB$3&lt;'20_FINANCIACION'!$B$14),MAX(0,MIN(-'30_CASHFLOW'!BB7,'20_FINANCIACION'!$B$11*ABS(SUM('30_CASHFLOW'!$B$7:$FZ$7)) - SUM($B$29:BA29))),0)</f>
        <v>0</v>
      </c>
      <c r="BC29" s="215">
        <f>IF(AND(BC$3&gt;='20_FINANCIACION'!$B$13,BC$3&lt;'20_FINANCIACION'!$B$14),MAX(0,MIN(-'30_CASHFLOW'!BC7,'20_FINANCIACION'!$B$11*ABS(SUM('30_CASHFLOW'!$B$7:$FZ$7)) - SUM($B$29:BB29))),0)</f>
        <v>0</v>
      </c>
      <c r="BD29" s="215">
        <f>IF(AND(BD$3&gt;='20_FINANCIACION'!$B$13,BD$3&lt;'20_FINANCIACION'!$B$14),MAX(0,MIN(-'30_CASHFLOW'!BD7,'20_FINANCIACION'!$B$11*ABS(SUM('30_CASHFLOW'!$B$7:$FZ$7)) - SUM($B$29:BC29))),0)</f>
        <v>0</v>
      </c>
      <c r="BE29" s="215">
        <f>IF(AND(BE$3&gt;='20_FINANCIACION'!$B$13,BE$3&lt;'20_FINANCIACION'!$B$14),MAX(0,MIN(-'30_CASHFLOW'!BE7,'20_FINANCIACION'!$B$11*ABS(SUM('30_CASHFLOW'!$B$7:$FZ$7)) - SUM($B$29:BD29))),0)</f>
        <v>0</v>
      </c>
      <c r="BF29" s="215">
        <f>IF(AND(BF$3&gt;='20_FINANCIACION'!$B$13,BF$3&lt;'20_FINANCIACION'!$B$14),MAX(0,MIN(-'30_CASHFLOW'!BF7,'20_FINANCIACION'!$B$11*ABS(SUM('30_CASHFLOW'!$B$7:$FZ$7)) - SUM($B$29:BE29))),0)</f>
        <v>0</v>
      </c>
      <c r="BG29" s="215">
        <f>IF(AND(BG$3&gt;='20_FINANCIACION'!$B$13,BG$3&lt;'20_FINANCIACION'!$B$14),MAX(0,MIN(-'30_CASHFLOW'!BG7,'20_FINANCIACION'!$B$11*ABS(SUM('30_CASHFLOW'!$B$7:$FZ$7)) - SUM($B$29:BF29))),0)</f>
        <v>0</v>
      </c>
      <c r="BH29" s="215">
        <f>IF(AND(BH$3&gt;='20_FINANCIACION'!$B$13,BH$3&lt;'20_FINANCIACION'!$B$14),MAX(0,MIN(-'30_CASHFLOW'!BH7,'20_FINANCIACION'!$B$11*ABS(SUM('30_CASHFLOW'!$B$7:$FZ$7)) - SUM($B$29:BG29))),0)</f>
        <v>0</v>
      </c>
      <c r="BI29" s="215">
        <f>IF(AND(BI$3&gt;='20_FINANCIACION'!$B$13,BI$3&lt;'20_FINANCIACION'!$B$14),MAX(0,MIN(-'30_CASHFLOW'!BI7,'20_FINANCIACION'!$B$11*ABS(SUM('30_CASHFLOW'!$B$7:$FZ$7)) - SUM($B$29:BH29))),0)</f>
        <v>0</v>
      </c>
      <c r="BJ29" s="215">
        <f>IF(AND(BJ$3&gt;='20_FINANCIACION'!$B$13,BJ$3&lt;'20_FINANCIACION'!$B$14),MAX(0,MIN(-'30_CASHFLOW'!BJ7,'20_FINANCIACION'!$B$11*ABS(SUM('30_CASHFLOW'!$B$7:$FZ$7)) - SUM($B$29:BI29))),0)</f>
        <v>0</v>
      </c>
      <c r="BK29" s="215">
        <f>IF(AND(BK$3&gt;='20_FINANCIACION'!$B$13,BK$3&lt;'20_FINANCIACION'!$B$14),MAX(0,MIN(-'30_CASHFLOW'!BK7,'20_FINANCIACION'!$B$11*ABS(SUM('30_CASHFLOW'!$B$7:$FZ$7)) - SUM($B$29:BJ29))),0)</f>
        <v>0</v>
      </c>
      <c r="BL29" s="215">
        <f>IF(AND(BL$3&gt;='20_FINANCIACION'!$B$13,BL$3&lt;'20_FINANCIACION'!$B$14),MAX(0,MIN(-'30_CASHFLOW'!BL7,'20_FINANCIACION'!$B$11*ABS(SUM('30_CASHFLOW'!$B$7:$FZ$7)) - SUM($B$29:BK29))),0)</f>
        <v>0</v>
      </c>
      <c r="BM29" s="215">
        <f>IF(AND(BM$3&gt;='20_FINANCIACION'!$B$13,BM$3&lt;'20_FINANCIACION'!$B$14),MAX(0,MIN(-'30_CASHFLOW'!BM7,'20_FINANCIACION'!$B$11*ABS(SUM('30_CASHFLOW'!$B$7:$FZ$7)) - SUM($B$29:BL29))),0)</f>
        <v>0</v>
      </c>
      <c r="BN29" s="215">
        <f>IF(AND(BN$3&gt;='20_FINANCIACION'!$B$13,BN$3&lt;'20_FINANCIACION'!$B$14),MAX(0,MIN(-'30_CASHFLOW'!BN7,'20_FINANCIACION'!$B$11*ABS(SUM('30_CASHFLOW'!$B$7:$FZ$7)) - SUM($B$29:BM29))),0)</f>
        <v>0</v>
      </c>
      <c r="BO29" s="215">
        <f>IF(AND(BO$3&gt;='20_FINANCIACION'!$B$13,BO$3&lt;'20_FINANCIACION'!$B$14),MAX(0,MIN(-'30_CASHFLOW'!BO7,'20_FINANCIACION'!$B$11*ABS(SUM('30_CASHFLOW'!$B$7:$FZ$7)) - SUM($B$29:BN29))),0)</f>
        <v>0</v>
      </c>
      <c r="BP29" s="215">
        <f>IF(AND(BP$3&gt;='20_FINANCIACION'!$B$13,BP$3&lt;'20_FINANCIACION'!$B$14),MAX(0,MIN(-'30_CASHFLOW'!BP7,'20_FINANCIACION'!$B$11*ABS(SUM('30_CASHFLOW'!$B$7:$FZ$7)) - SUM($B$29:BO29))),0)</f>
        <v>0</v>
      </c>
      <c r="BQ29" s="215">
        <f>IF(AND(BQ$3&gt;='20_FINANCIACION'!$B$13,BQ$3&lt;'20_FINANCIACION'!$B$14),MAX(0,MIN(-'30_CASHFLOW'!BQ7,'20_FINANCIACION'!$B$11*ABS(SUM('30_CASHFLOW'!$B$7:$FZ$7)) - SUM($B$29:BP29))),0)</f>
        <v>0</v>
      </c>
      <c r="BR29" s="215">
        <f>IF(AND(BR$3&gt;='20_FINANCIACION'!$B$13,BR$3&lt;'20_FINANCIACION'!$B$14),MAX(0,MIN(-'30_CASHFLOW'!BR7,'20_FINANCIACION'!$B$11*ABS(SUM('30_CASHFLOW'!$B$7:$FZ$7)) - SUM($B$29:BQ29))),0)</f>
        <v>0</v>
      </c>
      <c r="BS29" s="215">
        <f>IF(AND(BS$3&gt;='20_FINANCIACION'!$B$13,BS$3&lt;'20_FINANCIACION'!$B$14),MAX(0,MIN(-'30_CASHFLOW'!BS7,'20_FINANCIACION'!$B$11*ABS(SUM('30_CASHFLOW'!$B$7:$FZ$7)) - SUM($B$29:BR29))),0)</f>
        <v>0</v>
      </c>
      <c r="BT29" s="215">
        <f>IF(AND(BT$3&gt;='20_FINANCIACION'!$B$13,BT$3&lt;'20_FINANCIACION'!$B$14),MAX(0,MIN(-'30_CASHFLOW'!BT7,'20_FINANCIACION'!$B$11*ABS(SUM('30_CASHFLOW'!$B$7:$FZ$7)) - SUM($B$29:BS29))),0)</f>
        <v>0</v>
      </c>
      <c r="BU29" s="215">
        <f>IF(AND(BU$3&gt;='20_FINANCIACION'!$B$13,BU$3&lt;'20_FINANCIACION'!$B$14),MAX(0,MIN(-'30_CASHFLOW'!BU7,'20_FINANCIACION'!$B$11*ABS(SUM('30_CASHFLOW'!$B$7:$FZ$7)) - SUM($B$29:BT29))),0)</f>
        <v>0</v>
      </c>
      <c r="BV29" s="215">
        <f>IF(AND(BV$3&gt;='20_FINANCIACION'!$B$13,BV$3&lt;'20_FINANCIACION'!$B$14),MAX(0,MIN(-'30_CASHFLOW'!BV7,'20_FINANCIACION'!$B$11*ABS(SUM('30_CASHFLOW'!$B$7:$FZ$7)) - SUM($B$29:BU29))),0)</f>
        <v>0</v>
      </c>
      <c r="BW29" s="215">
        <f>IF(AND(BW$3&gt;='20_FINANCIACION'!$B$13,BW$3&lt;'20_FINANCIACION'!$B$14),MAX(0,MIN(-'30_CASHFLOW'!BW7,'20_FINANCIACION'!$B$11*ABS(SUM('30_CASHFLOW'!$B$7:$FZ$7)) - SUM($B$29:BV29))),0)</f>
        <v>0</v>
      </c>
      <c r="BX29" s="215">
        <f>IF(AND(BX$3&gt;='20_FINANCIACION'!$B$13,BX$3&lt;'20_FINANCIACION'!$B$14),MAX(0,MIN(-'30_CASHFLOW'!BX7,'20_FINANCIACION'!$B$11*ABS(SUM('30_CASHFLOW'!$B$7:$FZ$7)) - SUM($B$29:BW29))),0)</f>
        <v>0</v>
      </c>
      <c r="BY29" s="215">
        <f>IF(AND(BY$3&gt;='20_FINANCIACION'!$B$13,BY$3&lt;'20_FINANCIACION'!$B$14),MAX(0,MIN(-'30_CASHFLOW'!BY7,'20_FINANCIACION'!$B$11*ABS(SUM('30_CASHFLOW'!$B$7:$FZ$7)) - SUM($B$29:BX29))),0)</f>
        <v>0</v>
      </c>
      <c r="BZ29" s="215">
        <f>IF(AND(BZ$3&gt;='20_FINANCIACION'!$B$13,BZ$3&lt;'20_FINANCIACION'!$B$14),MAX(0,MIN(-'30_CASHFLOW'!BZ7,'20_FINANCIACION'!$B$11*ABS(SUM('30_CASHFLOW'!$B$7:$FZ$7)) - SUM($B$29:BY29))),0)</f>
        <v>0</v>
      </c>
      <c r="CA29" s="215">
        <f>IF(AND(CA$3&gt;='20_FINANCIACION'!$B$13,CA$3&lt;'20_FINANCIACION'!$B$14),MAX(0,MIN(-'30_CASHFLOW'!CA7,'20_FINANCIACION'!$B$11*ABS(SUM('30_CASHFLOW'!$B$7:$FZ$7)) - SUM($B$29:BZ29))),0)</f>
        <v>0</v>
      </c>
      <c r="CB29" s="215">
        <f>IF(AND(CB$3&gt;='20_FINANCIACION'!$B$13,CB$3&lt;'20_FINANCIACION'!$B$14),MAX(0,MIN(-'30_CASHFLOW'!CB7,'20_FINANCIACION'!$B$11*ABS(SUM('30_CASHFLOW'!$B$7:$FZ$7)) - SUM($B$29:CA29))),0)</f>
        <v>0</v>
      </c>
      <c r="CC29" s="215">
        <f>IF(AND(CC$3&gt;='20_FINANCIACION'!$B$13,CC$3&lt;'20_FINANCIACION'!$B$14),MAX(0,MIN(-'30_CASHFLOW'!CC7,'20_FINANCIACION'!$B$11*ABS(SUM('30_CASHFLOW'!$B$7:$FZ$7)) - SUM($B$29:CB29))),0)</f>
        <v>0</v>
      </c>
      <c r="CD29" s="215">
        <f>IF(AND(CD$3&gt;='20_FINANCIACION'!$B$13,CD$3&lt;'20_FINANCIACION'!$B$14),MAX(0,MIN(-'30_CASHFLOW'!CD7,'20_FINANCIACION'!$B$11*ABS(SUM('30_CASHFLOW'!$B$7:$FZ$7)) - SUM($B$29:CC29))),0)</f>
        <v>0</v>
      </c>
      <c r="CE29" s="215">
        <f>IF(AND(CE$3&gt;='20_FINANCIACION'!$B$13,CE$3&lt;'20_FINANCIACION'!$B$14),MAX(0,MIN(-'30_CASHFLOW'!CE7,'20_FINANCIACION'!$B$11*ABS(SUM('30_CASHFLOW'!$B$7:$FZ$7)) - SUM($B$29:CD29))),0)</f>
        <v>0</v>
      </c>
      <c r="CF29" s="215">
        <f>IF(AND(CF$3&gt;='20_FINANCIACION'!$B$13,CF$3&lt;'20_FINANCIACION'!$B$14),MAX(0,MIN(-'30_CASHFLOW'!CF7,'20_FINANCIACION'!$B$11*ABS(SUM('30_CASHFLOW'!$B$7:$FZ$7)) - SUM($B$29:CE29))),0)</f>
        <v>0</v>
      </c>
      <c r="CG29" s="215">
        <f>IF(AND(CG$3&gt;='20_FINANCIACION'!$B$13,CG$3&lt;'20_FINANCIACION'!$B$14),MAX(0,MIN(-'30_CASHFLOW'!CG7,'20_FINANCIACION'!$B$11*ABS(SUM('30_CASHFLOW'!$B$7:$FZ$7)) - SUM($B$29:CF29))),0)</f>
        <v>0</v>
      </c>
      <c r="CH29" s="215">
        <f>IF(AND(CH$3&gt;='20_FINANCIACION'!$B$13,CH$3&lt;'20_FINANCIACION'!$B$14),MAX(0,MIN(-'30_CASHFLOW'!CH7,'20_FINANCIACION'!$B$11*ABS(SUM('30_CASHFLOW'!$B$7:$FZ$7)) - SUM($B$29:CG29))),0)</f>
        <v>0</v>
      </c>
      <c r="CI29" s="215">
        <f>IF(AND(CI$3&gt;='20_FINANCIACION'!$B$13,CI$3&lt;'20_FINANCIACION'!$B$14),MAX(0,MIN(-'30_CASHFLOW'!CI7,'20_FINANCIACION'!$B$11*ABS(SUM('30_CASHFLOW'!$B$7:$FZ$7)) - SUM($B$29:CH29))),0)</f>
        <v>0</v>
      </c>
      <c r="CJ29" s="215">
        <f>IF(AND(CJ$3&gt;='20_FINANCIACION'!$B$13,CJ$3&lt;'20_FINANCIACION'!$B$14),MAX(0,MIN(-'30_CASHFLOW'!CJ7,'20_FINANCIACION'!$B$11*ABS(SUM('30_CASHFLOW'!$B$7:$FZ$7)) - SUM($B$29:CI29))),0)</f>
        <v>0</v>
      </c>
      <c r="CK29" s="215">
        <f>IF(AND(CK$3&gt;='20_FINANCIACION'!$B$13,CK$3&lt;'20_FINANCIACION'!$B$14),MAX(0,MIN(-'30_CASHFLOW'!CK7,'20_FINANCIACION'!$B$11*ABS(SUM('30_CASHFLOW'!$B$7:$FZ$7)) - SUM($B$29:CJ29))),0)</f>
        <v>0</v>
      </c>
      <c r="CL29" s="215">
        <f>IF(AND(CL$3&gt;='20_FINANCIACION'!$B$13,CL$3&lt;'20_FINANCIACION'!$B$14),MAX(0,MIN(-'30_CASHFLOW'!CL7,'20_FINANCIACION'!$B$11*ABS(SUM('30_CASHFLOW'!$B$7:$FZ$7)) - SUM($B$29:CK29))),0)</f>
        <v>0</v>
      </c>
      <c r="CM29" s="215">
        <f>IF(AND(CM$3&gt;='20_FINANCIACION'!$B$13,CM$3&lt;'20_FINANCIACION'!$B$14),MAX(0,MIN(-'30_CASHFLOW'!CM7,'20_FINANCIACION'!$B$11*ABS(SUM('30_CASHFLOW'!$B$7:$FZ$7)) - SUM($B$29:CL29))),0)</f>
        <v>0</v>
      </c>
      <c r="CN29" s="215">
        <f>IF(AND(CN$3&gt;='20_FINANCIACION'!$B$13,CN$3&lt;'20_FINANCIACION'!$B$14),MAX(0,MIN(-'30_CASHFLOW'!CN7,'20_FINANCIACION'!$B$11*ABS(SUM('30_CASHFLOW'!$B$7:$FZ$7)) - SUM($B$29:CM29))),0)</f>
        <v>0</v>
      </c>
      <c r="CO29" s="215">
        <f>IF(AND(CO$3&gt;='20_FINANCIACION'!$B$13,CO$3&lt;'20_FINANCIACION'!$B$14),MAX(0,MIN(-'30_CASHFLOW'!CO7,'20_FINANCIACION'!$B$11*ABS(SUM('30_CASHFLOW'!$B$7:$FZ$7)) - SUM($B$29:CN29))),0)</f>
        <v>0</v>
      </c>
      <c r="CP29" s="215">
        <f>IF(AND(CP$3&gt;='20_FINANCIACION'!$B$13,CP$3&lt;'20_FINANCIACION'!$B$14),MAX(0,MIN(-'30_CASHFLOW'!CP7,'20_FINANCIACION'!$B$11*ABS(SUM('30_CASHFLOW'!$B$7:$FZ$7)) - SUM($B$29:CO29))),0)</f>
        <v>0</v>
      </c>
      <c r="CQ29" s="215">
        <f>IF(AND(CQ$3&gt;='20_FINANCIACION'!$B$13,CQ$3&lt;'20_FINANCIACION'!$B$14),MAX(0,MIN(-'30_CASHFLOW'!CQ7,'20_FINANCIACION'!$B$11*ABS(SUM('30_CASHFLOW'!$B$7:$FZ$7)) - SUM($B$29:CP29))),0)</f>
        <v>0</v>
      </c>
      <c r="CR29" s="215">
        <f>IF(AND(CR$3&gt;='20_FINANCIACION'!$B$13,CR$3&lt;'20_FINANCIACION'!$B$14),MAX(0,MIN(-'30_CASHFLOW'!CR7,'20_FINANCIACION'!$B$11*ABS(SUM('30_CASHFLOW'!$B$7:$FZ$7)) - SUM($B$29:CQ29))),0)</f>
        <v>0</v>
      </c>
      <c r="CS29" s="215">
        <f>IF(AND(CS$3&gt;='20_FINANCIACION'!$B$13,CS$3&lt;'20_FINANCIACION'!$B$14),MAX(0,MIN(-'30_CASHFLOW'!CS7,'20_FINANCIACION'!$B$11*ABS(SUM('30_CASHFLOW'!$B$7:$FZ$7)) - SUM($B$29:CR29))),0)</f>
        <v>0</v>
      </c>
      <c r="CT29" s="215">
        <f>IF(AND(CT$3&gt;='20_FINANCIACION'!$B$13,CT$3&lt;'20_FINANCIACION'!$B$14),MAX(0,MIN(-'30_CASHFLOW'!CT7,'20_FINANCIACION'!$B$11*ABS(SUM('30_CASHFLOW'!$B$7:$FZ$7)) - SUM($B$29:CS29))),0)</f>
        <v>0</v>
      </c>
      <c r="CU29" s="215">
        <f>IF(AND(CU$3&gt;='20_FINANCIACION'!$B$13,CU$3&lt;'20_FINANCIACION'!$B$14),MAX(0,MIN(-'30_CASHFLOW'!CU7,'20_FINANCIACION'!$B$11*ABS(SUM('30_CASHFLOW'!$B$7:$FZ$7)) - SUM($B$29:CT29))),0)</f>
        <v>0</v>
      </c>
      <c r="CV29" s="215">
        <f>IF(AND(CV$3&gt;='20_FINANCIACION'!$B$13,CV$3&lt;'20_FINANCIACION'!$B$14),MAX(0,MIN(-'30_CASHFLOW'!CV7,'20_FINANCIACION'!$B$11*ABS(SUM('30_CASHFLOW'!$B$7:$FZ$7)) - SUM($B$29:CU29))),0)</f>
        <v>0</v>
      </c>
      <c r="CW29" s="215">
        <f>IF(AND(CW$3&gt;='20_FINANCIACION'!$B$13,CW$3&lt;'20_FINANCIACION'!$B$14),MAX(0,MIN(-'30_CASHFLOW'!CW7,'20_FINANCIACION'!$B$11*ABS(SUM('30_CASHFLOW'!$B$7:$FZ$7)) - SUM($B$29:CV29))),0)</f>
        <v>0</v>
      </c>
      <c r="CX29" s="215">
        <f>IF(AND(CX$3&gt;='20_FINANCIACION'!$B$13,CX$3&lt;'20_FINANCIACION'!$B$14),MAX(0,MIN(-'30_CASHFLOW'!CX7,'20_FINANCIACION'!$B$11*ABS(SUM('30_CASHFLOW'!$B$7:$FZ$7)) - SUM($B$29:CW29))),0)</f>
        <v>0</v>
      </c>
      <c r="CY29" s="215">
        <f>IF(AND(CY$3&gt;='20_FINANCIACION'!$B$13,CY$3&lt;'20_FINANCIACION'!$B$14),MAX(0,MIN(-'30_CASHFLOW'!CY7,'20_FINANCIACION'!$B$11*ABS(SUM('30_CASHFLOW'!$B$7:$FZ$7)) - SUM($B$29:CX29))),0)</f>
        <v>0</v>
      </c>
      <c r="CZ29" s="215">
        <f>IF(AND(CZ$3&gt;='20_FINANCIACION'!$B$13,CZ$3&lt;'20_FINANCIACION'!$B$14),MAX(0,MIN(-'30_CASHFLOW'!CZ7,'20_FINANCIACION'!$B$11*ABS(SUM('30_CASHFLOW'!$B$7:$FZ$7)) - SUM($B$29:CY29))),0)</f>
        <v>0</v>
      </c>
      <c r="DA29" s="215">
        <f>IF(AND(DA$3&gt;='20_FINANCIACION'!$B$13,DA$3&lt;'20_FINANCIACION'!$B$14),MAX(0,MIN(-'30_CASHFLOW'!DA7,'20_FINANCIACION'!$B$11*ABS(SUM('30_CASHFLOW'!$B$7:$FZ$7)) - SUM($B$29:CZ29))),0)</f>
        <v>0</v>
      </c>
      <c r="DB29" s="215">
        <f>IF(AND(DB$3&gt;='20_FINANCIACION'!$B$13,DB$3&lt;'20_FINANCIACION'!$B$14),MAX(0,MIN(-'30_CASHFLOW'!DB7,'20_FINANCIACION'!$B$11*ABS(SUM('30_CASHFLOW'!$B$7:$FZ$7)) - SUM($B$29:DA29))),0)</f>
        <v>0</v>
      </c>
      <c r="DC29" s="215">
        <f>IF(AND(DC$3&gt;='20_FINANCIACION'!$B$13,DC$3&lt;'20_FINANCIACION'!$B$14),MAX(0,MIN(-'30_CASHFLOW'!DC7,'20_FINANCIACION'!$B$11*ABS(SUM('30_CASHFLOW'!$B$7:$FZ$7)) - SUM($B$29:DB29))),0)</f>
        <v>0</v>
      </c>
      <c r="DD29" s="215">
        <f>IF(AND(DD$3&gt;='20_FINANCIACION'!$B$13,DD$3&lt;'20_FINANCIACION'!$B$14),MAX(0,MIN(-'30_CASHFLOW'!DD7,'20_FINANCIACION'!$B$11*ABS(SUM('30_CASHFLOW'!$B$7:$FZ$7)) - SUM($B$29:DC29))),0)</f>
        <v>0</v>
      </c>
      <c r="DE29" s="215">
        <f>IF(AND(DE$3&gt;='20_FINANCIACION'!$B$13,DE$3&lt;'20_FINANCIACION'!$B$14),MAX(0,MIN(-'30_CASHFLOW'!DE7,'20_FINANCIACION'!$B$11*ABS(SUM('30_CASHFLOW'!$B$7:$FZ$7)) - SUM($B$29:DD29))),0)</f>
        <v>0</v>
      </c>
      <c r="DF29" s="215">
        <f>IF(AND(DF$3&gt;='20_FINANCIACION'!$B$13,DF$3&lt;'20_FINANCIACION'!$B$14),MAX(0,MIN(-'30_CASHFLOW'!DF7,'20_FINANCIACION'!$B$11*ABS(SUM('30_CASHFLOW'!$B$7:$FZ$7)) - SUM($B$29:DE29))),0)</f>
        <v>0</v>
      </c>
      <c r="DG29" s="215">
        <f>IF(AND(DG$3&gt;='20_FINANCIACION'!$B$13,DG$3&lt;'20_FINANCIACION'!$B$14),MAX(0,MIN(-'30_CASHFLOW'!DG7,'20_FINANCIACION'!$B$11*ABS(SUM('30_CASHFLOW'!$B$7:$FZ$7)) - SUM($B$29:DF29))),0)</f>
        <v>0</v>
      </c>
      <c r="DH29" s="215">
        <f>IF(AND(DH$3&gt;='20_FINANCIACION'!$B$13,DH$3&lt;'20_FINANCIACION'!$B$14),MAX(0,MIN(-'30_CASHFLOW'!DH7,'20_FINANCIACION'!$B$11*ABS(SUM('30_CASHFLOW'!$B$7:$FZ$7)) - SUM($B$29:DG29))),0)</f>
        <v>0</v>
      </c>
      <c r="DI29" s="215">
        <f>IF(AND(DI$3&gt;='20_FINANCIACION'!$B$13,DI$3&lt;'20_FINANCIACION'!$B$14),MAX(0,MIN(-'30_CASHFLOW'!DI7,'20_FINANCIACION'!$B$11*ABS(SUM('30_CASHFLOW'!$B$7:$FZ$7)) - SUM($B$29:DH29))),0)</f>
        <v>0</v>
      </c>
      <c r="DJ29" s="215">
        <f>IF(AND(DJ$3&gt;='20_FINANCIACION'!$B$13,DJ$3&lt;'20_FINANCIACION'!$B$14),MAX(0,MIN(-'30_CASHFLOW'!DJ7,'20_FINANCIACION'!$B$11*ABS(SUM('30_CASHFLOW'!$B$7:$FZ$7)) - SUM($B$29:DI29))),0)</f>
        <v>0</v>
      </c>
      <c r="DK29" s="215">
        <f>IF(AND(DK$3&gt;='20_FINANCIACION'!$B$13,DK$3&lt;'20_FINANCIACION'!$B$14),MAX(0,MIN(-'30_CASHFLOW'!DK7,'20_FINANCIACION'!$B$11*ABS(SUM('30_CASHFLOW'!$B$7:$FZ$7)) - SUM($B$29:DJ29))),0)</f>
        <v>0</v>
      </c>
      <c r="DL29" s="215">
        <f>IF(AND(DL$3&gt;='20_FINANCIACION'!$B$13,DL$3&lt;'20_FINANCIACION'!$B$14),MAX(0,MIN(-'30_CASHFLOW'!DL7,'20_FINANCIACION'!$B$11*ABS(SUM('30_CASHFLOW'!$B$7:$FZ$7)) - SUM($B$29:DK29))),0)</f>
        <v>0</v>
      </c>
      <c r="DM29" s="215">
        <f>IF(AND(DM$3&gt;='20_FINANCIACION'!$B$13,DM$3&lt;'20_FINANCIACION'!$B$14),MAX(0,MIN(-'30_CASHFLOW'!DM7,'20_FINANCIACION'!$B$11*ABS(SUM('30_CASHFLOW'!$B$7:$FZ$7)) - SUM($B$29:DL29))),0)</f>
        <v>0</v>
      </c>
      <c r="DN29" s="215">
        <f>IF(AND(DN$3&gt;='20_FINANCIACION'!$B$13,DN$3&lt;'20_FINANCIACION'!$B$14),MAX(0,MIN(-'30_CASHFLOW'!DN7,'20_FINANCIACION'!$B$11*ABS(SUM('30_CASHFLOW'!$B$7:$FZ$7)) - SUM($B$29:DM29))),0)</f>
        <v>0</v>
      </c>
      <c r="DO29" s="215">
        <f>IF(AND(DO$3&gt;='20_FINANCIACION'!$B$13,DO$3&lt;'20_FINANCIACION'!$B$14),MAX(0,MIN(-'30_CASHFLOW'!DO7,'20_FINANCIACION'!$B$11*ABS(SUM('30_CASHFLOW'!$B$7:$FZ$7)) - SUM($B$29:DN29))),0)</f>
        <v>0</v>
      </c>
      <c r="DP29" s="215">
        <f>IF(AND(DP$3&gt;='20_FINANCIACION'!$B$13,DP$3&lt;'20_FINANCIACION'!$B$14),MAX(0,MIN(-'30_CASHFLOW'!DP7,'20_FINANCIACION'!$B$11*ABS(SUM('30_CASHFLOW'!$B$7:$FZ$7)) - SUM($B$29:DO29))),0)</f>
        <v>0</v>
      </c>
      <c r="DQ29" s="215">
        <f>IF(AND(DQ$3&gt;='20_FINANCIACION'!$B$13,DQ$3&lt;'20_FINANCIACION'!$B$14),MAX(0,MIN(-'30_CASHFLOW'!DQ7,'20_FINANCIACION'!$B$11*ABS(SUM('30_CASHFLOW'!$B$7:$FZ$7)) - SUM($B$29:DP29))),0)</f>
        <v>0</v>
      </c>
      <c r="DR29" s="215">
        <f>IF(AND(DR$3&gt;='20_FINANCIACION'!$B$13,DR$3&lt;'20_FINANCIACION'!$B$14),MAX(0,MIN(-'30_CASHFLOW'!DR7,'20_FINANCIACION'!$B$11*ABS(SUM('30_CASHFLOW'!$B$7:$FZ$7)) - SUM($B$29:DQ29))),0)</f>
        <v>0</v>
      </c>
      <c r="DS29" s="215">
        <f>IF(AND(DS$3&gt;='20_FINANCIACION'!$B$13,DS$3&lt;'20_FINANCIACION'!$B$14),MAX(0,MIN(-'30_CASHFLOW'!DS7,'20_FINANCIACION'!$B$11*ABS(SUM('30_CASHFLOW'!$B$7:$FZ$7)) - SUM($B$29:DR29))),0)</f>
        <v>0</v>
      </c>
      <c r="DT29" s="215">
        <f>IF(AND(DT$3&gt;='20_FINANCIACION'!$B$13,DT$3&lt;'20_FINANCIACION'!$B$14),MAX(0,MIN(-'30_CASHFLOW'!DT7,'20_FINANCIACION'!$B$11*ABS(SUM('30_CASHFLOW'!$B$7:$FZ$7)) - SUM($B$29:DS29))),0)</f>
        <v>0</v>
      </c>
      <c r="DU29" s="215">
        <f>IF(AND(DU$3&gt;='20_FINANCIACION'!$B$13,DU$3&lt;'20_FINANCIACION'!$B$14),MAX(0,MIN(-'30_CASHFLOW'!DU7,'20_FINANCIACION'!$B$11*ABS(SUM('30_CASHFLOW'!$B$7:$FZ$7)) - SUM($B$29:DT29))),0)</f>
        <v>0</v>
      </c>
      <c r="DV29" s="215">
        <f>IF(AND(DV$3&gt;='20_FINANCIACION'!$B$13,DV$3&lt;'20_FINANCIACION'!$B$14),MAX(0,MIN(-'30_CASHFLOW'!DV7,'20_FINANCIACION'!$B$11*ABS(SUM('30_CASHFLOW'!$B$7:$FZ$7)) - SUM($B$29:DU29))),0)</f>
        <v>0</v>
      </c>
      <c r="DW29" s="215">
        <f>IF(AND(DW$3&gt;='20_FINANCIACION'!$B$13,DW$3&lt;'20_FINANCIACION'!$B$14),MAX(0,MIN(-'30_CASHFLOW'!DW7,'20_FINANCIACION'!$B$11*ABS(SUM('30_CASHFLOW'!$B$7:$FZ$7)) - SUM($B$29:DV29))),0)</f>
        <v>0</v>
      </c>
      <c r="DX29" s="215">
        <f>IF(AND(DX$3&gt;='20_FINANCIACION'!$B$13,DX$3&lt;'20_FINANCIACION'!$B$14),MAX(0,MIN(-'30_CASHFLOW'!DX7,'20_FINANCIACION'!$B$11*ABS(SUM('30_CASHFLOW'!$B$7:$FZ$7)) - SUM($B$29:DW29))),0)</f>
        <v>0</v>
      </c>
      <c r="DY29" s="215">
        <f>IF(AND(DY$3&gt;='20_FINANCIACION'!$B$13,DY$3&lt;'20_FINANCIACION'!$B$14),MAX(0,MIN(-'30_CASHFLOW'!DY7,'20_FINANCIACION'!$B$11*ABS(SUM('30_CASHFLOW'!$B$7:$FZ$7)) - SUM($B$29:DX29))),0)</f>
        <v>0</v>
      </c>
      <c r="DZ29" s="215">
        <f>IF(AND(DZ$3&gt;='20_FINANCIACION'!$B$13,DZ$3&lt;'20_FINANCIACION'!$B$14),MAX(0,MIN(-'30_CASHFLOW'!DZ7,'20_FINANCIACION'!$B$11*ABS(SUM('30_CASHFLOW'!$B$7:$FZ$7)) - SUM($B$29:DY29))),0)</f>
        <v>0</v>
      </c>
      <c r="EA29" s="215">
        <f>IF(AND(EA$3&gt;='20_FINANCIACION'!$B$13,EA$3&lt;'20_FINANCIACION'!$B$14),MAX(0,MIN(-'30_CASHFLOW'!EA7,'20_FINANCIACION'!$B$11*ABS(SUM('30_CASHFLOW'!$B$7:$FZ$7)) - SUM($B$29:DZ29))),0)</f>
        <v>0</v>
      </c>
      <c r="EB29" s="215">
        <f>IF(AND(EB$3&gt;='20_FINANCIACION'!$B$13,EB$3&lt;'20_FINANCIACION'!$B$14),MAX(0,MIN(-'30_CASHFLOW'!EB7,'20_FINANCIACION'!$B$11*ABS(SUM('30_CASHFLOW'!$B$7:$FZ$7)) - SUM($B$29:EA29))),0)</f>
        <v>0</v>
      </c>
      <c r="EC29" s="215">
        <f>IF(AND(EC$3&gt;='20_FINANCIACION'!$B$13,EC$3&lt;'20_FINANCIACION'!$B$14),MAX(0,MIN(-'30_CASHFLOW'!EC7,'20_FINANCIACION'!$B$11*ABS(SUM('30_CASHFLOW'!$B$7:$FZ$7)) - SUM($B$29:EB29))),0)</f>
        <v>0</v>
      </c>
      <c r="ED29" s="215">
        <f>IF(AND(ED$3&gt;='20_FINANCIACION'!$B$13,ED$3&lt;'20_FINANCIACION'!$B$14),MAX(0,MIN(-'30_CASHFLOW'!ED7,'20_FINANCIACION'!$B$11*ABS(SUM('30_CASHFLOW'!$B$7:$FZ$7)) - SUM($B$29:EC29))),0)</f>
        <v>0</v>
      </c>
      <c r="EE29" s="215">
        <f>IF(AND(EE$3&gt;='20_FINANCIACION'!$B$13,EE$3&lt;'20_FINANCIACION'!$B$14),MAX(0,MIN(-'30_CASHFLOW'!EE7,'20_FINANCIACION'!$B$11*ABS(SUM('30_CASHFLOW'!$B$7:$FZ$7)) - SUM($B$29:ED29))),0)</f>
        <v>0</v>
      </c>
      <c r="EF29" s="215">
        <f>IF(AND(EF$3&gt;='20_FINANCIACION'!$B$13,EF$3&lt;'20_FINANCIACION'!$B$14),MAX(0,MIN(-'30_CASHFLOW'!EF7,'20_FINANCIACION'!$B$11*ABS(SUM('30_CASHFLOW'!$B$7:$FZ$7)) - SUM($B$29:EE29))),0)</f>
        <v>0</v>
      </c>
      <c r="EG29" s="215">
        <f>IF(AND(EG$3&gt;='20_FINANCIACION'!$B$13,EG$3&lt;'20_FINANCIACION'!$B$14),MAX(0,MIN(-'30_CASHFLOW'!EG7,'20_FINANCIACION'!$B$11*ABS(SUM('30_CASHFLOW'!$B$7:$FZ$7)) - SUM($B$29:EF29))),0)</f>
        <v>0</v>
      </c>
      <c r="EH29" s="215">
        <f>IF(AND(EH$3&gt;='20_FINANCIACION'!$B$13,EH$3&lt;'20_FINANCIACION'!$B$14),MAX(0,MIN(-'30_CASHFLOW'!EH7,'20_FINANCIACION'!$B$11*ABS(SUM('30_CASHFLOW'!$B$7:$FZ$7)) - SUM($B$29:EG29))),0)</f>
        <v>0</v>
      </c>
      <c r="EI29" s="215">
        <f>IF(AND(EI$3&gt;='20_FINANCIACION'!$B$13,EI$3&lt;'20_FINANCIACION'!$B$14),MAX(0,MIN(-'30_CASHFLOW'!EI7,'20_FINANCIACION'!$B$11*ABS(SUM('30_CASHFLOW'!$B$7:$FZ$7)) - SUM($B$29:EH29))),0)</f>
        <v>0</v>
      </c>
      <c r="EJ29" s="215">
        <f>IF(AND(EJ$3&gt;='20_FINANCIACION'!$B$13,EJ$3&lt;'20_FINANCIACION'!$B$14),MAX(0,MIN(-'30_CASHFLOW'!EJ7,'20_FINANCIACION'!$B$11*ABS(SUM('30_CASHFLOW'!$B$7:$FZ$7)) - SUM($B$29:EI29))),0)</f>
        <v>0</v>
      </c>
      <c r="EK29" s="215">
        <f>IF(AND(EK$3&gt;='20_FINANCIACION'!$B$13,EK$3&lt;'20_FINANCIACION'!$B$14),MAX(0,MIN(-'30_CASHFLOW'!EK7,'20_FINANCIACION'!$B$11*ABS(SUM('30_CASHFLOW'!$B$7:$FZ$7)) - SUM($B$29:EJ29))),0)</f>
        <v>0</v>
      </c>
      <c r="EL29" s="215">
        <f>IF(AND(EL$3&gt;='20_FINANCIACION'!$B$13,EL$3&lt;'20_FINANCIACION'!$B$14),MAX(0,MIN(-'30_CASHFLOW'!EL7,'20_FINANCIACION'!$B$11*ABS(SUM('30_CASHFLOW'!$B$7:$FZ$7)) - SUM($B$29:EK29))),0)</f>
        <v>0</v>
      </c>
      <c r="EM29" s="215">
        <f>IF(AND(EM$3&gt;='20_FINANCIACION'!$B$13,EM$3&lt;'20_FINANCIACION'!$B$14),MAX(0,MIN(-'30_CASHFLOW'!EM7,'20_FINANCIACION'!$B$11*ABS(SUM('30_CASHFLOW'!$B$7:$FZ$7)) - SUM($B$29:EL29))),0)</f>
        <v>0</v>
      </c>
      <c r="EN29" s="215">
        <f>IF(AND(EN$3&gt;='20_FINANCIACION'!$B$13,EN$3&lt;'20_FINANCIACION'!$B$14),MAX(0,MIN(-'30_CASHFLOW'!EN7,'20_FINANCIACION'!$B$11*ABS(SUM('30_CASHFLOW'!$B$7:$FZ$7)) - SUM($B$29:EM29))),0)</f>
        <v>0</v>
      </c>
      <c r="EO29" s="215">
        <f>IF(AND(EO$3&gt;='20_FINANCIACION'!$B$13,EO$3&lt;'20_FINANCIACION'!$B$14),MAX(0,MIN(-'30_CASHFLOW'!EO7,'20_FINANCIACION'!$B$11*ABS(SUM('30_CASHFLOW'!$B$7:$FZ$7)) - SUM($B$29:EN29))),0)</f>
        <v>0</v>
      </c>
      <c r="EP29" s="215">
        <f>IF(AND(EP$3&gt;='20_FINANCIACION'!$B$13,EP$3&lt;'20_FINANCIACION'!$B$14),MAX(0,MIN(-'30_CASHFLOW'!EP7,'20_FINANCIACION'!$B$11*ABS(SUM('30_CASHFLOW'!$B$7:$FZ$7)) - SUM($B$29:EO29))),0)</f>
        <v>0</v>
      </c>
      <c r="EQ29" s="215">
        <f>IF(AND(EQ$3&gt;='20_FINANCIACION'!$B$13,EQ$3&lt;'20_FINANCIACION'!$B$14),MAX(0,MIN(-'30_CASHFLOW'!EQ7,'20_FINANCIACION'!$B$11*ABS(SUM('30_CASHFLOW'!$B$7:$FZ$7)) - SUM($B$29:EP29))),0)</f>
        <v>0</v>
      </c>
      <c r="ER29" s="215">
        <f>IF(AND(ER$3&gt;='20_FINANCIACION'!$B$13,ER$3&lt;'20_FINANCIACION'!$B$14),MAX(0,MIN(-'30_CASHFLOW'!ER7,'20_FINANCIACION'!$B$11*ABS(SUM('30_CASHFLOW'!$B$7:$FZ$7)) - SUM($B$29:EQ29))),0)</f>
        <v>0</v>
      </c>
      <c r="ES29" s="215">
        <f>IF(AND(ES$3&gt;='20_FINANCIACION'!$B$13,ES$3&lt;'20_FINANCIACION'!$B$14),MAX(0,MIN(-'30_CASHFLOW'!ES7,'20_FINANCIACION'!$B$11*ABS(SUM('30_CASHFLOW'!$B$7:$FZ$7)) - SUM($B$29:ER29))),0)</f>
        <v>0</v>
      </c>
      <c r="ET29" s="215">
        <f>IF(AND(ET$3&gt;='20_FINANCIACION'!$B$13,ET$3&lt;'20_FINANCIACION'!$B$14),MAX(0,MIN(-'30_CASHFLOW'!ET7,'20_FINANCIACION'!$B$11*ABS(SUM('30_CASHFLOW'!$B$7:$FZ$7)) - SUM($B$29:ES29))),0)</f>
        <v>0</v>
      </c>
      <c r="EU29" s="215">
        <f>IF(AND(EU$3&gt;='20_FINANCIACION'!$B$13,EU$3&lt;'20_FINANCIACION'!$B$14),MAX(0,MIN(-'30_CASHFLOW'!EU7,'20_FINANCIACION'!$B$11*ABS(SUM('30_CASHFLOW'!$B$7:$FZ$7)) - SUM($B$29:ET29))),0)</f>
        <v>0</v>
      </c>
      <c r="EV29" s="215">
        <f>IF(AND(EV$3&gt;='20_FINANCIACION'!$B$13,EV$3&lt;'20_FINANCIACION'!$B$14),MAX(0,MIN(-'30_CASHFLOW'!EV7,'20_FINANCIACION'!$B$11*ABS(SUM('30_CASHFLOW'!$B$7:$FZ$7)) - SUM($B$29:EU29))),0)</f>
        <v>0</v>
      </c>
      <c r="EW29" s="215">
        <f>IF(AND(EW$3&gt;='20_FINANCIACION'!$B$13,EW$3&lt;'20_FINANCIACION'!$B$14),MAX(0,MIN(-'30_CASHFLOW'!EW7,'20_FINANCIACION'!$B$11*ABS(SUM('30_CASHFLOW'!$B$7:$FZ$7)) - SUM($B$29:EV29))),0)</f>
        <v>0</v>
      </c>
      <c r="EX29" s="215">
        <f>IF(AND(EX$3&gt;='20_FINANCIACION'!$B$13,EX$3&lt;'20_FINANCIACION'!$B$14),MAX(0,MIN(-'30_CASHFLOW'!EX7,'20_FINANCIACION'!$B$11*ABS(SUM('30_CASHFLOW'!$B$7:$FZ$7)) - SUM($B$29:EW29))),0)</f>
        <v>0</v>
      </c>
      <c r="EY29" s="215">
        <f>IF(AND(EY$3&gt;='20_FINANCIACION'!$B$13,EY$3&lt;'20_FINANCIACION'!$B$14),MAX(0,MIN(-'30_CASHFLOW'!EY7,'20_FINANCIACION'!$B$11*ABS(SUM('30_CASHFLOW'!$B$7:$FZ$7)) - SUM($B$29:EX29))),0)</f>
        <v>0</v>
      </c>
      <c r="EZ29" s="215">
        <f>IF(AND(EZ$3&gt;='20_FINANCIACION'!$B$13,EZ$3&lt;'20_FINANCIACION'!$B$14),MAX(0,MIN(-'30_CASHFLOW'!EZ7,'20_FINANCIACION'!$B$11*ABS(SUM('30_CASHFLOW'!$B$7:$FZ$7)) - SUM($B$29:EY29))),0)</f>
        <v>0</v>
      </c>
      <c r="FA29" s="215">
        <f>IF(AND(FA$3&gt;='20_FINANCIACION'!$B$13,FA$3&lt;'20_FINANCIACION'!$B$14),MAX(0,MIN(-'30_CASHFLOW'!FA7,'20_FINANCIACION'!$B$11*ABS(SUM('30_CASHFLOW'!$B$7:$FZ$7)) - SUM($B$29:EZ29))),0)</f>
        <v>0</v>
      </c>
      <c r="FB29" s="215">
        <f>IF(AND(FB$3&gt;='20_FINANCIACION'!$B$13,FB$3&lt;'20_FINANCIACION'!$B$14),MAX(0,MIN(-'30_CASHFLOW'!FB7,'20_FINANCIACION'!$B$11*ABS(SUM('30_CASHFLOW'!$B$7:$FZ$7)) - SUM($B$29:FA29))),0)</f>
        <v>0</v>
      </c>
      <c r="FC29" s="215">
        <f>IF(AND(FC$3&gt;='20_FINANCIACION'!$B$13,FC$3&lt;'20_FINANCIACION'!$B$14),MAX(0,MIN(-'30_CASHFLOW'!FC7,'20_FINANCIACION'!$B$11*ABS(SUM('30_CASHFLOW'!$B$7:$FZ$7)) - SUM($B$29:FB29))),0)</f>
        <v>0</v>
      </c>
      <c r="FD29" s="215">
        <f>IF(AND(FD$3&gt;='20_FINANCIACION'!$B$13,FD$3&lt;'20_FINANCIACION'!$B$14),MAX(0,MIN(-'30_CASHFLOW'!FD7,'20_FINANCIACION'!$B$11*ABS(SUM('30_CASHFLOW'!$B$7:$FZ$7)) - SUM($B$29:FC29))),0)</f>
        <v>0</v>
      </c>
      <c r="FE29" s="215">
        <f>IF(AND(FE$3&gt;='20_FINANCIACION'!$B$13,FE$3&lt;'20_FINANCIACION'!$B$14),MAX(0,MIN(-'30_CASHFLOW'!FE7,'20_FINANCIACION'!$B$11*ABS(SUM('30_CASHFLOW'!$B$7:$FZ$7)) - SUM($B$29:FD29))),0)</f>
        <v>0</v>
      </c>
      <c r="FF29" s="215">
        <f>IF(AND(FF$3&gt;='20_FINANCIACION'!$B$13,FF$3&lt;'20_FINANCIACION'!$B$14),MAX(0,MIN(-'30_CASHFLOW'!FF7,'20_FINANCIACION'!$B$11*ABS(SUM('30_CASHFLOW'!$B$7:$FZ$7)) - SUM($B$29:FE29))),0)</f>
        <v>0</v>
      </c>
      <c r="FG29" s="215">
        <f>IF(AND(FG$3&gt;='20_FINANCIACION'!$B$13,FG$3&lt;'20_FINANCIACION'!$B$14),MAX(0,MIN(-'30_CASHFLOW'!FG7,'20_FINANCIACION'!$B$11*ABS(SUM('30_CASHFLOW'!$B$7:$FZ$7)) - SUM($B$29:FF29))),0)</f>
        <v>0</v>
      </c>
      <c r="FH29" s="215">
        <f>IF(AND(FH$3&gt;='20_FINANCIACION'!$B$13,FH$3&lt;'20_FINANCIACION'!$B$14),MAX(0,MIN(-'30_CASHFLOW'!FH7,'20_FINANCIACION'!$B$11*ABS(SUM('30_CASHFLOW'!$B$7:$FZ$7)) - SUM($B$29:FG29))),0)</f>
        <v>0</v>
      </c>
      <c r="FI29" s="215">
        <f>IF(AND(FI$3&gt;='20_FINANCIACION'!$B$13,FI$3&lt;'20_FINANCIACION'!$B$14),MAX(0,MIN(-'30_CASHFLOW'!FI7,'20_FINANCIACION'!$B$11*ABS(SUM('30_CASHFLOW'!$B$7:$FZ$7)) - SUM($B$29:FH29))),0)</f>
        <v>0</v>
      </c>
      <c r="FJ29" s="215">
        <f>IF(AND(FJ$3&gt;='20_FINANCIACION'!$B$13,FJ$3&lt;'20_FINANCIACION'!$B$14),MAX(0,MIN(-'30_CASHFLOW'!FJ7,'20_FINANCIACION'!$B$11*ABS(SUM('30_CASHFLOW'!$B$7:$FZ$7)) - SUM($B$29:FI29))),0)</f>
        <v>0</v>
      </c>
      <c r="FK29" s="215">
        <f>IF(AND(FK$3&gt;='20_FINANCIACION'!$B$13,FK$3&lt;'20_FINANCIACION'!$B$14),MAX(0,MIN(-'30_CASHFLOW'!FK7,'20_FINANCIACION'!$B$11*ABS(SUM('30_CASHFLOW'!$B$7:$FZ$7)) - SUM($B$29:FJ29))),0)</f>
        <v>0</v>
      </c>
      <c r="FL29" s="215">
        <f>IF(AND(FL$3&gt;='20_FINANCIACION'!$B$13,FL$3&lt;'20_FINANCIACION'!$B$14),MAX(0,MIN(-'30_CASHFLOW'!FL7,'20_FINANCIACION'!$B$11*ABS(SUM('30_CASHFLOW'!$B$7:$FZ$7)) - SUM($B$29:FK29))),0)</f>
        <v>0</v>
      </c>
      <c r="FM29" s="215">
        <f>IF(AND(FM$3&gt;='20_FINANCIACION'!$B$13,FM$3&lt;'20_FINANCIACION'!$B$14),MAX(0,MIN(-'30_CASHFLOW'!FM7,'20_FINANCIACION'!$B$11*ABS(SUM('30_CASHFLOW'!$B$7:$FZ$7)) - SUM($B$29:FL29))),0)</f>
        <v>0</v>
      </c>
      <c r="FN29" s="215">
        <f>IF(AND(FN$3&gt;='20_FINANCIACION'!$B$13,FN$3&lt;'20_FINANCIACION'!$B$14),MAX(0,MIN(-'30_CASHFLOW'!FN7,'20_FINANCIACION'!$B$11*ABS(SUM('30_CASHFLOW'!$B$7:$FZ$7)) - SUM($B$29:FM29))),0)</f>
        <v>0</v>
      </c>
      <c r="FO29" s="215">
        <f>IF(AND(FO$3&gt;='20_FINANCIACION'!$B$13,FO$3&lt;'20_FINANCIACION'!$B$14),MAX(0,MIN(-'30_CASHFLOW'!FO7,'20_FINANCIACION'!$B$11*ABS(SUM('30_CASHFLOW'!$B$7:$FZ$7)) - SUM($B$29:FN29))),0)</f>
        <v>0</v>
      </c>
      <c r="FP29" s="215">
        <f>IF(AND(FP$3&gt;='20_FINANCIACION'!$B$13,FP$3&lt;'20_FINANCIACION'!$B$14),MAX(0,MIN(-'30_CASHFLOW'!FP7,'20_FINANCIACION'!$B$11*ABS(SUM('30_CASHFLOW'!$B$7:$FZ$7)) - SUM($B$29:FO29))),0)</f>
        <v>0</v>
      </c>
      <c r="FQ29" s="215">
        <f>IF(AND(FQ$3&gt;='20_FINANCIACION'!$B$13,FQ$3&lt;'20_FINANCIACION'!$B$14),MAX(0,MIN(-'30_CASHFLOW'!FQ7,'20_FINANCIACION'!$B$11*ABS(SUM('30_CASHFLOW'!$B$7:$FZ$7)) - SUM($B$29:FP29))),0)</f>
        <v>0</v>
      </c>
      <c r="FR29" s="215">
        <f>IF(AND(FR$3&gt;='20_FINANCIACION'!$B$13,FR$3&lt;'20_FINANCIACION'!$B$14),MAX(0,MIN(-'30_CASHFLOW'!FR7,'20_FINANCIACION'!$B$11*ABS(SUM('30_CASHFLOW'!$B$7:$FZ$7)) - SUM($B$29:FQ29))),0)</f>
        <v>0</v>
      </c>
      <c r="FS29" s="215">
        <f>IF(AND(FS$3&gt;='20_FINANCIACION'!$B$13,FS$3&lt;'20_FINANCIACION'!$B$14),MAX(0,MIN(-'30_CASHFLOW'!FS7,'20_FINANCIACION'!$B$11*ABS(SUM('30_CASHFLOW'!$B$7:$FZ$7)) - SUM($B$29:FR29))),0)</f>
        <v>0</v>
      </c>
      <c r="FT29" s="215">
        <f>IF(AND(FT$3&gt;='20_FINANCIACION'!$B$13,FT$3&lt;'20_FINANCIACION'!$B$14),MAX(0,MIN(-'30_CASHFLOW'!FT7,'20_FINANCIACION'!$B$11*ABS(SUM('30_CASHFLOW'!$B$7:$FZ$7)) - SUM($B$29:FS29))),0)</f>
        <v>0</v>
      </c>
      <c r="FU29" s="215">
        <f>IF(AND(FU$3&gt;='20_FINANCIACION'!$B$13,FU$3&lt;'20_FINANCIACION'!$B$14),MAX(0,MIN(-'30_CASHFLOW'!FU7,'20_FINANCIACION'!$B$11*ABS(SUM('30_CASHFLOW'!$B$7:$FZ$7)) - SUM($B$29:FT29))),0)</f>
        <v>0</v>
      </c>
      <c r="FV29" s="215">
        <f>IF(AND(FV$3&gt;='20_FINANCIACION'!$B$13,FV$3&lt;'20_FINANCIACION'!$B$14),MAX(0,MIN(-'30_CASHFLOW'!FV7,'20_FINANCIACION'!$B$11*ABS(SUM('30_CASHFLOW'!$B$7:$FZ$7)) - SUM($B$29:FU29))),0)</f>
        <v>0</v>
      </c>
      <c r="FW29" s="215">
        <f>IF(AND(FW$3&gt;='20_FINANCIACION'!$B$13,FW$3&lt;'20_FINANCIACION'!$B$14),MAX(0,MIN(-'30_CASHFLOW'!FW7,'20_FINANCIACION'!$B$11*ABS(SUM('30_CASHFLOW'!$B$7:$FZ$7)) - SUM($B$29:FV29))),0)</f>
        <v>0</v>
      </c>
      <c r="FX29" s="215">
        <f>IF(AND(FX$3&gt;='20_FINANCIACION'!$B$13,FX$3&lt;'20_FINANCIACION'!$B$14),MAX(0,MIN(-'30_CASHFLOW'!FX7,'20_FINANCIACION'!$B$11*ABS(SUM('30_CASHFLOW'!$B$7:$FZ$7)) - SUM($B$29:FW29))),0)</f>
        <v>0</v>
      </c>
      <c r="FY29" s="215">
        <f>IF(AND(FY$3&gt;='20_FINANCIACION'!$B$13,FY$3&lt;'20_FINANCIACION'!$B$14),MAX(0,MIN(-'30_CASHFLOW'!FY7,'20_FINANCIACION'!$B$11*ABS(SUM('30_CASHFLOW'!$B$7:$FZ$7)) - SUM($B$29:FX29))),0)</f>
        <v>0</v>
      </c>
      <c r="FZ29" s="215">
        <f>IF(AND(FZ$3&gt;='20_FINANCIACION'!$B$13,FZ$3&lt;'20_FINANCIACION'!$B$14),MAX(0,MIN(-'30_CASHFLOW'!FZ7,'20_FINANCIACION'!$B$11*ABS(SUM('30_CASHFLOW'!$B$7:$FZ$7)) - SUM($B$29:FY29))),0)</f>
        <v>0</v>
      </c>
    </row>
    <row r="30" spans="1:182" ht="16.5" customHeight="1" thickBot="1" x14ac:dyDescent="0.3">
      <c r="A30" s="214" t="s">
        <v>285</v>
      </c>
      <c r="B30" s="204">
        <f t="shared" ref="B30:AG30" si="39">B28+B29</f>
        <v>1183546</v>
      </c>
      <c r="C30" s="204">
        <f t="shared" si="39"/>
        <v>0</v>
      </c>
      <c r="D30" s="204">
        <f t="shared" si="39"/>
        <v>0</v>
      </c>
      <c r="E30" s="204">
        <f t="shared" si="39"/>
        <v>0</v>
      </c>
      <c r="F30" s="204">
        <f t="shared" si="39"/>
        <v>0</v>
      </c>
      <c r="G30" s="204">
        <f t="shared" si="39"/>
        <v>0</v>
      </c>
      <c r="H30" s="213">
        <f t="shared" si="39"/>
        <v>0</v>
      </c>
      <c r="I30" s="204">
        <f t="shared" si="39"/>
        <v>0</v>
      </c>
      <c r="J30" s="204">
        <f t="shared" si="39"/>
        <v>0</v>
      </c>
      <c r="K30" s="204">
        <f t="shared" si="39"/>
        <v>0</v>
      </c>
      <c r="L30" s="204">
        <f t="shared" si="39"/>
        <v>0</v>
      </c>
      <c r="M30" s="204">
        <f t="shared" si="39"/>
        <v>302985.8395200001</v>
      </c>
      <c r="N30" s="204">
        <f t="shared" si="39"/>
        <v>271320.87528000009</v>
      </c>
      <c r="O30" s="204">
        <f t="shared" si="39"/>
        <v>271208.50848000008</v>
      </c>
      <c r="P30" s="204">
        <f t="shared" si="39"/>
        <v>271096.14168000006</v>
      </c>
      <c r="Q30" s="204">
        <f t="shared" si="39"/>
        <v>270983.77488000004</v>
      </c>
      <c r="R30" s="204">
        <f t="shared" si="39"/>
        <v>270871.40808000008</v>
      </c>
      <c r="S30" s="204">
        <f t="shared" si="39"/>
        <v>270759.04128000006</v>
      </c>
      <c r="T30" s="204">
        <f t="shared" si="39"/>
        <v>270646.67448000005</v>
      </c>
      <c r="U30" s="204">
        <f t="shared" si="39"/>
        <v>270534.30768000009</v>
      </c>
      <c r="V30" s="204">
        <f t="shared" si="39"/>
        <v>270421.94088000007</v>
      </c>
      <c r="W30" s="204">
        <f t="shared" si="39"/>
        <v>270309.57408000005</v>
      </c>
      <c r="X30" s="204">
        <f t="shared" si="39"/>
        <v>270197.20728000009</v>
      </c>
      <c r="Y30" s="204">
        <f t="shared" si="39"/>
        <v>269680.32000000007</v>
      </c>
      <c r="Z30" s="204">
        <f t="shared" si="39"/>
        <v>269680.32000000007</v>
      </c>
      <c r="AA30" s="204">
        <f t="shared" si="39"/>
        <v>269680.32000000007</v>
      </c>
      <c r="AB30" s="204">
        <f t="shared" si="39"/>
        <v>161808.19200000074</v>
      </c>
      <c r="AC30" s="204">
        <f t="shared" si="39"/>
        <v>77930.320000000065</v>
      </c>
      <c r="AD30" s="204">
        <f t="shared" si="39"/>
        <v>77930.320000000065</v>
      </c>
      <c r="AE30" s="204">
        <f t="shared" si="39"/>
        <v>77930.320000000065</v>
      </c>
      <c r="AF30" s="204">
        <f t="shared" si="39"/>
        <v>77930.320000000065</v>
      </c>
      <c r="AG30" s="204">
        <f t="shared" si="39"/>
        <v>77930.320000000065</v>
      </c>
      <c r="AH30" s="204">
        <f t="shared" ref="AH30:BM30" si="40">AH28+AH29</f>
        <v>77930.320000000065</v>
      </c>
      <c r="AI30" s="204">
        <f t="shared" si="40"/>
        <v>88655.320000000065</v>
      </c>
      <c r="AJ30" s="204">
        <f t="shared" si="40"/>
        <v>95805.320000000065</v>
      </c>
      <c r="AK30" s="204">
        <f t="shared" si="40"/>
        <v>0</v>
      </c>
      <c r="AL30" s="204">
        <f t="shared" si="40"/>
        <v>0</v>
      </c>
      <c r="AM30" s="204">
        <f t="shared" si="40"/>
        <v>0</v>
      </c>
      <c r="AN30" s="204">
        <f t="shared" si="40"/>
        <v>0</v>
      </c>
      <c r="AO30" s="204">
        <f t="shared" si="40"/>
        <v>0</v>
      </c>
      <c r="AP30" s="204">
        <f t="shared" si="40"/>
        <v>0</v>
      </c>
      <c r="AQ30" s="204">
        <f t="shared" si="40"/>
        <v>0</v>
      </c>
      <c r="AR30" s="204">
        <f t="shared" si="40"/>
        <v>0</v>
      </c>
      <c r="AS30" s="204">
        <f t="shared" si="40"/>
        <v>0</v>
      </c>
      <c r="AT30" s="204">
        <f t="shared" si="40"/>
        <v>0</v>
      </c>
      <c r="AU30" s="204">
        <f t="shared" si="40"/>
        <v>0</v>
      </c>
      <c r="AV30" s="204">
        <f t="shared" si="40"/>
        <v>0</v>
      </c>
      <c r="AW30" s="204">
        <f t="shared" si="40"/>
        <v>0</v>
      </c>
      <c r="AX30" s="204">
        <f t="shared" si="40"/>
        <v>0</v>
      </c>
      <c r="AY30" s="204">
        <f t="shared" si="40"/>
        <v>0</v>
      </c>
      <c r="AZ30" s="204">
        <f t="shared" si="40"/>
        <v>0</v>
      </c>
      <c r="BA30" s="204">
        <f t="shared" si="40"/>
        <v>0</v>
      </c>
      <c r="BB30" s="204">
        <f t="shared" si="40"/>
        <v>0</v>
      </c>
      <c r="BC30" s="204">
        <f t="shared" si="40"/>
        <v>0</v>
      </c>
      <c r="BD30" s="204">
        <f t="shared" si="40"/>
        <v>0</v>
      </c>
      <c r="BE30" s="204">
        <f t="shared" si="40"/>
        <v>0</v>
      </c>
      <c r="BF30" s="204">
        <f t="shared" si="40"/>
        <v>0</v>
      </c>
      <c r="BG30" s="204">
        <f t="shared" si="40"/>
        <v>0</v>
      </c>
      <c r="BH30" s="204">
        <f t="shared" si="40"/>
        <v>0</v>
      </c>
      <c r="BI30" s="204">
        <f t="shared" si="40"/>
        <v>0</v>
      </c>
      <c r="BJ30" s="204">
        <f t="shared" si="40"/>
        <v>0</v>
      </c>
      <c r="BK30" s="204">
        <f t="shared" si="40"/>
        <v>0</v>
      </c>
      <c r="BL30" s="204">
        <f t="shared" si="40"/>
        <v>0</v>
      </c>
      <c r="BM30" s="204">
        <f t="shared" si="40"/>
        <v>0</v>
      </c>
      <c r="BN30" s="204">
        <f t="shared" ref="BN30:CS30" si="41">BN28+BN29</f>
        <v>0</v>
      </c>
      <c r="BO30" s="204">
        <f t="shared" si="41"/>
        <v>0</v>
      </c>
      <c r="BP30" s="204">
        <f t="shared" si="41"/>
        <v>0</v>
      </c>
      <c r="BQ30" s="204">
        <f t="shared" si="41"/>
        <v>0</v>
      </c>
      <c r="BR30" s="204">
        <f t="shared" si="41"/>
        <v>0</v>
      </c>
      <c r="BS30" s="204">
        <f t="shared" si="41"/>
        <v>0</v>
      </c>
      <c r="BT30" s="204">
        <f t="shared" si="41"/>
        <v>0</v>
      </c>
      <c r="BU30" s="204">
        <f t="shared" si="41"/>
        <v>0</v>
      </c>
      <c r="BV30" s="204">
        <f t="shared" si="41"/>
        <v>0</v>
      </c>
      <c r="BW30" s="204">
        <f t="shared" si="41"/>
        <v>0</v>
      </c>
      <c r="BX30" s="204">
        <f t="shared" si="41"/>
        <v>0</v>
      </c>
      <c r="BY30" s="204">
        <f t="shared" si="41"/>
        <v>0</v>
      </c>
      <c r="BZ30" s="204">
        <f t="shared" si="41"/>
        <v>0</v>
      </c>
      <c r="CA30" s="204">
        <f t="shared" si="41"/>
        <v>0</v>
      </c>
      <c r="CB30" s="204">
        <f t="shared" si="41"/>
        <v>0</v>
      </c>
      <c r="CC30" s="204">
        <f t="shared" si="41"/>
        <v>0</v>
      </c>
      <c r="CD30" s="204">
        <f t="shared" si="41"/>
        <v>0</v>
      </c>
      <c r="CE30" s="204">
        <f t="shared" si="41"/>
        <v>0</v>
      </c>
      <c r="CF30" s="204">
        <f t="shared" si="41"/>
        <v>0</v>
      </c>
      <c r="CG30" s="204">
        <f t="shared" si="41"/>
        <v>0</v>
      </c>
      <c r="CH30" s="204">
        <f t="shared" si="41"/>
        <v>0</v>
      </c>
      <c r="CI30" s="204">
        <f t="shared" si="41"/>
        <v>0</v>
      </c>
      <c r="CJ30" s="204">
        <f t="shared" si="41"/>
        <v>0</v>
      </c>
      <c r="CK30" s="204">
        <f t="shared" si="41"/>
        <v>0</v>
      </c>
      <c r="CL30" s="204">
        <f t="shared" si="41"/>
        <v>0</v>
      </c>
      <c r="CM30" s="204">
        <f t="shared" si="41"/>
        <v>0</v>
      </c>
      <c r="CN30" s="204">
        <f t="shared" si="41"/>
        <v>0</v>
      </c>
      <c r="CO30" s="204">
        <f t="shared" si="41"/>
        <v>0</v>
      </c>
      <c r="CP30" s="204">
        <f t="shared" si="41"/>
        <v>0</v>
      </c>
      <c r="CQ30" s="204">
        <f t="shared" si="41"/>
        <v>0</v>
      </c>
      <c r="CR30" s="204">
        <f t="shared" si="41"/>
        <v>0</v>
      </c>
      <c r="CS30" s="204">
        <f t="shared" si="41"/>
        <v>0</v>
      </c>
      <c r="CT30" s="204">
        <f t="shared" ref="CT30:DY30" si="42">CT28+CT29</f>
        <v>0</v>
      </c>
      <c r="CU30" s="204">
        <f t="shared" si="42"/>
        <v>0</v>
      </c>
      <c r="CV30" s="204">
        <f t="shared" si="42"/>
        <v>0</v>
      </c>
      <c r="CW30" s="204">
        <f t="shared" si="42"/>
        <v>0</v>
      </c>
      <c r="CX30" s="204">
        <f t="shared" si="42"/>
        <v>0</v>
      </c>
      <c r="CY30" s="204">
        <f t="shared" si="42"/>
        <v>0</v>
      </c>
      <c r="CZ30" s="204">
        <f t="shared" si="42"/>
        <v>0</v>
      </c>
      <c r="DA30" s="204">
        <f t="shared" si="42"/>
        <v>0</v>
      </c>
      <c r="DB30" s="204">
        <f t="shared" si="42"/>
        <v>0</v>
      </c>
      <c r="DC30" s="204">
        <f t="shared" si="42"/>
        <v>0</v>
      </c>
      <c r="DD30" s="204">
        <f t="shared" si="42"/>
        <v>0</v>
      </c>
      <c r="DE30" s="204">
        <f t="shared" si="42"/>
        <v>0</v>
      </c>
      <c r="DF30" s="204">
        <f t="shared" si="42"/>
        <v>0</v>
      </c>
      <c r="DG30" s="204">
        <f t="shared" si="42"/>
        <v>0</v>
      </c>
      <c r="DH30" s="204">
        <f t="shared" si="42"/>
        <v>0</v>
      </c>
      <c r="DI30" s="204">
        <f t="shared" si="42"/>
        <v>0</v>
      </c>
      <c r="DJ30" s="204">
        <f t="shared" si="42"/>
        <v>0</v>
      </c>
      <c r="DK30" s="204">
        <f t="shared" si="42"/>
        <v>0</v>
      </c>
      <c r="DL30" s="204">
        <f t="shared" si="42"/>
        <v>0</v>
      </c>
      <c r="DM30" s="204">
        <f t="shared" si="42"/>
        <v>0</v>
      </c>
      <c r="DN30" s="204">
        <f t="shared" si="42"/>
        <v>0</v>
      </c>
      <c r="DO30" s="204">
        <f t="shared" si="42"/>
        <v>0</v>
      </c>
      <c r="DP30" s="204">
        <f t="shared" si="42"/>
        <v>0</v>
      </c>
      <c r="DQ30" s="204">
        <f t="shared" si="42"/>
        <v>0</v>
      </c>
      <c r="DR30" s="204">
        <f t="shared" si="42"/>
        <v>0</v>
      </c>
      <c r="DS30" s="204">
        <f t="shared" si="42"/>
        <v>0</v>
      </c>
      <c r="DT30" s="204">
        <f t="shared" si="42"/>
        <v>0</v>
      </c>
      <c r="DU30" s="204">
        <f t="shared" si="42"/>
        <v>0</v>
      </c>
      <c r="DV30" s="204">
        <f t="shared" si="42"/>
        <v>0</v>
      </c>
      <c r="DW30" s="204">
        <f t="shared" si="42"/>
        <v>0</v>
      </c>
      <c r="DX30" s="204">
        <f t="shared" si="42"/>
        <v>0</v>
      </c>
      <c r="DY30" s="204">
        <f t="shared" si="42"/>
        <v>0</v>
      </c>
      <c r="DZ30" s="204">
        <f t="shared" ref="DZ30:FE30" si="43">DZ28+DZ29</f>
        <v>0</v>
      </c>
      <c r="EA30" s="204">
        <f t="shared" si="43"/>
        <v>0</v>
      </c>
      <c r="EB30" s="204">
        <f t="shared" si="43"/>
        <v>0</v>
      </c>
      <c r="EC30" s="204">
        <f t="shared" si="43"/>
        <v>0</v>
      </c>
      <c r="ED30" s="204">
        <f t="shared" si="43"/>
        <v>0</v>
      </c>
      <c r="EE30" s="204">
        <f t="shared" si="43"/>
        <v>0</v>
      </c>
      <c r="EF30" s="204">
        <f t="shared" si="43"/>
        <v>0</v>
      </c>
      <c r="EG30" s="204">
        <f t="shared" si="43"/>
        <v>0</v>
      </c>
      <c r="EH30" s="204">
        <f t="shared" si="43"/>
        <v>0</v>
      </c>
      <c r="EI30" s="204">
        <f t="shared" si="43"/>
        <v>0</v>
      </c>
      <c r="EJ30" s="204">
        <f t="shared" si="43"/>
        <v>0</v>
      </c>
      <c r="EK30" s="204">
        <f t="shared" si="43"/>
        <v>0</v>
      </c>
      <c r="EL30" s="204">
        <f t="shared" si="43"/>
        <v>0</v>
      </c>
      <c r="EM30" s="204">
        <f t="shared" si="43"/>
        <v>0</v>
      </c>
      <c r="EN30" s="204">
        <f t="shared" si="43"/>
        <v>0</v>
      </c>
      <c r="EO30" s="204">
        <f t="shared" si="43"/>
        <v>0</v>
      </c>
      <c r="EP30" s="204">
        <f t="shared" si="43"/>
        <v>0</v>
      </c>
      <c r="EQ30" s="204">
        <f t="shared" si="43"/>
        <v>0</v>
      </c>
      <c r="ER30" s="204">
        <f t="shared" si="43"/>
        <v>0</v>
      </c>
      <c r="ES30" s="204">
        <f t="shared" si="43"/>
        <v>0</v>
      </c>
      <c r="ET30" s="204">
        <f t="shared" si="43"/>
        <v>0</v>
      </c>
      <c r="EU30" s="204">
        <f t="shared" si="43"/>
        <v>0</v>
      </c>
      <c r="EV30" s="204">
        <f t="shared" si="43"/>
        <v>0</v>
      </c>
      <c r="EW30" s="204">
        <f t="shared" si="43"/>
        <v>0</v>
      </c>
      <c r="EX30" s="204">
        <f t="shared" si="43"/>
        <v>0</v>
      </c>
      <c r="EY30" s="204">
        <f t="shared" si="43"/>
        <v>0</v>
      </c>
      <c r="EZ30" s="204">
        <f t="shared" si="43"/>
        <v>0</v>
      </c>
      <c r="FA30" s="204">
        <f t="shared" si="43"/>
        <v>0</v>
      </c>
      <c r="FB30" s="204">
        <f t="shared" si="43"/>
        <v>0</v>
      </c>
      <c r="FC30" s="204">
        <f t="shared" si="43"/>
        <v>0</v>
      </c>
      <c r="FD30" s="204">
        <f t="shared" si="43"/>
        <v>0</v>
      </c>
      <c r="FE30" s="204">
        <f t="shared" si="43"/>
        <v>0</v>
      </c>
      <c r="FF30" s="204">
        <f t="shared" ref="FF30:FZ30" si="44">FF28+FF29</f>
        <v>0</v>
      </c>
      <c r="FG30" s="204">
        <f t="shared" si="44"/>
        <v>0</v>
      </c>
      <c r="FH30" s="204">
        <f t="shared" si="44"/>
        <v>0</v>
      </c>
      <c r="FI30" s="204">
        <f t="shared" si="44"/>
        <v>0</v>
      </c>
      <c r="FJ30" s="204">
        <f t="shared" si="44"/>
        <v>0</v>
      </c>
      <c r="FK30" s="204">
        <f t="shared" si="44"/>
        <v>0</v>
      </c>
      <c r="FL30" s="204">
        <f t="shared" si="44"/>
        <v>0</v>
      </c>
      <c r="FM30" s="204">
        <f t="shared" si="44"/>
        <v>0</v>
      </c>
      <c r="FN30" s="204">
        <f t="shared" si="44"/>
        <v>0</v>
      </c>
      <c r="FO30" s="204">
        <f t="shared" si="44"/>
        <v>0</v>
      </c>
      <c r="FP30" s="204">
        <f t="shared" si="44"/>
        <v>0</v>
      </c>
      <c r="FQ30" s="204">
        <f t="shared" si="44"/>
        <v>0</v>
      </c>
      <c r="FR30" s="204">
        <f t="shared" si="44"/>
        <v>0</v>
      </c>
      <c r="FS30" s="204">
        <f t="shared" si="44"/>
        <v>0</v>
      </c>
      <c r="FT30" s="204">
        <f t="shared" si="44"/>
        <v>0</v>
      </c>
      <c r="FU30" s="204">
        <f t="shared" si="44"/>
        <v>0</v>
      </c>
      <c r="FV30" s="204">
        <f t="shared" si="44"/>
        <v>0</v>
      </c>
      <c r="FW30" s="204">
        <f t="shared" si="44"/>
        <v>0</v>
      </c>
      <c r="FX30" s="204">
        <f t="shared" si="44"/>
        <v>0</v>
      </c>
      <c r="FY30" s="204">
        <f t="shared" si="44"/>
        <v>0</v>
      </c>
      <c r="FZ30" s="204">
        <f t="shared" si="44"/>
        <v>0</v>
      </c>
    </row>
    <row r="31" spans="1:182" ht="15.75" customHeight="1" thickTop="1" x14ac:dyDescent="0.25">
      <c r="A31" s="250" t="s">
        <v>286</v>
      </c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AY31" s="152"/>
      <c r="AZ31" s="152"/>
      <c r="BA31" s="152"/>
      <c r="BB31" s="152"/>
      <c r="BC31" s="152"/>
      <c r="BD31" s="152"/>
      <c r="BE31" s="152"/>
      <c r="BF31" s="152"/>
      <c r="BG31" s="152"/>
      <c r="BH31" s="152"/>
      <c r="BI31" s="152"/>
      <c r="BJ31" s="152"/>
      <c r="BK31" s="152"/>
      <c r="BL31" s="152"/>
      <c r="BM31" s="152"/>
      <c r="BN31" s="152"/>
      <c r="BO31" s="152"/>
      <c r="BP31" s="152"/>
      <c r="BQ31" s="152"/>
      <c r="BR31" s="152"/>
      <c r="BS31" s="152"/>
      <c r="BT31" s="152"/>
      <c r="BU31" s="152"/>
      <c r="BV31" s="152"/>
      <c r="BW31" s="152"/>
      <c r="BX31" s="152"/>
      <c r="BY31" s="152"/>
      <c r="BZ31" s="152"/>
      <c r="CA31" s="152"/>
      <c r="CB31" s="152"/>
      <c r="CC31" s="152"/>
      <c r="CD31" s="152"/>
      <c r="CE31" s="152"/>
      <c r="CF31" s="152"/>
      <c r="CG31" s="152"/>
      <c r="CH31" s="152"/>
      <c r="CI31" s="152"/>
      <c r="CJ31" s="152"/>
      <c r="CK31" s="152"/>
      <c r="CL31" s="152"/>
      <c r="CM31" s="152"/>
      <c r="CN31" s="152"/>
      <c r="CO31" s="152"/>
      <c r="CP31" s="152"/>
      <c r="CQ31" s="152"/>
      <c r="CR31" s="152"/>
      <c r="CS31" s="152"/>
      <c r="CT31" s="152"/>
      <c r="CU31" s="152"/>
      <c r="CV31" s="152"/>
      <c r="CW31" s="152"/>
      <c r="CX31" s="152"/>
      <c r="CY31" s="152"/>
      <c r="CZ31" s="152"/>
      <c r="DA31" s="152"/>
      <c r="DB31" s="152"/>
      <c r="DC31" s="152"/>
      <c r="DD31" s="152"/>
      <c r="DE31" s="152"/>
      <c r="DF31" s="152"/>
      <c r="DG31" s="152"/>
      <c r="DH31" s="152"/>
      <c r="DI31" s="152"/>
      <c r="DJ31" s="152"/>
      <c r="DK31" s="152"/>
      <c r="DL31" s="152"/>
      <c r="DM31" s="152"/>
      <c r="DN31" s="152"/>
      <c r="DO31" s="152"/>
      <c r="DP31" s="152"/>
      <c r="DQ31" s="152"/>
      <c r="DR31" s="152"/>
      <c r="DS31" s="152"/>
      <c r="DT31" s="152"/>
      <c r="DU31" s="152"/>
      <c r="DV31" s="152"/>
      <c r="DW31" s="152"/>
      <c r="DX31" s="152"/>
      <c r="DY31" s="152"/>
      <c r="DZ31" s="152"/>
      <c r="EA31" s="152"/>
      <c r="EB31" s="152"/>
      <c r="EC31" s="152"/>
      <c r="ED31" s="152"/>
      <c r="EE31" s="152"/>
      <c r="EF31" s="152"/>
      <c r="EG31" s="152"/>
      <c r="EH31" s="152"/>
      <c r="EI31" s="152"/>
      <c r="EJ31" s="152"/>
      <c r="EK31" s="152"/>
      <c r="EL31" s="152"/>
      <c r="EM31" s="152"/>
      <c r="EN31" s="152"/>
      <c r="EO31" s="152"/>
      <c r="EP31" s="152"/>
      <c r="EQ31" s="152"/>
      <c r="ER31" s="152"/>
      <c r="ES31" s="152"/>
      <c r="ET31" s="152"/>
      <c r="EU31" s="152"/>
      <c r="EV31" s="152"/>
      <c r="EW31" s="152"/>
      <c r="EX31" s="152"/>
      <c r="EY31" s="152"/>
      <c r="EZ31" s="152"/>
      <c r="FA31" s="152"/>
      <c r="FB31" s="152"/>
      <c r="FC31" s="152"/>
      <c r="FD31" s="152"/>
      <c r="FE31" s="152"/>
      <c r="FF31" s="152"/>
      <c r="FG31" s="152"/>
      <c r="FH31" s="152"/>
      <c r="FI31" s="152"/>
      <c r="FJ31" s="152"/>
      <c r="FK31" s="152"/>
      <c r="FL31" s="152"/>
      <c r="FM31" s="152"/>
      <c r="FN31" s="152"/>
      <c r="FO31" s="152"/>
      <c r="FP31" s="152"/>
      <c r="FQ31" s="152"/>
      <c r="FR31" s="152"/>
      <c r="FS31" s="152"/>
      <c r="FT31" s="152"/>
      <c r="FU31" s="152"/>
      <c r="FV31" s="152"/>
      <c r="FW31" s="152"/>
      <c r="FX31" s="152"/>
      <c r="FY31" s="152"/>
      <c r="FZ31" s="152"/>
    </row>
    <row r="32" spans="1:182" x14ac:dyDescent="0.25">
      <c r="A32" s="203" t="s">
        <v>287</v>
      </c>
      <c r="B32" s="204">
        <f>(B29/2)*'20_FINANCIACION'!$B$12/12</f>
        <v>0</v>
      </c>
      <c r="C32" s="204">
        <f>(B40+C29/2)*'20_FINANCIACION'!$B$12/12</f>
        <v>0</v>
      </c>
      <c r="D32" s="204">
        <f>(C40+D29/2)*'20_FINANCIACION'!$B$12/12</f>
        <v>0</v>
      </c>
      <c r="E32" s="204">
        <f>(D40+E29/2)*'20_FINANCIACION'!$B$12/12</f>
        <v>0</v>
      </c>
      <c r="F32" s="204">
        <f>(E40+F29/2)*'20_FINANCIACION'!$B$12/12</f>
        <v>0</v>
      </c>
      <c r="G32" s="204">
        <f>(F40+G29/2)*'20_FINANCIACION'!$B$12/12</f>
        <v>0</v>
      </c>
      <c r="H32" s="204">
        <f>(G40+H29/2)*'20_FINANCIACION'!$B$12/12</f>
        <v>0</v>
      </c>
      <c r="I32" s="204">
        <f>(H40+I29/2)*'20_FINANCIACION'!$B$12/12</f>
        <v>0</v>
      </c>
      <c r="J32" s="204">
        <f>(I40+J29/2)*'20_FINANCIACION'!$B$12/12</f>
        <v>0</v>
      </c>
      <c r="K32" s="204">
        <f>(J40+K29/2)*'20_FINANCIACION'!$B$12/12</f>
        <v>0</v>
      </c>
      <c r="L32" s="204">
        <f>(K40+L29/2)*'20_FINANCIACION'!$B$12/12</f>
        <v>0</v>
      </c>
      <c r="M32" s="204">
        <f>(L40+M29/2)*'20_FINANCIACION'!$B$12/12</f>
        <v>618.01740000000018</v>
      </c>
      <c r="N32" s="204">
        <f>(M40+N29/2)*'20_FINANCIACION'!$B$12/12</f>
        <v>1856.8847797500005</v>
      </c>
      <c r="O32" s="204">
        <f>(N40+O29/2)*'20_FINANCIACION'!$B$12/12</f>
        <v>3101.4303016571885</v>
      </c>
      <c r="P32" s="204">
        <f>(O40+P29/2)*'20_FINANCIACION'!$B$12/12</f>
        <v>4351.6799905397838</v>
      </c>
      <c r="Q32" s="204">
        <f>(P40+Q29/2)*'20_FINANCIACION'!$B$12/12</f>
        <v>5607.6599904964251</v>
      </c>
      <c r="R32" s="204">
        <f>(Q40+R29/2)*'20_FINANCIACION'!$B$12/12</f>
        <v>6869.3965654528665</v>
      </c>
      <c r="S32" s="204">
        <f>(R40+S29/2)*'20_FINANCIACION'!$B$12/12</f>
        <v>8136.9160997111931</v>
      </c>
      <c r="T32" s="204">
        <f>(S40+T29/2)*'20_FINANCIACION'!$B$12/12</f>
        <v>9410.2450985015366</v>
      </c>
      <c r="U32" s="204">
        <f>(T40+U29/2)*'20_FINANCIACION'!$B$12/12</f>
        <v>10689.410188536336</v>
      </c>
      <c r="V32" s="204">
        <f>(U40+V29/2)*'20_FINANCIACION'!$B$12/12</f>
        <v>11974.438118567128</v>
      </c>
      <c r="W32" s="204">
        <f>(V40+W29/2)*'20_FINANCIACION'!$B$12/12</f>
        <v>13265.355759943895</v>
      </c>
      <c r="X32" s="204">
        <f>(W40+X29/2)*'20_FINANCIACION'!$B$12/12</f>
        <v>14562.19010717697</v>
      </c>
      <c r="Y32" s="204">
        <f>(X40+Y29/2)*'20_FINANCIACION'!$B$12/12</f>
        <v>15864.968278501532</v>
      </c>
      <c r="Z32" s="204">
        <f>(Y40+Z29/2)*'20_FINANCIACION'!$B$12/12</f>
        <v>17173.717516444667</v>
      </c>
      <c r="AA32" s="204">
        <f>(Z40+AA29/2)*'20_FINANCIACION'!$B$12/12</f>
        <v>18488.465188395039</v>
      </c>
      <c r="AB32" s="204">
        <f>(AA40+AB29/2)*'20_FINANCIACION'!$B$12/12</f>
        <v>19562.031827175186</v>
      </c>
      <c r="AC32" s="204">
        <f>(AB40+AC29/2)*'20_FINANCIACION'!$B$12/12</f>
        <v>20022.501579716405</v>
      </c>
      <c r="AD32" s="204">
        <f>(AC40+AD29/2)*'20_FINANCIACION'!$B$12/12</f>
        <v>20114.271378623442</v>
      </c>
      <c r="AE32" s="204">
        <f>(AD40+AE29/2)*'20_FINANCIACION'!$B$12/12</f>
        <v>20206.461789108798</v>
      </c>
      <c r="AF32" s="204">
        <f>(AE40+AF29/2)*'20_FINANCIACION'!$B$12/12</f>
        <v>20299.074738975545</v>
      </c>
      <c r="AG32" s="204">
        <f>(AF40+AG29/2)*'20_FINANCIACION'!$B$12/12</f>
        <v>20392.112164862516</v>
      </c>
      <c r="AH32" s="204">
        <f>(AG40+AH29/2)*'20_FINANCIACION'!$B$12/12</f>
        <v>20485.576012284804</v>
      </c>
      <c r="AI32" s="204">
        <f>(AH40+AI29/2)*'20_FINANCIACION'!$B$12/12</f>
        <v>20579.468235674442</v>
      </c>
      <c r="AJ32" s="204">
        <f>(AI40+AJ29/2)*'20_FINANCIACION'!$B$12/12</f>
        <v>20673.790798421283</v>
      </c>
      <c r="AK32" s="204">
        <f>(AJ40+AK29/2)*'20_FINANCIACION'!$B$12/12</f>
        <v>20768.545672914046</v>
      </c>
      <c r="AL32" s="204">
        <f>(AK40+AL29/2)*'20_FINANCIACION'!$B$12/12</f>
        <v>0</v>
      </c>
      <c r="AM32" s="204">
        <f>(AL40+AM29/2)*'20_FINANCIACION'!$B$12/12</f>
        <v>0</v>
      </c>
      <c r="AN32" s="204">
        <f>(AM40+AN29/2)*'20_FINANCIACION'!$B$12/12</f>
        <v>0</v>
      </c>
      <c r="AO32" s="204">
        <f>(AN40+AO29/2)*'20_FINANCIACION'!$B$12/12</f>
        <v>0</v>
      </c>
      <c r="AP32" s="204">
        <f>(AO40+AP29/2)*'20_FINANCIACION'!$B$12/12</f>
        <v>0</v>
      </c>
      <c r="AQ32" s="204">
        <f>(AP40+AQ29/2)*'20_FINANCIACION'!$B$12/12</f>
        <v>0</v>
      </c>
      <c r="AR32" s="204">
        <f>(AQ40+AR29/2)*'20_FINANCIACION'!$B$12/12</f>
        <v>0</v>
      </c>
      <c r="AS32" s="204">
        <f>(AR40+AS29/2)*'20_FINANCIACION'!$B$12/12</f>
        <v>0</v>
      </c>
      <c r="AT32" s="204">
        <f>(AS40+AT29/2)*'20_FINANCIACION'!$B$12/12</f>
        <v>0</v>
      </c>
      <c r="AU32" s="204">
        <f>(AT40+AU29/2)*'20_FINANCIACION'!$B$12/12</f>
        <v>0</v>
      </c>
      <c r="AV32" s="204">
        <f>(AU40+AV29/2)*'20_FINANCIACION'!$B$12/12</f>
        <v>0</v>
      </c>
      <c r="AW32" s="204">
        <f>(AV40+AW29/2)*'20_FINANCIACION'!$B$12/12</f>
        <v>0</v>
      </c>
      <c r="AX32" s="204">
        <f>(AW40+AX29/2)*'20_FINANCIACION'!$B$12/12</f>
        <v>0</v>
      </c>
      <c r="AY32" s="204">
        <f>(AX40+AY29/2)*'20_FINANCIACION'!$B$12/12</f>
        <v>0</v>
      </c>
      <c r="AZ32" s="204">
        <f>(AY40+AZ29/2)*'20_FINANCIACION'!$B$12/12</f>
        <v>0</v>
      </c>
      <c r="BA32" s="204">
        <f>(AZ40+BA29/2)*'20_FINANCIACION'!$B$12/12</f>
        <v>0</v>
      </c>
      <c r="BB32" s="204">
        <f>(BA40+BB29/2)*'20_FINANCIACION'!$B$12/12</f>
        <v>0</v>
      </c>
      <c r="BC32" s="204">
        <f>(BB40+BC29/2)*'20_FINANCIACION'!$B$12/12</f>
        <v>0</v>
      </c>
      <c r="BD32" s="204">
        <f>(BC40+BD29/2)*'20_FINANCIACION'!$B$12/12</f>
        <v>0</v>
      </c>
      <c r="BE32" s="204">
        <f>(BD40+BE29/2)*'20_FINANCIACION'!$B$12/12</f>
        <v>0</v>
      </c>
      <c r="BF32" s="204">
        <f>(BE40+BF29/2)*'20_FINANCIACION'!$B$12/12</f>
        <v>0</v>
      </c>
      <c r="BG32" s="204">
        <f>(BF40+BG29/2)*'20_FINANCIACION'!$B$12/12</f>
        <v>0</v>
      </c>
      <c r="BH32" s="204">
        <f>(BG40+BH29/2)*'20_FINANCIACION'!$B$12/12</f>
        <v>0</v>
      </c>
      <c r="BI32" s="204">
        <f>(BH40+BI29/2)*'20_FINANCIACION'!$B$12/12</f>
        <v>0</v>
      </c>
      <c r="BJ32" s="204">
        <f>(BI40+BJ29/2)*'20_FINANCIACION'!$B$12/12</f>
        <v>0</v>
      </c>
      <c r="BK32" s="204">
        <f>(BJ40+BK29/2)*'20_FINANCIACION'!$B$12/12</f>
        <v>0</v>
      </c>
      <c r="BL32" s="204">
        <f>(BK40+BL29/2)*'20_FINANCIACION'!$B$12/12</f>
        <v>0</v>
      </c>
      <c r="BM32" s="204">
        <f>(BL40+BM29/2)*'20_FINANCIACION'!$B$12/12</f>
        <v>0</v>
      </c>
      <c r="BN32" s="204">
        <f>(BM40+BN29/2)*'20_FINANCIACION'!$B$12/12</f>
        <v>0</v>
      </c>
      <c r="BO32" s="204">
        <f>(BN40+BO29/2)*'20_FINANCIACION'!$B$12/12</f>
        <v>0</v>
      </c>
      <c r="BP32" s="204">
        <f>(BO40+BP29/2)*'20_FINANCIACION'!$B$12/12</f>
        <v>0</v>
      </c>
      <c r="BQ32" s="204">
        <f>(BP40+BQ29/2)*'20_FINANCIACION'!$B$12/12</f>
        <v>0</v>
      </c>
      <c r="BR32" s="204">
        <f>(BQ40+BR29/2)*'20_FINANCIACION'!$B$12/12</f>
        <v>0</v>
      </c>
      <c r="BS32" s="204">
        <f>(BR40+BS29/2)*'20_FINANCIACION'!$B$12/12</f>
        <v>0</v>
      </c>
      <c r="BT32" s="204">
        <f>(BS40+BT29/2)*'20_FINANCIACION'!$B$12/12</f>
        <v>0</v>
      </c>
      <c r="BU32" s="204">
        <f>(BT40+BU29/2)*'20_FINANCIACION'!$B$12/12</f>
        <v>0</v>
      </c>
      <c r="BV32" s="204">
        <f>(BU40+BV29/2)*'20_FINANCIACION'!$B$12/12</f>
        <v>0</v>
      </c>
      <c r="BW32" s="204">
        <f>(BV40+BW29/2)*'20_FINANCIACION'!$B$12/12</f>
        <v>0</v>
      </c>
      <c r="BX32" s="204">
        <f>(BW40+BX29/2)*'20_FINANCIACION'!$B$12/12</f>
        <v>0</v>
      </c>
      <c r="BY32" s="204">
        <f>(BX40+BY29/2)*'20_FINANCIACION'!$B$12/12</f>
        <v>0</v>
      </c>
      <c r="BZ32" s="204">
        <f>(BY40+BZ29/2)*'20_FINANCIACION'!$B$12/12</f>
        <v>0</v>
      </c>
      <c r="CA32" s="204">
        <f>(BZ40+CA29/2)*'20_FINANCIACION'!$B$12/12</f>
        <v>0</v>
      </c>
      <c r="CB32" s="204">
        <f>(CA40+CB29/2)*'20_FINANCIACION'!$B$12/12</f>
        <v>0</v>
      </c>
      <c r="CC32" s="204">
        <f>(CB40+CC29/2)*'20_FINANCIACION'!$B$12/12</f>
        <v>0</v>
      </c>
      <c r="CD32" s="204">
        <f>(CC40+CD29/2)*'20_FINANCIACION'!$B$12/12</f>
        <v>0</v>
      </c>
      <c r="CE32" s="204">
        <f>(CD40+CE29/2)*'20_FINANCIACION'!$B$12/12</f>
        <v>0</v>
      </c>
      <c r="CF32" s="204">
        <f>(CE40+CF29/2)*'20_FINANCIACION'!$B$12/12</f>
        <v>0</v>
      </c>
      <c r="CG32" s="204">
        <f>(CF40+CG29/2)*'20_FINANCIACION'!$B$12/12</f>
        <v>0</v>
      </c>
      <c r="CH32" s="204">
        <f>(CG40+CH29/2)*'20_FINANCIACION'!$B$12/12</f>
        <v>0</v>
      </c>
      <c r="CI32" s="204">
        <f>(CH40+CI29/2)*'20_FINANCIACION'!$B$12/12</f>
        <v>0</v>
      </c>
      <c r="CJ32" s="204">
        <f>(CI40+CJ29/2)*'20_FINANCIACION'!$B$12/12</f>
        <v>0</v>
      </c>
      <c r="CK32" s="204">
        <f>(CJ40+CK29/2)*'20_FINANCIACION'!$B$12/12</f>
        <v>0</v>
      </c>
      <c r="CL32" s="204">
        <f>(CK40+CL29/2)*'20_FINANCIACION'!$B$12/12</f>
        <v>0</v>
      </c>
      <c r="CM32" s="204">
        <f>(CL40+CM29/2)*'20_FINANCIACION'!$B$12/12</f>
        <v>0</v>
      </c>
      <c r="CN32" s="204">
        <f>(CM40+CN29/2)*'20_FINANCIACION'!$B$12/12</f>
        <v>0</v>
      </c>
      <c r="CO32" s="204">
        <f>(CN40+CO29/2)*'20_FINANCIACION'!$B$12/12</f>
        <v>0</v>
      </c>
      <c r="CP32" s="204">
        <f>(CO40+CP29/2)*'20_FINANCIACION'!$B$12/12</f>
        <v>0</v>
      </c>
      <c r="CQ32" s="204">
        <f>(CP40+CQ29/2)*'20_FINANCIACION'!$B$12/12</f>
        <v>0</v>
      </c>
      <c r="CR32" s="204">
        <f>(CQ40+CR29/2)*'20_FINANCIACION'!$B$12/12</f>
        <v>0</v>
      </c>
      <c r="CS32" s="204">
        <f>(CR40+CS29/2)*'20_FINANCIACION'!$B$12/12</f>
        <v>0</v>
      </c>
      <c r="CT32" s="204">
        <f>(CS40+CT29/2)*'20_FINANCIACION'!$B$12/12</f>
        <v>0</v>
      </c>
      <c r="CU32" s="204">
        <f>(CT40+CU29/2)*'20_FINANCIACION'!$B$12/12</f>
        <v>0</v>
      </c>
      <c r="CV32" s="204">
        <f>(CU40+CV29/2)*'20_FINANCIACION'!$B$12/12</f>
        <v>0</v>
      </c>
      <c r="CW32" s="204">
        <f>(CV40+CW29/2)*'20_FINANCIACION'!$B$12/12</f>
        <v>0</v>
      </c>
      <c r="CX32" s="204">
        <f>(CW40+CX29/2)*'20_FINANCIACION'!$B$12/12</f>
        <v>0</v>
      </c>
      <c r="CY32" s="204">
        <f>(CX40+CY29/2)*'20_FINANCIACION'!$B$12/12</f>
        <v>0</v>
      </c>
      <c r="CZ32" s="204">
        <f>(CY40+CZ29/2)*'20_FINANCIACION'!$B$12/12</f>
        <v>0</v>
      </c>
      <c r="DA32" s="204">
        <f>(CZ40+DA29/2)*'20_FINANCIACION'!$B$12/12</f>
        <v>0</v>
      </c>
      <c r="DB32" s="204">
        <f>(DA40+DB29/2)*'20_FINANCIACION'!$B$12/12</f>
        <v>0</v>
      </c>
      <c r="DC32" s="204">
        <f>(DB40+DC29/2)*'20_FINANCIACION'!$B$12/12</f>
        <v>0</v>
      </c>
      <c r="DD32" s="204">
        <f>(DC40+DD29/2)*'20_FINANCIACION'!$B$12/12</f>
        <v>0</v>
      </c>
      <c r="DE32" s="204">
        <f>(DD40+DE29/2)*'20_FINANCIACION'!$B$12/12</f>
        <v>0</v>
      </c>
      <c r="DF32" s="204">
        <f>(DE40+DF29/2)*'20_FINANCIACION'!$B$12/12</f>
        <v>0</v>
      </c>
      <c r="DG32" s="204">
        <f>(DF40+DG29/2)*'20_FINANCIACION'!$B$12/12</f>
        <v>0</v>
      </c>
      <c r="DH32" s="204">
        <f>(DG40+DH29/2)*'20_FINANCIACION'!$B$12/12</f>
        <v>0</v>
      </c>
      <c r="DI32" s="204">
        <f>(DH40+DI29/2)*'20_FINANCIACION'!$B$12/12</f>
        <v>0</v>
      </c>
      <c r="DJ32" s="204">
        <f>(DI40+DJ29/2)*'20_FINANCIACION'!$B$12/12</f>
        <v>0</v>
      </c>
      <c r="DK32" s="204">
        <f>(DJ40+DK29/2)*'20_FINANCIACION'!$B$12/12</f>
        <v>0</v>
      </c>
      <c r="DL32" s="204">
        <f>(DK40+DL29/2)*'20_FINANCIACION'!$B$12/12</f>
        <v>0</v>
      </c>
      <c r="DM32" s="204">
        <f>(DL40+DM29/2)*'20_FINANCIACION'!$B$12/12</f>
        <v>0</v>
      </c>
      <c r="DN32" s="204">
        <f>(DM40+DN29/2)*'20_FINANCIACION'!$B$12/12</f>
        <v>0</v>
      </c>
      <c r="DO32" s="204">
        <f>(DN40+DO29/2)*'20_FINANCIACION'!$B$12/12</f>
        <v>0</v>
      </c>
      <c r="DP32" s="204">
        <f>(DO40+DP29/2)*'20_FINANCIACION'!$B$12/12</f>
        <v>0</v>
      </c>
      <c r="DQ32" s="204">
        <f>(DP40+DQ29/2)*'20_FINANCIACION'!$B$12/12</f>
        <v>0</v>
      </c>
      <c r="DR32" s="204">
        <f>(DQ40+DR29/2)*'20_FINANCIACION'!$B$12/12</f>
        <v>0</v>
      </c>
      <c r="DS32" s="204">
        <f>(DR40+DS29/2)*'20_FINANCIACION'!$B$12/12</f>
        <v>0</v>
      </c>
      <c r="DT32" s="204">
        <f>(DS40+DT29/2)*'20_FINANCIACION'!$B$12/12</f>
        <v>0</v>
      </c>
      <c r="DU32" s="204">
        <f>(DT40+DU29/2)*'20_FINANCIACION'!$B$12/12</f>
        <v>0</v>
      </c>
      <c r="DV32" s="204">
        <f>(DU40+DV29/2)*'20_FINANCIACION'!$B$12/12</f>
        <v>0</v>
      </c>
      <c r="DW32" s="204">
        <f>(DV40+DW29/2)*'20_FINANCIACION'!$B$12/12</f>
        <v>0</v>
      </c>
      <c r="DX32" s="204">
        <f>(DW40+DX29/2)*'20_FINANCIACION'!$B$12/12</f>
        <v>0</v>
      </c>
      <c r="DY32" s="204">
        <f>(DX40+DY29/2)*'20_FINANCIACION'!$B$12/12</f>
        <v>0</v>
      </c>
      <c r="DZ32" s="204">
        <f>(DY40+DZ29/2)*'20_FINANCIACION'!$B$12/12</f>
        <v>0</v>
      </c>
      <c r="EA32" s="204">
        <f>(DZ40+EA29/2)*'20_FINANCIACION'!$B$12/12</f>
        <v>0</v>
      </c>
      <c r="EB32" s="204">
        <f>(EA40+EB29/2)*'20_FINANCIACION'!$B$12/12</f>
        <v>0</v>
      </c>
      <c r="EC32" s="204">
        <f>(EB40+EC29/2)*'20_FINANCIACION'!$B$12/12</f>
        <v>0</v>
      </c>
      <c r="ED32" s="204">
        <f>(EC40+ED29/2)*'20_FINANCIACION'!$B$12/12</f>
        <v>0</v>
      </c>
      <c r="EE32" s="204">
        <f>(ED40+EE29/2)*'20_FINANCIACION'!$B$12/12</f>
        <v>0</v>
      </c>
      <c r="EF32" s="204">
        <f>(EE40+EF29/2)*'20_FINANCIACION'!$B$12/12</f>
        <v>0</v>
      </c>
      <c r="EG32" s="204">
        <f>(EF40+EG29/2)*'20_FINANCIACION'!$B$12/12</f>
        <v>0</v>
      </c>
      <c r="EH32" s="204">
        <f>(EG40+EH29/2)*'20_FINANCIACION'!$B$12/12</f>
        <v>0</v>
      </c>
      <c r="EI32" s="204">
        <f>(EH40+EI29/2)*'20_FINANCIACION'!$B$12/12</f>
        <v>0</v>
      </c>
      <c r="EJ32" s="204">
        <f>(EI40+EJ29/2)*'20_FINANCIACION'!$B$12/12</f>
        <v>0</v>
      </c>
      <c r="EK32" s="204">
        <f>(EJ40+EK29/2)*'20_FINANCIACION'!$B$12/12</f>
        <v>0</v>
      </c>
      <c r="EL32" s="204">
        <f>(EK40+EL29/2)*'20_FINANCIACION'!$B$12/12</f>
        <v>0</v>
      </c>
      <c r="EM32" s="204">
        <f>(EL40+EM29/2)*'20_FINANCIACION'!$B$12/12</f>
        <v>0</v>
      </c>
      <c r="EN32" s="204">
        <f>(EM40+EN29/2)*'20_FINANCIACION'!$B$12/12</f>
        <v>0</v>
      </c>
      <c r="EO32" s="204">
        <f>(EN40+EO29/2)*'20_FINANCIACION'!$B$12/12</f>
        <v>0</v>
      </c>
      <c r="EP32" s="204">
        <f>(EO40+EP29/2)*'20_FINANCIACION'!$B$12/12</f>
        <v>0</v>
      </c>
      <c r="EQ32" s="204">
        <f>(EP40+EQ29/2)*'20_FINANCIACION'!$B$12/12</f>
        <v>0</v>
      </c>
      <c r="ER32" s="204">
        <f>(EQ40+ER29/2)*'20_FINANCIACION'!$B$12/12</f>
        <v>0</v>
      </c>
      <c r="ES32" s="204">
        <f>(ER40+ES29/2)*'20_FINANCIACION'!$B$12/12</f>
        <v>0</v>
      </c>
      <c r="ET32" s="204">
        <f>(ES40+ET29/2)*'20_FINANCIACION'!$B$12/12</f>
        <v>0</v>
      </c>
      <c r="EU32" s="204">
        <f>(ET40+EU29/2)*'20_FINANCIACION'!$B$12/12</f>
        <v>0</v>
      </c>
      <c r="EV32" s="204">
        <f>(EU40+EV29/2)*'20_FINANCIACION'!$B$12/12</f>
        <v>0</v>
      </c>
      <c r="EW32" s="204">
        <f>(EV40+EW29/2)*'20_FINANCIACION'!$B$12/12</f>
        <v>0</v>
      </c>
      <c r="EX32" s="204">
        <f>(EW40+EX29/2)*'20_FINANCIACION'!$B$12/12</f>
        <v>0</v>
      </c>
      <c r="EY32" s="204">
        <f>(EX40+EY29/2)*'20_FINANCIACION'!$B$12/12</f>
        <v>0</v>
      </c>
      <c r="EZ32" s="204">
        <f>(EY40+EZ29/2)*'20_FINANCIACION'!$B$12/12</f>
        <v>0</v>
      </c>
      <c r="FA32" s="204">
        <f>(EZ40+FA29/2)*'20_FINANCIACION'!$B$12/12</f>
        <v>0</v>
      </c>
      <c r="FB32" s="204">
        <f>(FA40+FB29/2)*'20_FINANCIACION'!$B$12/12</f>
        <v>0</v>
      </c>
      <c r="FC32" s="204">
        <f>(FB40+FC29/2)*'20_FINANCIACION'!$B$12/12</f>
        <v>0</v>
      </c>
      <c r="FD32" s="204">
        <f>(FC40+FD29/2)*'20_FINANCIACION'!$B$12/12</f>
        <v>0</v>
      </c>
      <c r="FE32" s="204">
        <f>(FD40+FE29/2)*'20_FINANCIACION'!$B$12/12</f>
        <v>0</v>
      </c>
      <c r="FF32" s="204">
        <f>(FE40+FF29/2)*'20_FINANCIACION'!$B$12/12</f>
        <v>0</v>
      </c>
      <c r="FG32" s="204">
        <f>(FF40+FG29/2)*'20_FINANCIACION'!$B$12/12</f>
        <v>0</v>
      </c>
      <c r="FH32" s="204">
        <f>(FG40+FH29/2)*'20_FINANCIACION'!$B$12/12</f>
        <v>0</v>
      </c>
      <c r="FI32" s="204">
        <f>(FH40+FI29/2)*'20_FINANCIACION'!$B$12/12</f>
        <v>0</v>
      </c>
      <c r="FJ32" s="204">
        <f>(FI40+FJ29/2)*'20_FINANCIACION'!$B$12/12</f>
        <v>0</v>
      </c>
      <c r="FK32" s="204">
        <f>(FJ40+FK29/2)*'20_FINANCIACION'!$B$12/12</f>
        <v>0</v>
      </c>
      <c r="FL32" s="204">
        <f>(FK40+FL29/2)*'20_FINANCIACION'!$B$12/12</f>
        <v>0</v>
      </c>
      <c r="FM32" s="204">
        <f>(FL40+FM29/2)*'20_FINANCIACION'!$B$12/12</f>
        <v>0</v>
      </c>
      <c r="FN32" s="204">
        <f>(FM40+FN29/2)*'20_FINANCIACION'!$B$12/12</f>
        <v>0</v>
      </c>
      <c r="FO32" s="204">
        <f>(FN40+FO29/2)*'20_FINANCIACION'!$B$12/12</f>
        <v>0</v>
      </c>
      <c r="FP32" s="204">
        <f>(FO40+FP29/2)*'20_FINANCIACION'!$B$12/12</f>
        <v>0</v>
      </c>
      <c r="FQ32" s="204">
        <f>(FP40+FQ29/2)*'20_FINANCIACION'!$B$12/12</f>
        <v>0</v>
      </c>
      <c r="FR32" s="204">
        <f>(FQ40+FR29/2)*'20_FINANCIACION'!$B$12/12</f>
        <v>0</v>
      </c>
      <c r="FS32" s="204">
        <f>(FR40+FS29/2)*'20_FINANCIACION'!$B$12/12</f>
        <v>0</v>
      </c>
      <c r="FT32" s="204">
        <f>(FS40+FT29/2)*'20_FINANCIACION'!$B$12/12</f>
        <v>0</v>
      </c>
      <c r="FU32" s="204">
        <f>(FT40+FU29/2)*'20_FINANCIACION'!$B$12/12</f>
        <v>0</v>
      </c>
      <c r="FV32" s="204">
        <f>(FU40+FV29/2)*'20_FINANCIACION'!$B$12/12</f>
        <v>0</v>
      </c>
      <c r="FW32" s="204">
        <f>(FV40+FW29/2)*'20_FINANCIACION'!$B$12/12</f>
        <v>0</v>
      </c>
      <c r="FX32" s="204">
        <f>(FW40+FX29/2)*'20_FINANCIACION'!$B$12/12</f>
        <v>0</v>
      </c>
      <c r="FY32" s="204">
        <f>(FX40+FY29/2)*'20_FINANCIACION'!$B$12/12</f>
        <v>0</v>
      </c>
      <c r="FZ32" s="204">
        <f>(FY40+FZ29/2)*'20_FINANCIACION'!$B$12/12</f>
        <v>0</v>
      </c>
    </row>
    <row r="33" spans="1:182" x14ac:dyDescent="0.25">
      <c r="A33" s="203" t="s">
        <v>288</v>
      </c>
      <c r="B33" s="204">
        <f>IF(B$3&lt;'20_FINANCIACION'!$B$14,B32,0)</f>
        <v>0</v>
      </c>
      <c r="C33" s="204">
        <f>IF(C$3&lt;'20_FINANCIACION'!$B$14,C32,0)</f>
        <v>0</v>
      </c>
      <c r="D33" s="204">
        <f>IF(D$3&lt;'20_FINANCIACION'!$B$14,D32,0)</f>
        <v>0</v>
      </c>
      <c r="E33" s="204">
        <f>IF(E$3&lt;'20_FINANCIACION'!$B$14,E32,0)</f>
        <v>0</v>
      </c>
      <c r="F33" s="204">
        <f>IF(F$3&lt;'20_FINANCIACION'!$B$14,F32,0)</f>
        <v>0</v>
      </c>
      <c r="G33" s="204">
        <f>IF(G$3&lt;'20_FINANCIACION'!$B$14,G32,0)</f>
        <v>0</v>
      </c>
      <c r="H33" s="204">
        <f>IF(H$3&lt;'20_FINANCIACION'!$B$14,H32,0)</f>
        <v>0</v>
      </c>
      <c r="I33" s="204">
        <f>IF(I$3&lt;'20_FINANCIACION'!$B$14,I32,0)</f>
        <v>0</v>
      </c>
      <c r="J33" s="204">
        <f>IF(J$3&lt;'20_FINANCIACION'!$B$14,J32,0)</f>
        <v>0</v>
      </c>
      <c r="K33" s="204">
        <f>IF(K$3&lt;'20_FINANCIACION'!$B$14,K32,0)</f>
        <v>0</v>
      </c>
      <c r="L33" s="204">
        <f>IF(L$3&lt;'20_FINANCIACION'!$B$14,L32,0)</f>
        <v>0</v>
      </c>
      <c r="M33" s="204">
        <f>IF(M$3&lt;'20_FINANCIACION'!$B$14,M32,0)</f>
        <v>618.01740000000018</v>
      </c>
      <c r="N33" s="204">
        <f>IF(N$3&lt;'20_FINANCIACION'!$B$14,N32,0)</f>
        <v>1856.8847797500005</v>
      </c>
      <c r="O33" s="204">
        <f>IF(O$3&lt;'20_FINANCIACION'!$B$14,O32,0)</f>
        <v>3101.4303016571885</v>
      </c>
      <c r="P33" s="204">
        <f>IF(P$3&lt;'20_FINANCIACION'!$B$14,P32,0)</f>
        <v>4351.6799905397838</v>
      </c>
      <c r="Q33" s="204">
        <f>IF(Q$3&lt;'20_FINANCIACION'!$B$14,Q32,0)</f>
        <v>5607.6599904964251</v>
      </c>
      <c r="R33" s="204">
        <f>IF(R$3&lt;'20_FINANCIACION'!$B$14,R32,0)</f>
        <v>6869.3965654528665</v>
      </c>
      <c r="S33" s="204">
        <f>IF(S$3&lt;'20_FINANCIACION'!$B$14,S32,0)</f>
        <v>8136.9160997111931</v>
      </c>
      <c r="T33" s="204">
        <f>IF(T$3&lt;'20_FINANCIACION'!$B$14,T32,0)</f>
        <v>9410.2450985015366</v>
      </c>
      <c r="U33" s="204">
        <f>IF(U$3&lt;'20_FINANCIACION'!$B$14,U32,0)</f>
        <v>10689.410188536336</v>
      </c>
      <c r="V33" s="204">
        <f>IF(V$3&lt;'20_FINANCIACION'!$B$14,V32,0)</f>
        <v>11974.438118567128</v>
      </c>
      <c r="W33" s="204">
        <f>IF(W$3&lt;'20_FINANCIACION'!$B$14,W32,0)</f>
        <v>13265.355759943895</v>
      </c>
      <c r="X33" s="204">
        <f>IF(X$3&lt;'20_FINANCIACION'!$B$14,X32,0)</f>
        <v>14562.19010717697</v>
      </c>
      <c r="Y33" s="204">
        <f>IF(Y$3&lt;'20_FINANCIACION'!$B$14,Y32,0)</f>
        <v>15864.968278501532</v>
      </c>
      <c r="Z33" s="204">
        <f>IF(Z$3&lt;'20_FINANCIACION'!$B$14,Z32,0)</f>
        <v>17173.717516444667</v>
      </c>
      <c r="AA33" s="204">
        <f>IF(AA$3&lt;'20_FINANCIACION'!$B$14,AA32,0)</f>
        <v>18488.465188395039</v>
      </c>
      <c r="AB33" s="204">
        <f>IF(AB$3&lt;'20_FINANCIACION'!$B$14,AB32,0)</f>
        <v>19562.031827175186</v>
      </c>
      <c r="AC33" s="204">
        <f>IF(AC$3&lt;'20_FINANCIACION'!$B$14,AC32,0)</f>
        <v>20022.501579716405</v>
      </c>
      <c r="AD33" s="204">
        <f>IF(AD$3&lt;'20_FINANCIACION'!$B$14,AD32,0)</f>
        <v>20114.271378623442</v>
      </c>
      <c r="AE33" s="204">
        <f>IF(AE$3&lt;'20_FINANCIACION'!$B$14,AE32,0)</f>
        <v>20206.461789108798</v>
      </c>
      <c r="AF33" s="204">
        <f>IF(AF$3&lt;'20_FINANCIACION'!$B$14,AF32,0)</f>
        <v>20299.074738975545</v>
      </c>
      <c r="AG33" s="204">
        <f>IF(AG$3&lt;'20_FINANCIACION'!$B$14,AG32,0)</f>
        <v>20392.112164862516</v>
      </c>
      <c r="AH33" s="204">
        <f>IF(AH$3&lt;'20_FINANCIACION'!$B$14,AH32,0)</f>
        <v>20485.576012284804</v>
      </c>
      <c r="AI33" s="204">
        <f>IF(AI$3&lt;'20_FINANCIACION'!$B$14,AI32,0)</f>
        <v>20579.468235674442</v>
      </c>
      <c r="AJ33" s="204">
        <f>IF(AJ$3&lt;'20_FINANCIACION'!$B$14,AJ32,0)</f>
        <v>20673.790798421283</v>
      </c>
      <c r="AK33" s="204">
        <f>IF(AK$3&lt;'20_FINANCIACION'!$B$14,AK32,0)</f>
        <v>0</v>
      </c>
      <c r="AL33" s="204">
        <f>IF(AL$3&lt;'20_FINANCIACION'!$B$14,AL32,0)</f>
        <v>0</v>
      </c>
      <c r="AM33" s="204">
        <f>IF(AM$3&lt;'20_FINANCIACION'!$B$14,AM32,0)</f>
        <v>0</v>
      </c>
      <c r="AN33" s="204">
        <f>IF(AN$3&lt;'20_FINANCIACION'!$B$14,AN32,0)</f>
        <v>0</v>
      </c>
      <c r="AO33" s="204">
        <f>IF(AO$3&lt;'20_FINANCIACION'!$B$14,AO32,0)</f>
        <v>0</v>
      </c>
      <c r="AP33" s="204">
        <f>IF(AP$3&lt;'20_FINANCIACION'!$B$14,AP32,0)</f>
        <v>0</v>
      </c>
      <c r="AQ33" s="204">
        <f>IF(AQ$3&lt;'20_FINANCIACION'!$B$14,AQ32,0)</f>
        <v>0</v>
      </c>
      <c r="AR33" s="204">
        <f>IF(AR$3&lt;'20_FINANCIACION'!$B$14,AR32,0)</f>
        <v>0</v>
      </c>
      <c r="AS33" s="204">
        <f>IF(AS$3&lt;'20_FINANCIACION'!$B$14,AS32,0)</f>
        <v>0</v>
      </c>
      <c r="AT33" s="204">
        <f>IF(AT$3&lt;'20_FINANCIACION'!$B$14,AT32,0)</f>
        <v>0</v>
      </c>
      <c r="AU33" s="204">
        <f>IF(AU$3&lt;'20_FINANCIACION'!$B$14,AU32,0)</f>
        <v>0</v>
      </c>
      <c r="AV33" s="204">
        <f>IF(AV$3&lt;'20_FINANCIACION'!$B$14,AV32,0)</f>
        <v>0</v>
      </c>
      <c r="AW33" s="204">
        <f>IF(AW$3&lt;'20_FINANCIACION'!$B$14,AW32,0)</f>
        <v>0</v>
      </c>
      <c r="AX33" s="204">
        <f>IF(AX$3&lt;'20_FINANCIACION'!$B$14,AX32,0)</f>
        <v>0</v>
      </c>
      <c r="AY33" s="204">
        <f>IF(AY$3&lt;'20_FINANCIACION'!$B$14,AY32,0)</f>
        <v>0</v>
      </c>
      <c r="AZ33" s="204">
        <f>IF(AZ$3&lt;'20_FINANCIACION'!$B$14,AZ32,0)</f>
        <v>0</v>
      </c>
      <c r="BA33" s="204">
        <f>IF(BA$3&lt;'20_FINANCIACION'!$B$14,BA32,0)</f>
        <v>0</v>
      </c>
      <c r="BB33" s="204">
        <f>IF(BB$3&lt;'20_FINANCIACION'!$B$14,BB32,0)</f>
        <v>0</v>
      </c>
      <c r="BC33" s="204">
        <f>IF(BC$3&lt;'20_FINANCIACION'!$B$14,BC32,0)</f>
        <v>0</v>
      </c>
      <c r="BD33" s="204">
        <f>IF(BD$3&lt;'20_FINANCIACION'!$B$14,BD32,0)</f>
        <v>0</v>
      </c>
      <c r="BE33" s="204">
        <f>IF(BE$3&lt;'20_FINANCIACION'!$B$14,BE32,0)</f>
        <v>0</v>
      </c>
      <c r="BF33" s="204">
        <f>IF(BF$3&lt;'20_FINANCIACION'!$B$14,BF32,0)</f>
        <v>0</v>
      </c>
      <c r="BG33" s="204">
        <f>IF(BG$3&lt;'20_FINANCIACION'!$B$14,BG32,0)</f>
        <v>0</v>
      </c>
      <c r="BH33" s="204">
        <f>IF(BH$3&lt;'20_FINANCIACION'!$B$14,BH32,0)</f>
        <v>0</v>
      </c>
      <c r="BI33" s="204">
        <f>IF(BI$3&lt;'20_FINANCIACION'!$B$14,BI32,0)</f>
        <v>0</v>
      </c>
      <c r="BJ33" s="204">
        <f>IF(BJ$3&lt;'20_FINANCIACION'!$B$14,BJ32,0)</f>
        <v>0</v>
      </c>
      <c r="BK33" s="204">
        <f>IF(BK$3&lt;'20_FINANCIACION'!$B$14,BK32,0)</f>
        <v>0</v>
      </c>
      <c r="BL33" s="204">
        <f>IF(BL$3&lt;'20_FINANCIACION'!$B$14,BL32,0)</f>
        <v>0</v>
      </c>
      <c r="BM33" s="204">
        <f>IF(BM$3&lt;'20_FINANCIACION'!$B$14,BM32,0)</f>
        <v>0</v>
      </c>
      <c r="BN33" s="204">
        <f>IF(BN$3&lt;'20_FINANCIACION'!$B$14,BN32,0)</f>
        <v>0</v>
      </c>
      <c r="BO33" s="204">
        <f>IF(BO$3&lt;'20_FINANCIACION'!$B$14,BO32,0)</f>
        <v>0</v>
      </c>
      <c r="BP33" s="204">
        <f>IF(BP$3&lt;'20_FINANCIACION'!$B$14,BP32,0)</f>
        <v>0</v>
      </c>
      <c r="BQ33" s="204">
        <f>IF(BQ$3&lt;'20_FINANCIACION'!$B$14,BQ32,0)</f>
        <v>0</v>
      </c>
      <c r="BR33" s="204">
        <f>IF(BR$3&lt;'20_FINANCIACION'!$B$14,BR32,0)</f>
        <v>0</v>
      </c>
      <c r="BS33" s="204">
        <f>IF(BS$3&lt;'20_FINANCIACION'!$B$14,BS32,0)</f>
        <v>0</v>
      </c>
      <c r="BT33" s="204">
        <f>IF(BT$3&lt;'20_FINANCIACION'!$B$14,BT32,0)</f>
        <v>0</v>
      </c>
      <c r="BU33" s="204">
        <f>IF(BU$3&lt;'20_FINANCIACION'!$B$14,BU32,0)</f>
        <v>0</v>
      </c>
      <c r="BV33" s="204">
        <f>IF(BV$3&lt;'20_FINANCIACION'!$B$14,BV32,0)</f>
        <v>0</v>
      </c>
      <c r="BW33" s="204">
        <f>IF(BW$3&lt;'20_FINANCIACION'!$B$14,BW32,0)</f>
        <v>0</v>
      </c>
      <c r="BX33" s="204">
        <f>IF(BX$3&lt;'20_FINANCIACION'!$B$14,BX32,0)</f>
        <v>0</v>
      </c>
      <c r="BY33" s="204">
        <f>IF(BY$3&lt;'20_FINANCIACION'!$B$14,BY32,0)</f>
        <v>0</v>
      </c>
      <c r="BZ33" s="204">
        <f>IF(BZ$3&lt;'20_FINANCIACION'!$B$14,BZ32,0)</f>
        <v>0</v>
      </c>
      <c r="CA33" s="204">
        <f>IF(CA$3&lt;'20_FINANCIACION'!$B$14,CA32,0)</f>
        <v>0</v>
      </c>
      <c r="CB33" s="204">
        <f>IF(CB$3&lt;'20_FINANCIACION'!$B$14,CB32,0)</f>
        <v>0</v>
      </c>
      <c r="CC33" s="204">
        <f>IF(CC$3&lt;'20_FINANCIACION'!$B$14,CC32,0)</f>
        <v>0</v>
      </c>
      <c r="CD33" s="204">
        <f>IF(CD$3&lt;'20_FINANCIACION'!$B$14,CD32,0)</f>
        <v>0</v>
      </c>
      <c r="CE33" s="204">
        <f>IF(CE$3&lt;'20_FINANCIACION'!$B$14,CE32,0)</f>
        <v>0</v>
      </c>
      <c r="CF33" s="204">
        <f>IF(CF$3&lt;'20_FINANCIACION'!$B$14,CF32,0)</f>
        <v>0</v>
      </c>
      <c r="CG33" s="204">
        <f>IF(CG$3&lt;'20_FINANCIACION'!$B$14,CG32,0)</f>
        <v>0</v>
      </c>
      <c r="CH33" s="204">
        <f>IF(CH$3&lt;'20_FINANCIACION'!$B$14,CH32,0)</f>
        <v>0</v>
      </c>
      <c r="CI33" s="204">
        <f>IF(CI$3&lt;'20_FINANCIACION'!$B$14,CI32,0)</f>
        <v>0</v>
      </c>
      <c r="CJ33" s="204">
        <f>IF(CJ$3&lt;'20_FINANCIACION'!$B$14,CJ32,0)</f>
        <v>0</v>
      </c>
      <c r="CK33" s="204">
        <f>IF(CK$3&lt;'20_FINANCIACION'!$B$14,CK32,0)</f>
        <v>0</v>
      </c>
      <c r="CL33" s="204">
        <f>IF(CL$3&lt;'20_FINANCIACION'!$B$14,CL32,0)</f>
        <v>0</v>
      </c>
      <c r="CM33" s="204">
        <f>IF(CM$3&lt;'20_FINANCIACION'!$B$14,CM32,0)</f>
        <v>0</v>
      </c>
      <c r="CN33" s="204">
        <f>IF(CN$3&lt;'20_FINANCIACION'!$B$14,CN32,0)</f>
        <v>0</v>
      </c>
      <c r="CO33" s="204">
        <f>IF(CO$3&lt;'20_FINANCIACION'!$B$14,CO32,0)</f>
        <v>0</v>
      </c>
      <c r="CP33" s="204">
        <f>IF(CP$3&lt;'20_FINANCIACION'!$B$14,CP32,0)</f>
        <v>0</v>
      </c>
      <c r="CQ33" s="204">
        <f>IF(CQ$3&lt;'20_FINANCIACION'!$B$14,CQ32,0)</f>
        <v>0</v>
      </c>
      <c r="CR33" s="204">
        <f>IF(CR$3&lt;'20_FINANCIACION'!$B$14,CR32,0)</f>
        <v>0</v>
      </c>
      <c r="CS33" s="204">
        <f>IF(CS$3&lt;'20_FINANCIACION'!$B$14,CS32,0)</f>
        <v>0</v>
      </c>
      <c r="CT33" s="204">
        <f>IF(CT$3&lt;'20_FINANCIACION'!$B$14,CT32,0)</f>
        <v>0</v>
      </c>
      <c r="CU33" s="204">
        <f>IF(CU$3&lt;'20_FINANCIACION'!$B$14,CU32,0)</f>
        <v>0</v>
      </c>
      <c r="CV33" s="204">
        <f>IF(CV$3&lt;'20_FINANCIACION'!$B$14,CV32,0)</f>
        <v>0</v>
      </c>
      <c r="CW33" s="204">
        <f>IF(CW$3&lt;'20_FINANCIACION'!$B$14,CW32,0)</f>
        <v>0</v>
      </c>
      <c r="CX33" s="204">
        <f>IF(CX$3&lt;'20_FINANCIACION'!$B$14,CX32,0)</f>
        <v>0</v>
      </c>
      <c r="CY33" s="204">
        <f>IF(CY$3&lt;'20_FINANCIACION'!$B$14,CY32,0)</f>
        <v>0</v>
      </c>
      <c r="CZ33" s="204">
        <f>IF(CZ$3&lt;'20_FINANCIACION'!$B$14,CZ32,0)</f>
        <v>0</v>
      </c>
      <c r="DA33" s="204">
        <f>IF(DA$3&lt;'20_FINANCIACION'!$B$14,DA32,0)</f>
        <v>0</v>
      </c>
      <c r="DB33" s="204">
        <f>IF(DB$3&lt;'20_FINANCIACION'!$B$14,DB32,0)</f>
        <v>0</v>
      </c>
      <c r="DC33" s="204">
        <f>IF(DC$3&lt;'20_FINANCIACION'!$B$14,DC32,0)</f>
        <v>0</v>
      </c>
      <c r="DD33" s="204">
        <f>IF(DD$3&lt;'20_FINANCIACION'!$B$14,DD32,0)</f>
        <v>0</v>
      </c>
      <c r="DE33" s="204">
        <f>IF(DE$3&lt;'20_FINANCIACION'!$B$14,DE32,0)</f>
        <v>0</v>
      </c>
      <c r="DF33" s="204">
        <f>IF(DF$3&lt;'20_FINANCIACION'!$B$14,DF32,0)</f>
        <v>0</v>
      </c>
      <c r="DG33" s="204">
        <f>IF(DG$3&lt;'20_FINANCIACION'!$B$14,DG32,0)</f>
        <v>0</v>
      </c>
      <c r="DH33" s="204">
        <f>IF(DH$3&lt;'20_FINANCIACION'!$B$14,DH32,0)</f>
        <v>0</v>
      </c>
      <c r="DI33" s="204">
        <f>IF(DI$3&lt;'20_FINANCIACION'!$B$14,DI32,0)</f>
        <v>0</v>
      </c>
      <c r="DJ33" s="204">
        <f>IF(DJ$3&lt;'20_FINANCIACION'!$B$14,DJ32,0)</f>
        <v>0</v>
      </c>
      <c r="DK33" s="204">
        <f>IF(DK$3&lt;'20_FINANCIACION'!$B$14,DK32,0)</f>
        <v>0</v>
      </c>
      <c r="DL33" s="204">
        <f>IF(DL$3&lt;'20_FINANCIACION'!$B$14,DL32,0)</f>
        <v>0</v>
      </c>
      <c r="DM33" s="204">
        <f>IF(DM$3&lt;'20_FINANCIACION'!$B$14,DM32,0)</f>
        <v>0</v>
      </c>
      <c r="DN33" s="204">
        <f>IF(DN$3&lt;'20_FINANCIACION'!$B$14,DN32,0)</f>
        <v>0</v>
      </c>
      <c r="DO33" s="204">
        <f>IF(DO$3&lt;'20_FINANCIACION'!$B$14,DO32,0)</f>
        <v>0</v>
      </c>
      <c r="DP33" s="204">
        <f>IF(DP$3&lt;'20_FINANCIACION'!$B$14,DP32,0)</f>
        <v>0</v>
      </c>
      <c r="DQ33" s="204">
        <f>IF(DQ$3&lt;'20_FINANCIACION'!$B$14,DQ32,0)</f>
        <v>0</v>
      </c>
      <c r="DR33" s="204">
        <f>IF(DR$3&lt;'20_FINANCIACION'!$B$14,DR32,0)</f>
        <v>0</v>
      </c>
      <c r="DS33" s="204">
        <f>IF(DS$3&lt;'20_FINANCIACION'!$B$14,DS32,0)</f>
        <v>0</v>
      </c>
      <c r="DT33" s="204">
        <f>IF(DT$3&lt;'20_FINANCIACION'!$B$14,DT32,0)</f>
        <v>0</v>
      </c>
      <c r="DU33" s="204">
        <f>IF(DU$3&lt;'20_FINANCIACION'!$B$14,DU32,0)</f>
        <v>0</v>
      </c>
      <c r="DV33" s="204">
        <f>IF(DV$3&lt;'20_FINANCIACION'!$B$14,DV32,0)</f>
        <v>0</v>
      </c>
      <c r="DW33" s="204">
        <f>IF(DW$3&lt;'20_FINANCIACION'!$B$14,DW32,0)</f>
        <v>0</v>
      </c>
      <c r="DX33" s="204">
        <f>IF(DX$3&lt;'20_FINANCIACION'!$B$14,DX32,0)</f>
        <v>0</v>
      </c>
      <c r="DY33" s="204">
        <f>IF(DY$3&lt;'20_FINANCIACION'!$B$14,DY32,0)</f>
        <v>0</v>
      </c>
      <c r="DZ33" s="204">
        <f>IF(DZ$3&lt;'20_FINANCIACION'!$B$14,DZ32,0)</f>
        <v>0</v>
      </c>
      <c r="EA33" s="204">
        <f>IF(EA$3&lt;'20_FINANCIACION'!$B$14,EA32,0)</f>
        <v>0</v>
      </c>
      <c r="EB33" s="204">
        <f>IF(EB$3&lt;'20_FINANCIACION'!$B$14,EB32,0)</f>
        <v>0</v>
      </c>
      <c r="EC33" s="204">
        <f>IF(EC$3&lt;'20_FINANCIACION'!$B$14,EC32,0)</f>
        <v>0</v>
      </c>
      <c r="ED33" s="204">
        <f>IF(ED$3&lt;'20_FINANCIACION'!$B$14,ED32,0)</f>
        <v>0</v>
      </c>
      <c r="EE33" s="204">
        <f>IF(EE$3&lt;'20_FINANCIACION'!$B$14,EE32,0)</f>
        <v>0</v>
      </c>
      <c r="EF33" s="204">
        <f>IF(EF$3&lt;'20_FINANCIACION'!$B$14,EF32,0)</f>
        <v>0</v>
      </c>
      <c r="EG33" s="204">
        <f>IF(EG$3&lt;'20_FINANCIACION'!$B$14,EG32,0)</f>
        <v>0</v>
      </c>
      <c r="EH33" s="204">
        <f>IF(EH$3&lt;'20_FINANCIACION'!$B$14,EH32,0)</f>
        <v>0</v>
      </c>
      <c r="EI33" s="204">
        <f>IF(EI$3&lt;'20_FINANCIACION'!$B$14,EI32,0)</f>
        <v>0</v>
      </c>
      <c r="EJ33" s="204">
        <f>IF(EJ$3&lt;'20_FINANCIACION'!$B$14,EJ32,0)</f>
        <v>0</v>
      </c>
      <c r="EK33" s="204">
        <f>IF(EK$3&lt;'20_FINANCIACION'!$B$14,EK32,0)</f>
        <v>0</v>
      </c>
      <c r="EL33" s="204">
        <f>IF(EL$3&lt;'20_FINANCIACION'!$B$14,EL32,0)</f>
        <v>0</v>
      </c>
      <c r="EM33" s="204">
        <f>IF(EM$3&lt;'20_FINANCIACION'!$B$14,EM32,0)</f>
        <v>0</v>
      </c>
      <c r="EN33" s="204">
        <f>IF(EN$3&lt;'20_FINANCIACION'!$B$14,EN32,0)</f>
        <v>0</v>
      </c>
      <c r="EO33" s="204">
        <f>IF(EO$3&lt;'20_FINANCIACION'!$B$14,EO32,0)</f>
        <v>0</v>
      </c>
      <c r="EP33" s="204">
        <f>IF(EP$3&lt;'20_FINANCIACION'!$B$14,EP32,0)</f>
        <v>0</v>
      </c>
      <c r="EQ33" s="204">
        <f>IF(EQ$3&lt;'20_FINANCIACION'!$B$14,EQ32,0)</f>
        <v>0</v>
      </c>
      <c r="ER33" s="204">
        <f>IF(ER$3&lt;'20_FINANCIACION'!$B$14,ER32,0)</f>
        <v>0</v>
      </c>
      <c r="ES33" s="204">
        <f>IF(ES$3&lt;'20_FINANCIACION'!$B$14,ES32,0)</f>
        <v>0</v>
      </c>
      <c r="ET33" s="204">
        <f>IF(ET$3&lt;'20_FINANCIACION'!$B$14,ET32,0)</f>
        <v>0</v>
      </c>
      <c r="EU33" s="204">
        <f>IF(EU$3&lt;'20_FINANCIACION'!$B$14,EU32,0)</f>
        <v>0</v>
      </c>
      <c r="EV33" s="204">
        <f>IF(EV$3&lt;'20_FINANCIACION'!$B$14,EV32,0)</f>
        <v>0</v>
      </c>
      <c r="EW33" s="204">
        <f>IF(EW$3&lt;'20_FINANCIACION'!$B$14,EW32,0)</f>
        <v>0</v>
      </c>
      <c r="EX33" s="204">
        <f>IF(EX$3&lt;'20_FINANCIACION'!$B$14,EX32,0)</f>
        <v>0</v>
      </c>
      <c r="EY33" s="204">
        <f>IF(EY$3&lt;'20_FINANCIACION'!$B$14,EY32,0)</f>
        <v>0</v>
      </c>
      <c r="EZ33" s="204">
        <f>IF(EZ$3&lt;'20_FINANCIACION'!$B$14,EZ32,0)</f>
        <v>0</v>
      </c>
      <c r="FA33" s="204">
        <f>IF(FA$3&lt;'20_FINANCIACION'!$B$14,FA32,0)</f>
        <v>0</v>
      </c>
      <c r="FB33" s="204">
        <f>IF(FB$3&lt;'20_FINANCIACION'!$B$14,FB32,0)</f>
        <v>0</v>
      </c>
      <c r="FC33" s="204">
        <f>IF(FC$3&lt;'20_FINANCIACION'!$B$14,FC32,0)</f>
        <v>0</v>
      </c>
      <c r="FD33" s="204">
        <f>IF(FD$3&lt;'20_FINANCIACION'!$B$14,FD32,0)</f>
        <v>0</v>
      </c>
      <c r="FE33" s="204">
        <f>IF(FE$3&lt;'20_FINANCIACION'!$B$14,FE32,0)</f>
        <v>0</v>
      </c>
      <c r="FF33" s="204">
        <f>IF(FF$3&lt;'20_FINANCIACION'!$B$14,FF32,0)</f>
        <v>0</v>
      </c>
      <c r="FG33" s="204">
        <f>IF(FG$3&lt;'20_FINANCIACION'!$B$14,FG32,0)</f>
        <v>0</v>
      </c>
      <c r="FH33" s="204">
        <f>IF(FH$3&lt;'20_FINANCIACION'!$B$14,FH32,0)</f>
        <v>0</v>
      </c>
      <c r="FI33" s="204">
        <f>IF(FI$3&lt;'20_FINANCIACION'!$B$14,FI32,0)</f>
        <v>0</v>
      </c>
      <c r="FJ33" s="204">
        <f>IF(FJ$3&lt;'20_FINANCIACION'!$B$14,FJ32,0)</f>
        <v>0</v>
      </c>
      <c r="FK33" s="204">
        <f>IF(FK$3&lt;'20_FINANCIACION'!$B$14,FK32,0)</f>
        <v>0</v>
      </c>
      <c r="FL33" s="204">
        <f>IF(FL$3&lt;'20_FINANCIACION'!$B$14,FL32,0)</f>
        <v>0</v>
      </c>
      <c r="FM33" s="204">
        <f>IF(FM$3&lt;'20_FINANCIACION'!$B$14,FM32,0)</f>
        <v>0</v>
      </c>
      <c r="FN33" s="204">
        <f>IF(FN$3&lt;'20_FINANCIACION'!$B$14,FN32,0)</f>
        <v>0</v>
      </c>
      <c r="FO33" s="204">
        <f>IF(FO$3&lt;'20_FINANCIACION'!$B$14,FO32,0)</f>
        <v>0</v>
      </c>
      <c r="FP33" s="204">
        <f>IF(FP$3&lt;'20_FINANCIACION'!$B$14,FP32,0)</f>
        <v>0</v>
      </c>
      <c r="FQ33" s="204">
        <f>IF(FQ$3&lt;'20_FINANCIACION'!$B$14,FQ32,0)</f>
        <v>0</v>
      </c>
      <c r="FR33" s="204">
        <f>IF(FR$3&lt;'20_FINANCIACION'!$B$14,FR32,0)</f>
        <v>0</v>
      </c>
      <c r="FS33" s="204">
        <f>IF(FS$3&lt;'20_FINANCIACION'!$B$14,FS32,0)</f>
        <v>0</v>
      </c>
      <c r="FT33" s="204">
        <f>IF(FT$3&lt;'20_FINANCIACION'!$B$14,FT32,0)</f>
        <v>0</v>
      </c>
      <c r="FU33" s="204">
        <f>IF(FU$3&lt;'20_FINANCIACION'!$B$14,FU32,0)</f>
        <v>0</v>
      </c>
      <c r="FV33" s="204">
        <f>IF(FV$3&lt;'20_FINANCIACION'!$B$14,FV32,0)</f>
        <v>0</v>
      </c>
      <c r="FW33" s="204">
        <f>IF(FW$3&lt;'20_FINANCIACION'!$B$14,FW32,0)</f>
        <v>0</v>
      </c>
      <c r="FX33" s="204">
        <f>IF(FX$3&lt;'20_FINANCIACION'!$B$14,FX32,0)</f>
        <v>0</v>
      </c>
      <c r="FY33" s="204">
        <f>IF(FY$3&lt;'20_FINANCIACION'!$B$14,FY32,0)</f>
        <v>0</v>
      </c>
      <c r="FZ33" s="204">
        <f>IF(FZ$3&lt;'20_FINANCIACION'!$B$14,FZ32,0)</f>
        <v>0</v>
      </c>
    </row>
    <row r="34" spans="1:182" ht="15.75" customHeight="1" x14ac:dyDescent="0.25">
      <c r="A34" s="212" t="s">
        <v>289</v>
      </c>
      <c r="B34" s="211">
        <f t="shared" ref="B34:AG34" si="45">B32-B33</f>
        <v>0</v>
      </c>
      <c r="C34" s="211">
        <f t="shared" si="45"/>
        <v>0</v>
      </c>
      <c r="D34" s="211">
        <f t="shared" si="45"/>
        <v>0</v>
      </c>
      <c r="E34" s="211">
        <f t="shared" si="45"/>
        <v>0</v>
      </c>
      <c r="F34" s="211">
        <f t="shared" si="45"/>
        <v>0</v>
      </c>
      <c r="G34" s="211">
        <f t="shared" si="45"/>
        <v>0</v>
      </c>
      <c r="H34" s="211">
        <f t="shared" si="45"/>
        <v>0</v>
      </c>
      <c r="I34" s="211">
        <f t="shared" si="45"/>
        <v>0</v>
      </c>
      <c r="J34" s="211">
        <f t="shared" si="45"/>
        <v>0</v>
      </c>
      <c r="K34" s="211">
        <f t="shared" si="45"/>
        <v>0</v>
      </c>
      <c r="L34" s="211">
        <f t="shared" si="45"/>
        <v>0</v>
      </c>
      <c r="M34" s="211">
        <f t="shared" si="45"/>
        <v>0</v>
      </c>
      <c r="N34" s="211">
        <f t="shared" si="45"/>
        <v>0</v>
      </c>
      <c r="O34" s="211">
        <f t="shared" si="45"/>
        <v>0</v>
      </c>
      <c r="P34" s="211">
        <f t="shared" si="45"/>
        <v>0</v>
      </c>
      <c r="Q34" s="211">
        <f t="shared" si="45"/>
        <v>0</v>
      </c>
      <c r="R34" s="211">
        <f t="shared" si="45"/>
        <v>0</v>
      </c>
      <c r="S34" s="211">
        <f t="shared" si="45"/>
        <v>0</v>
      </c>
      <c r="T34" s="211">
        <f t="shared" si="45"/>
        <v>0</v>
      </c>
      <c r="U34" s="211">
        <f t="shared" si="45"/>
        <v>0</v>
      </c>
      <c r="V34" s="211">
        <f t="shared" si="45"/>
        <v>0</v>
      </c>
      <c r="W34" s="211">
        <f t="shared" si="45"/>
        <v>0</v>
      </c>
      <c r="X34" s="211">
        <f t="shared" si="45"/>
        <v>0</v>
      </c>
      <c r="Y34" s="211">
        <f t="shared" si="45"/>
        <v>0</v>
      </c>
      <c r="Z34" s="211">
        <f t="shared" si="45"/>
        <v>0</v>
      </c>
      <c r="AA34" s="211">
        <f t="shared" si="45"/>
        <v>0</v>
      </c>
      <c r="AB34" s="211">
        <f t="shared" si="45"/>
        <v>0</v>
      </c>
      <c r="AC34" s="211">
        <f t="shared" si="45"/>
        <v>0</v>
      </c>
      <c r="AD34" s="211">
        <f t="shared" si="45"/>
        <v>0</v>
      </c>
      <c r="AE34" s="211">
        <f t="shared" si="45"/>
        <v>0</v>
      </c>
      <c r="AF34" s="211">
        <f t="shared" si="45"/>
        <v>0</v>
      </c>
      <c r="AG34" s="211">
        <f t="shared" si="45"/>
        <v>0</v>
      </c>
      <c r="AH34" s="211">
        <f t="shared" ref="AH34:BM34" si="46">AH32-AH33</f>
        <v>0</v>
      </c>
      <c r="AI34" s="211">
        <f t="shared" si="46"/>
        <v>0</v>
      </c>
      <c r="AJ34" s="211">
        <f t="shared" si="46"/>
        <v>0</v>
      </c>
      <c r="AK34" s="211">
        <f t="shared" si="46"/>
        <v>20768.545672914046</v>
      </c>
      <c r="AL34" s="211">
        <f t="shared" si="46"/>
        <v>0</v>
      </c>
      <c r="AM34" s="211">
        <f t="shared" si="46"/>
        <v>0</v>
      </c>
      <c r="AN34" s="211">
        <f t="shared" si="46"/>
        <v>0</v>
      </c>
      <c r="AO34" s="211">
        <f t="shared" si="46"/>
        <v>0</v>
      </c>
      <c r="AP34" s="211">
        <f t="shared" si="46"/>
        <v>0</v>
      </c>
      <c r="AQ34" s="211">
        <f t="shared" si="46"/>
        <v>0</v>
      </c>
      <c r="AR34" s="211">
        <f t="shared" si="46"/>
        <v>0</v>
      </c>
      <c r="AS34" s="211">
        <f t="shared" si="46"/>
        <v>0</v>
      </c>
      <c r="AT34" s="211">
        <f t="shared" si="46"/>
        <v>0</v>
      </c>
      <c r="AU34" s="211">
        <f t="shared" si="46"/>
        <v>0</v>
      </c>
      <c r="AV34" s="211">
        <f t="shared" si="46"/>
        <v>0</v>
      </c>
      <c r="AW34" s="211">
        <f t="shared" si="46"/>
        <v>0</v>
      </c>
      <c r="AX34" s="211">
        <f t="shared" si="46"/>
        <v>0</v>
      </c>
      <c r="AY34" s="211">
        <f t="shared" si="46"/>
        <v>0</v>
      </c>
      <c r="AZ34" s="211">
        <f t="shared" si="46"/>
        <v>0</v>
      </c>
      <c r="BA34" s="211">
        <f t="shared" si="46"/>
        <v>0</v>
      </c>
      <c r="BB34" s="211">
        <f t="shared" si="46"/>
        <v>0</v>
      </c>
      <c r="BC34" s="211">
        <f t="shared" si="46"/>
        <v>0</v>
      </c>
      <c r="BD34" s="211">
        <f t="shared" si="46"/>
        <v>0</v>
      </c>
      <c r="BE34" s="211">
        <f t="shared" si="46"/>
        <v>0</v>
      </c>
      <c r="BF34" s="211">
        <f t="shared" si="46"/>
        <v>0</v>
      </c>
      <c r="BG34" s="211">
        <f t="shared" si="46"/>
        <v>0</v>
      </c>
      <c r="BH34" s="211">
        <f t="shared" si="46"/>
        <v>0</v>
      </c>
      <c r="BI34" s="211">
        <f t="shared" si="46"/>
        <v>0</v>
      </c>
      <c r="BJ34" s="211">
        <f t="shared" si="46"/>
        <v>0</v>
      </c>
      <c r="BK34" s="211">
        <f t="shared" si="46"/>
        <v>0</v>
      </c>
      <c r="BL34" s="211">
        <f t="shared" si="46"/>
        <v>0</v>
      </c>
      <c r="BM34" s="211">
        <f t="shared" si="46"/>
        <v>0</v>
      </c>
      <c r="BN34" s="211">
        <f t="shared" ref="BN34:CS34" si="47">BN32-BN33</f>
        <v>0</v>
      </c>
      <c r="BO34" s="211">
        <f t="shared" si="47"/>
        <v>0</v>
      </c>
      <c r="BP34" s="211">
        <f t="shared" si="47"/>
        <v>0</v>
      </c>
      <c r="BQ34" s="211">
        <f t="shared" si="47"/>
        <v>0</v>
      </c>
      <c r="BR34" s="211">
        <f t="shared" si="47"/>
        <v>0</v>
      </c>
      <c r="BS34" s="211">
        <f t="shared" si="47"/>
        <v>0</v>
      </c>
      <c r="BT34" s="211">
        <f t="shared" si="47"/>
        <v>0</v>
      </c>
      <c r="BU34" s="211">
        <f t="shared" si="47"/>
        <v>0</v>
      </c>
      <c r="BV34" s="211">
        <f t="shared" si="47"/>
        <v>0</v>
      </c>
      <c r="BW34" s="211">
        <f t="shared" si="47"/>
        <v>0</v>
      </c>
      <c r="BX34" s="211">
        <f t="shared" si="47"/>
        <v>0</v>
      </c>
      <c r="BY34" s="211">
        <f t="shared" si="47"/>
        <v>0</v>
      </c>
      <c r="BZ34" s="211">
        <f t="shared" si="47"/>
        <v>0</v>
      </c>
      <c r="CA34" s="211">
        <f t="shared" si="47"/>
        <v>0</v>
      </c>
      <c r="CB34" s="211">
        <f t="shared" si="47"/>
        <v>0</v>
      </c>
      <c r="CC34" s="211">
        <f t="shared" si="47"/>
        <v>0</v>
      </c>
      <c r="CD34" s="211">
        <f t="shared" si="47"/>
        <v>0</v>
      </c>
      <c r="CE34" s="211">
        <f t="shared" si="47"/>
        <v>0</v>
      </c>
      <c r="CF34" s="211">
        <f t="shared" si="47"/>
        <v>0</v>
      </c>
      <c r="CG34" s="211">
        <f t="shared" si="47"/>
        <v>0</v>
      </c>
      <c r="CH34" s="211">
        <f t="shared" si="47"/>
        <v>0</v>
      </c>
      <c r="CI34" s="211">
        <f t="shared" si="47"/>
        <v>0</v>
      </c>
      <c r="CJ34" s="211">
        <f t="shared" si="47"/>
        <v>0</v>
      </c>
      <c r="CK34" s="211">
        <f t="shared" si="47"/>
        <v>0</v>
      </c>
      <c r="CL34" s="211">
        <f t="shared" si="47"/>
        <v>0</v>
      </c>
      <c r="CM34" s="211">
        <f t="shared" si="47"/>
        <v>0</v>
      </c>
      <c r="CN34" s="211">
        <f t="shared" si="47"/>
        <v>0</v>
      </c>
      <c r="CO34" s="211">
        <f t="shared" si="47"/>
        <v>0</v>
      </c>
      <c r="CP34" s="211">
        <f t="shared" si="47"/>
        <v>0</v>
      </c>
      <c r="CQ34" s="211">
        <f t="shared" si="47"/>
        <v>0</v>
      </c>
      <c r="CR34" s="211">
        <f t="shared" si="47"/>
        <v>0</v>
      </c>
      <c r="CS34" s="211">
        <f t="shared" si="47"/>
        <v>0</v>
      </c>
      <c r="CT34" s="211">
        <f t="shared" ref="CT34:DY34" si="48">CT32-CT33</f>
        <v>0</v>
      </c>
      <c r="CU34" s="211">
        <f t="shared" si="48"/>
        <v>0</v>
      </c>
      <c r="CV34" s="211">
        <f t="shared" si="48"/>
        <v>0</v>
      </c>
      <c r="CW34" s="211">
        <f t="shared" si="48"/>
        <v>0</v>
      </c>
      <c r="CX34" s="211">
        <f t="shared" si="48"/>
        <v>0</v>
      </c>
      <c r="CY34" s="211">
        <f t="shared" si="48"/>
        <v>0</v>
      </c>
      <c r="CZ34" s="211">
        <f t="shared" si="48"/>
        <v>0</v>
      </c>
      <c r="DA34" s="211">
        <f t="shared" si="48"/>
        <v>0</v>
      </c>
      <c r="DB34" s="211">
        <f t="shared" si="48"/>
        <v>0</v>
      </c>
      <c r="DC34" s="211">
        <f t="shared" si="48"/>
        <v>0</v>
      </c>
      <c r="DD34" s="211">
        <f t="shared" si="48"/>
        <v>0</v>
      </c>
      <c r="DE34" s="211">
        <f t="shared" si="48"/>
        <v>0</v>
      </c>
      <c r="DF34" s="211">
        <f t="shared" si="48"/>
        <v>0</v>
      </c>
      <c r="DG34" s="211">
        <f t="shared" si="48"/>
        <v>0</v>
      </c>
      <c r="DH34" s="211">
        <f t="shared" si="48"/>
        <v>0</v>
      </c>
      <c r="DI34" s="211">
        <f t="shared" si="48"/>
        <v>0</v>
      </c>
      <c r="DJ34" s="211">
        <f t="shared" si="48"/>
        <v>0</v>
      </c>
      <c r="DK34" s="211">
        <f t="shared" si="48"/>
        <v>0</v>
      </c>
      <c r="DL34" s="211">
        <f t="shared" si="48"/>
        <v>0</v>
      </c>
      <c r="DM34" s="211">
        <f t="shared" si="48"/>
        <v>0</v>
      </c>
      <c r="DN34" s="211">
        <f t="shared" si="48"/>
        <v>0</v>
      </c>
      <c r="DO34" s="211">
        <f t="shared" si="48"/>
        <v>0</v>
      </c>
      <c r="DP34" s="211">
        <f t="shared" si="48"/>
        <v>0</v>
      </c>
      <c r="DQ34" s="211">
        <f t="shared" si="48"/>
        <v>0</v>
      </c>
      <c r="DR34" s="211">
        <f t="shared" si="48"/>
        <v>0</v>
      </c>
      <c r="DS34" s="211">
        <f t="shared" si="48"/>
        <v>0</v>
      </c>
      <c r="DT34" s="211">
        <f t="shared" si="48"/>
        <v>0</v>
      </c>
      <c r="DU34" s="211">
        <f t="shared" si="48"/>
        <v>0</v>
      </c>
      <c r="DV34" s="211">
        <f t="shared" si="48"/>
        <v>0</v>
      </c>
      <c r="DW34" s="211">
        <f t="shared" si="48"/>
        <v>0</v>
      </c>
      <c r="DX34" s="211">
        <f t="shared" si="48"/>
        <v>0</v>
      </c>
      <c r="DY34" s="211">
        <f t="shared" si="48"/>
        <v>0</v>
      </c>
      <c r="DZ34" s="211">
        <f t="shared" ref="DZ34:FE34" si="49">DZ32-DZ33</f>
        <v>0</v>
      </c>
      <c r="EA34" s="211">
        <f t="shared" si="49"/>
        <v>0</v>
      </c>
      <c r="EB34" s="211">
        <f t="shared" si="49"/>
        <v>0</v>
      </c>
      <c r="EC34" s="211">
        <f t="shared" si="49"/>
        <v>0</v>
      </c>
      <c r="ED34" s="211">
        <f t="shared" si="49"/>
        <v>0</v>
      </c>
      <c r="EE34" s="211">
        <f t="shared" si="49"/>
        <v>0</v>
      </c>
      <c r="EF34" s="211">
        <f t="shared" si="49"/>
        <v>0</v>
      </c>
      <c r="EG34" s="211">
        <f t="shared" si="49"/>
        <v>0</v>
      </c>
      <c r="EH34" s="211">
        <f t="shared" si="49"/>
        <v>0</v>
      </c>
      <c r="EI34" s="211">
        <f t="shared" si="49"/>
        <v>0</v>
      </c>
      <c r="EJ34" s="211">
        <f t="shared" si="49"/>
        <v>0</v>
      </c>
      <c r="EK34" s="211">
        <f t="shared" si="49"/>
        <v>0</v>
      </c>
      <c r="EL34" s="211">
        <f t="shared" si="49"/>
        <v>0</v>
      </c>
      <c r="EM34" s="211">
        <f t="shared" si="49"/>
        <v>0</v>
      </c>
      <c r="EN34" s="211">
        <f t="shared" si="49"/>
        <v>0</v>
      </c>
      <c r="EO34" s="211">
        <f t="shared" si="49"/>
        <v>0</v>
      </c>
      <c r="EP34" s="211">
        <f t="shared" si="49"/>
        <v>0</v>
      </c>
      <c r="EQ34" s="211">
        <f t="shared" si="49"/>
        <v>0</v>
      </c>
      <c r="ER34" s="211">
        <f t="shared" si="49"/>
        <v>0</v>
      </c>
      <c r="ES34" s="211">
        <f t="shared" si="49"/>
        <v>0</v>
      </c>
      <c r="ET34" s="211">
        <f t="shared" si="49"/>
        <v>0</v>
      </c>
      <c r="EU34" s="211">
        <f t="shared" si="49"/>
        <v>0</v>
      </c>
      <c r="EV34" s="211">
        <f t="shared" si="49"/>
        <v>0</v>
      </c>
      <c r="EW34" s="211">
        <f t="shared" si="49"/>
        <v>0</v>
      </c>
      <c r="EX34" s="211">
        <f t="shared" si="49"/>
        <v>0</v>
      </c>
      <c r="EY34" s="211">
        <f t="shared" si="49"/>
        <v>0</v>
      </c>
      <c r="EZ34" s="211">
        <f t="shared" si="49"/>
        <v>0</v>
      </c>
      <c r="FA34" s="211">
        <f t="shared" si="49"/>
        <v>0</v>
      </c>
      <c r="FB34" s="211">
        <f t="shared" si="49"/>
        <v>0</v>
      </c>
      <c r="FC34" s="211">
        <f t="shared" si="49"/>
        <v>0</v>
      </c>
      <c r="FD34" s="211">
        <f t="shared" si="49"/>
        <v>0</v>
      </c>
      <c r="FE34" s="211">
        <f t="shared" si="49"/>
        <v>0</v>
      </c>
      <c r="FF34" s="211">
        <f t="shared" ref="FF34:FZ34" si="50">FF32-FF33</f>
        <v>0</v>
      </c>
      <c r="FG34" s="211">
        <f t="shared" si="50"/>
        <v>0</v>
      </c>
      <c r="FH34" s="211">
        <f t="shared" si="50"/>
        <v>0</v>
      </c>
      <c r="FI34" s="211">
        <f t="shared" si="50"/>
        <v>0</v>
      </c>
      <c r="FJ34" s="211">
        <f t="shared" si="50"/>
        <v>0</v>
      </c>
      <c r="FK34" s="211">
        <f t="shared" si="50"/>
        <v>0</v>
      </c>
      <c r="FL34" s="211">
        <f t="shared" si="50"/>
        <v>0</v>
      </c>
      <c r="FM34" s="211">
        <f t="shared" si="50"/>
        <v>0</v>
      </c>
      <c r="FN34" s="211">
        <f t="shared" si="50"/>
        <v>0</v>
      </c>
      <c r="FO34" s="211">
        <f t="shared" si="50"/>
        <v>0</v>
      </c>
      <c r="FP34" s="211">
        <f t="shared" si="50"/>
        <v>0</v>
      </c>
      <c r="FQ34" s="211">
        <f t="shared" si="50"/>
        <v>0</v>
      </c>
      <c r="FR34" s="211">
        <f t="shared" si="50"/>
        <v>0</v>
      </c>
      <c r="FS34" s="211">
        <f t="shared" si="50"/>
        <v>0</v>
      </c>
      <c r="FT34" s="211">
        <f t="shared" si="50"/>
        <v>0</v>
      </c>
      <c r="FU34" s="211">
        <f t="shared" si="50"/>
        <v>0</v>
      </c>
      <c r="FV34" s="211">
        <f t="shared" si="50"/>
        <v>0</v>
      </c>
      <c r="FW34" s="211">
        <f t="shared" si="50"/>
        <v>0</v>
      </c>
      <c r="FX34" s="211">
        <f t="shared" si="50"/>
        <v>0</v>
      </c>
      <c r="FY34" s="211">
        <f t="shared" si="50"/>
        <v>0</v>
      </c>
      <c r="FZ34" s="211">
        <f t="shared" si="50"/>
        <v>0</v>
      </c>
    </row>
    <row r="35" spans="1:182" ht="16.5" customHeight="1" thickBot="1" x14ac:dyDescent="0.3">
      <c r="A35" s="214" t="s">
        <v>290</v>
      </c>
      <c r="B35" s="204">
        <f>IF(B$3&gt;='20_FINANCIACION'!$B$14,MIN('20_FINANCIACION'!$B$15*MAX(0,'30_CASHFLOW'!B19),0+B29+B33),0)</f>
        <v>0</v>
      </c>
      <c r="C35" s="204">
        <f>IF(C$3&gt;='20_FINANCIACION'!$B$14,MIN('20_FINANCIACION'!$B$15*MAX(0,'30_CASHFLOW'!C19),B40+C29+C33),0)</f>
        <v>0</v>
      </c>
      <c r="D35" s="204">
        <f>IF(D$3&gt;='20_FINANCIACION'!$B$14,MIN('20_FINANCIACION'!$B$15*MAX(0,'30_CASHFLOW'!D19),C40+D29+D33),0)</f>
        <v>0</v>
      </c>
      <c r="E35" s="204">
        <f>IF(E$3&gt;='20_FINANCIACION'!$B$14,MIN('20_FINANCIACION'!$B$15*MAX(0,'30_CASHFLOW'!E19),D40+E29+E33),0)</f>
        <v>0</v>
      </c>
      <c r="F35" s="204">
        <f>IF(F$3&gt;='20_FINANCIACION'!$B$14,MIN('20_FINANCIACION'!$B$15*MAX(0,'30_CASHFLOW'!F19),E40+F29+F33),0)</f>
        <v>0</v>
      </c>
      <c r="G35" s="204">
        <f>IF(G$3&gt;='20_FINANCIACION'!$B$14,MIN('20_FINANCIACION'!$B$15*MAX(0,'30_CASHFLOW'!G19),F40+G29+G33),0)</f>
        <v>0</v>
      </c>
      <c r="H35" s="204">
        <f>IF(H$3&gt;='20_FINANCIACION'!$B$14,MIN('20_FINANCIACION'!$B$15*MAX(0,'30_CASHFLOW'!H19),G40+H29+H33),0)</f>
        <v>0</v>
      </c>
      <c r="I35" s="204">
        <f>IF(I$3&gt;='20_FINANCIACION'!$B$14,MIN('20_FINANCIACION'!$B$15*MAX(0,'30_CASHFLOW'!I19),H40+I29+I33),0)</f>
        <v>0</v>
      </c>
      <c r="J35" s="204">
        <f>IF(J$3&gt;='20_FINANCIACION'!$B$14,MIN('20_FINANCIACION'!$B$15*MAX(0,'30_CASHFLOW'!J19),I40+J29+J33),0)</f>
        <v>0</v>
      </c>
      <c r="K35" s="204">
        <f>IF(K$3&gt;='20_FINANCIACION'!$B$14,MIN('20_FINANCIACION'!$B$15*MAX(0,'30_CASHFLOW'!K19),J40+K29+K33),0)</f>
        <v>0</v>
      </c>
      <c r="L35" s="204">
        <f>IF(L$3&gt;='20_FINANCIACION'!$B$14,MIN('20_FINANCIACION'!$B$15*MAX(0,'30_CASHFLOW'!L19),K40+L29+L33),0)</f>
        <v>0</v>
      </c>
      <c r="M35" s="204">
        <f>IF(M$3&gt;='20_FINANCIACION'!$B$14,MIN('20_FINANCIACION'!$B$15*MAX(0,'30_CASHFLOW'!M19),L40+M29+M33),0)</f>
        <v>0</v>
      </c>
      <c r="N35" s="204">
        <f>IF(N$3&gt;='20_FINANCIACION'!$B$14,MIN('20_FINANCIACION'!$B$15*MAX(0,'30_CASHFLOW'!N19),M40+N29+N33),0)</f>
        <v>0</v>
      </c>
      <c r="O35" s="204">
        <f>IF(O$3&gt;='20_FINANCIACION'!$B$14,MIN('20_FINANCIACION'!$B$15*MAX(0,'30_CASHFLOW'!O19),N40+O29+O33),0)</f>
        <v>0</v>
      </c>
      <c r="P35" s="204">
        <f>IF(P$3&gt;='20_FINANCIACION'!$B$14,MIN('20_FINANCIACION'!$B$15*MAX(0,'30_CASHFLOW'!P19),O40+P29+P33),0)</f>
        <v>0</v>
      </c>
      <c r="Q35" s="204">
        <f>IF(Q$3&gt;='20_FINANCIACION'!$B$14,MIN('20_FINANCIACION'!$B$15*MAX(0,'30_CASHFLOW'!Q19),P40+Q29+Q33),0)</f>
        <v>0</v>
      </c>
      <c r="R35" s="204">
        <f>IF(R$3&gt;='20_FINANCIACION'!$B$14,MIN('20_FINANCIACION'!$B$15*MAX(0,'30_CASHFLOW'!R19),Q40+R29+R33),0)</f>
        <v>0</v>
      </c>
      <c r="S35" s="204">
        <f>IF(S$3&gt;='20_FINANCIACION'!$B$14,MIN('20_FINANCIACION'!$B$15*MAX(0,'30_CASHFLOW'!S19),R40+S29+S33),0)</f>
        <v>0</v>
      </c>
      <c r="T35" s="204">
        <f>IF(T$3&gt;='20_FINANCIACION'!$B$14,MIN('20_FINANCIACION'!$B$15*MAX(0,'30_CASHFLOW'!T19),S40+T29+T33),0)</f>
        <v>0</v>
      </c>
      <c r="U35" s="204">
        <f>IF(U$3&gt;='20_FINANCIACION'!$B$14,MIN('20_FINANCIACION'!$B$15*MAX(0,'30_CASHFLOW'!U19),T40+U29+U33),0)</f>
        <v>0</v>
      </c>
      <c r="V35" s="204">
        <f>IF(V$3&gt;='20_FINANCIACION'!$B$14,MIN('20_FINANCIACION'!$B$15*MAX(0,'30_CASHFLOW'!V19),U40+V29+V33),0)</f>
        <v>0</v>
      </c>
      <c r="W35" s="204">
        <f>IF(W$3&gt;='20_FINANCIACION'!$B$14,MIN('20_FINANCIACION'!$B$15*MAX(0,'30_CASHFLOW'!W19),V40+W29+W33),0)</f>
        <v>0</v>
      </c>
      <c r="X35" s="204">
        <f>IF(X$3&gt;='20_FINANCIACION'!$B$14,MIN('20_FINANCIACION'!$B$15*MAX(0,'30_CASHFLOW'!X19),W40+X29+X33),0)</f>
        <v>0</v>
      </c>
      <c r="Y35" s="204">
        <f>IF(Y$3&gt;='20_FINANCIACION'!$B$14,MIN('20_FINANCIACION'!$B$15*MAX(0,'30_CASHFLOW'!Y19),X40+Y29+Y33),0)</f>
        <v>0</v>
      </c>
      <c r="Z35" s="204">
        <f>IF(Z$3&gt;='20_FINANCIACION'!$B$14,MIN('20_FINANCIACION'!$B$15*MAX(0,'30_CASHFLOW'!Z19),Y40+Z29+Z33),0)</f>
        <v>0</v>
      </c>
      <c r="AA35" s="204">
        <f>IF(AA$3&gt;='20_FINANCIACION'!$B$14,MIN('20_FINANCIACION'!$B$15*MAX(0,'30_CASHFLOW'!AA19),Z40+AA29+AA33),0)</f>
        <v>0</v>
      </c>
      <c r="AB35" s="204">
        <f>IF(AB$3&gt;='20_FINANCIACION'!$B$14,MIN('20_FINANCIACION'!$B$15*MAX(0,'30_CASHFLOW'!AB19),AA40+AB29+AB33),0)</f>
        <v>0</v>
      </c>
      <c r="AC35" s="204">
        <f>IF(AC$3&gt;='20_FINANCIACION'!$B$14,MIN('20_FINANCIACION'!$B$15*MAX(0,'30_CASHFLOW'!AC19),AB40+AC29+AC33),0)</f>
        <v>0</v>
      </c>
      <c r="AD35" s="204">
        <f>IF(AD$3&gt;='20_FINANCIACION'!$B$14,MIN('20_FINANCIACION'!$B$15*MAX(0,'30_CASHFLOW'!AD19),AC40+AD29+AD33),0)</f>
        <v>0</v>
      </c>
      <c r="AE35" s="204">
        <f>IF(AE$3&gt;='20_FINANCIACION'!$B$14,MIN('20_FINANCIACION'!$B$15*MAX(0,'30_CASHFLOW'!AE19),AD40+AE29+AE33),0)</f>
        <v>0</v>
      </c>
      <c r="AF35" s="204">
        <f>IF(AF$3&gt;='20_FINANCIACION'!$B$14,MIN('20_FINANCIACION'!$B$15*MAX(0,'30_CASHFLOW'!AF19),AE40+AF29+AF33),0)</f>
        <v>0</v>
      </c>
      <c r="AG35" s="204">
        <f>IF(AG$3&gt;='20_FINANCIACION'!$B$14,MIN('20_FINANCIACION'!$B$15*MAX(0,'30_CASHFLOW'!AG19),AF40+AG29+AG33),0)</f>
        <v>0</v>
      </c>
      <c r="AH35" s="204">
        <f>IF(AH$3&gt;='20_FINANCIACION'!$B$14,MIN('20_FINANCIACION'!$B$15*MAX(0,'30_CASHFLOW'!AH19),AG40+AH29+AH33),0)</f>
        <v>0</v>
      </c>
      <c r="AI35" s="204">
        <f>IF(AI$3&gt;='20_FINANCIACION'!$B$14,MIN('20_FINANCIACION'!$B$15*MAX(0,'30_CASHFLOW'!AI19),AH40+AI29+AI33),0)</f>
        <v>0</v>
      </c>
      <c r="AJ35" s="204">
        <f>IF(AJ$3&gt;='20_FINANCIACION'!$B$14,MIN('20_FINANCIACION'!$B$15*MAX(0,'30_CASHFLOW'!AJ19),AI40+AJ29+AJ33),0)</f>
        <v>0</v>
      </c>
      <c r="AK35" s="204">
        <f>IF(AK$3&gt;='20_FINANCIACION'!$B$14,MIN('20_FINANCIACION'!$B$15*MAX(0,'30_CASHFLOW'!AK19),AJ40+AK29+AK33),0)</f>
        <v>4531319.0559085188</v>
      </c>
      <c r="AL35" s="204">
        <f>IF(AL$3&gt;='20_FINANCIACION'!$B$14,MIN('20_FINANCIACION'!$B$15*MAX(0,'30_CASHFLOW'!AL19),AK40+AL29+AL33),0)</f>
        <v>0</v>
      </c>
      <c r="AM35" s="204">
        <f>IF(AM$3&gt;='20_FINANCIACION'!$B$14,MIN('20_FINANCIACION'!$B$15*MAX(0,'30_CASHFLOW'!AM19),AL40+AM29+AM33),0)</f>
        <v>0</v>
      </c>
      <c r="AN35" s="204">
        <f>IF(AN$3&gt;='20_FINANCIACION'!$B$14,MIN('20_FINANCIACION'!$B$15*MAX(0,'30_CASHFLOW'!AN19),AM40+AN29+AN33),0)</f>
        <v>0</v>
      </c>
      <c r="AO35" s="204">
        <f>IF(AO$3&gt;='20_FINANCIACION'!$B$14,MIN('20_FINANCIACION'!$B$15*MAX(0,'30_CASHFLOW'!AO19),AN40+AO29+AO33),0)</f>
        <v>0</v>
      </c>
      <c r="AP35" s="204">
        <f>IF(AP$3&gt;='20_FINANCIACION'!$B$14,MIN('20_FINANCIACION'!$B$15*MAX(0,'30_CASHFLOW'!AP19),AO40+AP29+AP33),0)</f>
        <v>0</v>
      </c>
      <c r="AQ35" s="204">
        <f>IF(AQ$3&gt;='20_FINANCIACION'!$B$14,MIN('20_FINANCIACION'!$B$15*MAX(0,'30_CASHFLOW'!AQ19),AP40+AQ29+AQ33),0)</f>
        <v>0</v>
      </c>
      <c r="AR35" s="204">
        <f>IF(AR$3&gt;='20_FINANCIACION'!$B$14,MIN('20_FINANCIACION'!$B$15*MAX(0,'30_CASHFLOW'!AR19),AQ40+AR29+AR33),0)</f>
        <v>0</v>
      </c>
      <c r="AS35" s="204">
        <f>IF(AS$3&gt;='20_FINANCIACION'!$B$14,MIN('20_FINANCIACION'!$B$15*MAX(0,'30_CASHFLOW'!AS19),AR40+AS29+AS33),0)</f>
        <v>0</v>
      </c>
      <c r="AT35" s="204">
        <f>IF(AT$3&gt;='20_FINANCIACION'!$B$14,MIN('20_FINANCIACION'!$B$15*MAX(0,'30_CASHFLOW'!AT19),AS40+AT29+AT33),0)</f>
        <v>0</v>
      </c>
      <c r="AU35" s="204">
        <f>IF(AU$3&gt;='20_FINANCIACION'!$B$14,MIN('20_FINANCIACION'!$B$15*MAX(0,'30_CASHFLOW'!AU19),AT40+AU29+AU33),0)</f>
        <v>0</v>
      </c>
      <c r="AV35" s="204">
        <f>IF(AV$3&gt;='20_FINANCIACION'!$B$14,MIN('20_FINANCIACION'!$B$15*MAX(0,'30_CASHFLOW'!AV19),AU40+AV29+AV33),0)</f>
        <v>0</v>
      </c>
      <c r="AW35" s="204">
        <f>IF(AW$3&gt;='20_FINANCIACION'!$B$14,MIN('20_FINANCIACION'!$B$15*MAX(0,'30_CASHFLOW'!AW19),AV40+AW29+AW33),0)</f>
        <v>0</v>
      </c>
      <c r="AX35" s="204">
        <f>IF(AX$3&gt;='20_FINANCIACION'!$B$14,MIN('20_FINANCIACION'!$B$15*MAX(0,'30_CASHFLOW'!AX19),AW40+AX29+AX33),0)</f>
        <v>0</v>
      </c>
      <c r="AY35" s="204">
        <f>IF(AY$3&gt;='20_FINANCIACION'!$B$14,MIN('20_FINANCIACION'!$B$15*MAX(0,'30_CASHFLOW'!AY19),AX40+AY29+AY33),0)</f>
        <v>0</v>
      </c>
      <c r="AZ35" s="204">
        <f>IF(AZ$3&gt;='20_FINANCIACION'!$B$14,MIN('20_FINANCIACION'!$B$15*MAX(0,'30_CASHFLOW'!AZ19),AY40+AZ29+AZ33),0)</f>
        <v>0</v>
      </c>
      <c r="BA35" s="204">
        <f>IF(BA$3&gt;='20_FINANCIACION'!$B$14,MIN('20_FINANCIACION'!$B$15*MAX(0,'30_CASHFLOW'!BA19),AZ40+BA29+BA33),0)</f>
        <v>0</v>
      </c>
      <c r="BB35" s="204">
        <f>IF(BB$3&gt;='20_FINANCIACION'!$B$14,MIN('20_FINANCIACION'!$B$15*MAX(0,'30_CASHFLOW'!BB19),BA40+BB29+BB33),0)</f>
        <v>0</v>
      </c>
      <c r="BC35" s="204">
        <f>IF(BC$3&gt;='20_FINANCIACION'!$B$14,MIN('20_FINANCIACION'!$B$15*MAX(0,'30_CASHFLOW'!BC19),BB40+BC29+BC33),0)</f>
        <v>0</v>
      </c>
      <c r="BD35" s="204">
        <f>IF(BD$3&gt;='20_FINANCIACION'!$B$14,MIN('20_FINANCIACION'!$B$15*MAX(0,'30_CASHFLOW'!BD19),BC40+BD29+BD33),0)</f>
        <v>0</v>
      </c>
      <c r="BE35" s="204">
        <f>IF(BE$3&gt;='20_FINANCIACION'!$B$14,MIN('20_FINANCIACION'!$B$15*MAX(0,'30_CASHFLOW'!BE19),BD40+BE29+BE33),0)</f>
        <v>0</v>
      </c>
      <c r="BF35" s="204">
        <f>IF(BF$3&gt;='20_FINANCIACION'!$B$14,MIN('20_FINANCIACION'!$B$15*MAX(0,'30_CASHFLOW'!BF19),BE40+BF29+BF33),0)</f>
        <v>0</v>
      </c>
      <c r="BG35" s="204">
        <f>IF(BG$3&gt;='20_FINANCIACION'!$B$14,MIN('20_FINANCIACION'!$B$15*MAX(0,'30_CASHFLOW'!BG19),BF40+BG29+BG33),0)</f>
        <v>0</v>
      </c>
      <c r="BH35" s="204">
        <f>IF(BH$3&gt;='20_FINANCIACION'!$B$14,MIN('20_FINANCIACION'!$B$15*MAX(0,'30_CASHFLOW'!BH19),BG40+BH29+BH33),0)</f>
        <v>0</v>
      </c>
      <c r="BI35" s="204">
        <f>IF(BI$3&gt;='20_FINANCIACION'!$B$14,MIN('20_FINANCIACION'!$B$15*MAX(0,'30_CASHFLOW'!BI19),BH40+BI29+BI33),0)</f>
        <v>0</v>
      </c>
      <c r="BJ35" s="204">
        <f>IF(BJ$3&gt;='20_FINANCIACION'!$B$14,MIN('20_FINANCIACION'!$B$15*MAX(0,'30_CASHFLOW'!BJ19),BI40+BJ29+BJ33),0)</f>
        <v>0</v>
      </c>
      <c r="BK35" s="204">
        <f>IF(BK$3&gt;='20_FINANCIACION'!$B$14,MIN('20_FINANCIACION'!$B$15*MAX(0,'30_CASHFLOW'!BK19),BJ40+BK29+BK33),0)</f>
        <v>0</v>
      </c>
      <c r="BL35" s="204">
        <f>IF(BL$3&gt;='20_FINANCIACION'!$B$14,MIN('20_FINANCIACION'!$B$15*MAX(0,'30_CASHFLOW'!BL19),BK40+BL29+BL33),0)</f>
        <v>0</v>
      </c>
      <c r="BM35" s="204">
        <f>IF(BM$3&gt;='20_FINANCIACION'!$B$14,MIN('20_FINANCIACION'!$B$15*MAX(0,'30_CASHFLOW'!BM19),BL40+BM29+BM33),0)</f>
        <v>0</v>
      </c>
      <c r="BN35" s="204">
        <f>IF(BN$3&gt;='20_FINANCIACION'!$B$14,MIN('20_FINANCIACION'!$B$15*MAX(0,'30_CASHFLOW'!BN19),BM40+BN29+BN33),0)</f>
        <v>0</v>
      </c>
      <c r="BO35" s="204">
        <f>IF(BO$3&gt;='20_FINANCIACION'!$B$14,MIN('20_FINANCIACION'!$B$15*MAX(0,'30_CASHFLOW'!BO19),BN40+BO29+BO33),0)</f>
        <v>0</v>
      </c>
      <c r="BP35" s="204">
        <f>IF(BP$3&gt;='20_FINANCIACION'!$B$14,MIN('20_FINANCIACION'!$B$15*MAX(0,'30_CASHFLOW'!BP19),BO40+BP29+BP33),0)</f>
        <v>0</v>
      </c>
      <c r="BQ35" s="204">
        <f>IF(BQ$3&gt;='20_FINANCIACION'!$B$14,MIN('20_FINANCIACION'!$B$15*MAX(0,'30_CASHFLOW'!BQ19),BP40+BQ29+BQ33),0)</f>
        <v>0</v>
      </c>
      <c r="BR35" s="204">
        <f>IF(BR$3&gt;='20_FINANCIACION'!$B$14,MIN('20_FINANCIACION'!$B$15*MAX(0,'30_CASHFLOW'!BR19),BQ40+BR29+BR33),0)</f>
        <v>0</v>
      </c>
      <c r="BS35" s="204">
        <f>IF(BS$3&gt;='20_FINANCIACION'!$B$14,MIN('20_FINANCIACION'!$B$15*MAX(0,'30_CASHFLOW'!BS19),BR40+BS29+BS33),0)</f>
        <v>0</v>
      </c>
      <c r="BT35" s="204">
        <f>IF(BT$3&gt;='20_FINANCIACION'!$B$14,MIN('20_FINANCIACION'!$B$15*MAX(0,'30_CASHFLOW'!BT19),BS40+BT29+BT33),0)</f>
        <v>0</v>
      </c>
      <c r="BU35" s="204">
        <f>IF(BU$3&gt;='20_FINANCIACION'!$B$14,MIN('20_FINANCIACION'!$B$15*MAX(0,'30_CASHFLOW'!BU19),BT40+BU29+BU33),0)</f>
        <v>0</v>
      </c>
      <c r="BV35" s="204">
        <f>IF(BV$3&gt;='20_FINANCIACION'!$B$14,MIN('20_FINANCIACION'!$B$15*MAX(0,'30_CASHFLOW'!BV19),BU40+BV29+BV33),0)</f>
        <v>0</v>
      </c>
      <c r="BW35" s="204">
        <f>IF(BW$3&gt;='20_FINANCIACION'!$B$14,MIN('20_FINANCIACION'!$B$15*MAX(0,'30_CASHFLOW'!BW19),BV40+BW29+BW33),0)</f>
        <v>0</v>
      </c>
      <c r="BX35" s="204">
        <f>IF(BX$3&gt;='20_FINANCIACION'!$B$14,MIN('20_FINANCIACION'!$B$15*MAX(0,'30_CASHFLOW'!BX19),BW40+BX29+BX33),0)</f>
        <v>0</v>
      </c>
      <c r="BY35" s="204">
        <f>IF(BY$3&gt;='20_FINANCIACION'!$B$14,MIN('20_FINANCIACION'!$B$15*MAX(0,'30_CASHFLOW'!BY19),BX40+BY29+BY33),0)</f>
        <v>0</v>
      </c>
      <c r="BZ35" s="204">
        <f>IF(BZ$3&gt;='20_FINANCIACION'!$B$14,MIN('20_FINANCIACION'!$B$15*MAX(0,'30_CASHFLOW'!BZ19),BY40+BZ29+BZ33),0)</f>
        <v>0</v>
      </c>
      <c r="CA35" s="204">
        <f>IF(CA$3&gt;='20_FINANCIACION'!$B$14,MIN('20_FINANCIACION'!$B$15*MAX(0,'30_CASHFLOW'!CA19),BZ40+CA29+CA33),0)</f>
        <v>0</v>
      </c>
      <c r="CB35" s="204">
        <f>IF(CB$3&gt;='20_FINANCIACION'!$B$14,MIN('20_FINANCIACION'!$B$15*MAX(0,'30_CASHFLOW'!CB19),CA40+CB29+CB33),0)</f>
        <v>0</v>
      </c>
      <c r="CC35" s="204">
        <f>IF(CC$3&gt;='20_FINANCIACION'!$B$14,MIN('20_FINANCIACION'!$B$15*MAX(0,'30_CASHFLOW'!CC19),CB40+CC29+CC33),0)</f>
        <v>0</v>
      </c>
      <c r="CD35" s="204">
        <f>IF(CD$3&gt;='20_FINANCIACION'!$B$14,MIN('20_FINANCIACION'!$B$15*MAX(0,'30_CASHFLOW'!CD19),CC40+CD29+CD33),0)</f>
        <v>0</v>
      </c>
      <c r="CE35" s="204">
        <f>IF(CE$3&gt;='20_FINANCIACION'!$B$14,MIN('20_FINANCIACION'!$B$15*MAX(0,'30_CASHFLOW'!CE19),CD40+CE29+CE33),0)</f>
        <v>0</v>
      </c>
      <c r="CF35" s="204">
        <f>IF(CF$3&gt;='20_FINANCIACION'!$B$14,MIN('20_FINANCIACION'!$B$15*MAX(0,'30_CASHFLOW'!CF19),CE40+CF29+CF33),0)</f>
        <v>0</v>
      </c>
      <c r="CG35" s="204">
        <f>IF(CG$3&gt;='20_FINANCIACION'!$B$14,MIN('20_FINANCIACION'!$B$15*MAX(0,'30_CASHFLOW'!CG19),CF40+CG29+CG33),0)</f>
        <v>0</v>
      </c>
      <c r="CH35" s="204">
        <f>IF(CH$3&gt;='20_FINANCIACION'!$B$14,MIN('20_FINANCIACION'!$B$15*MAX(0,'30_CASHFLOW'!CH19),CG40+CH29+CH33),0)</f>
        <v>0</v>
      </c>
      <c r="CI35" s="204">
        <f>IF(CI$3&gt;='20_FINANCIACION'!$B$14,MIN('20_FINANCIACION'!$B$15*MAX(0,'30_CASHFLOW'!CI19),CH40+CI29+CI33),0)</f>
        <v>0</v>
      </c>
      <c r="CJ35" s="204">
        <f>IF(CJ$3&gt;='20_FINANCIACION'!$B$14,MIN('20_FINANCIACION'!$B$15*MAX(0,'30_CASHFLOW'!CJ19),CI40+CJ29+CJ33),0)</f>
        <v>0</v>
      </c>
      <c r="CK35" s="204">
        <f>IF(CK$3&gt;='20_FINANCIACION'!$B$14,MIN('20_FINANCIACION'!$B$15*MAX(0,'30_CASHFLOW'!CK19),CJ40+CK29+CK33),0)</f>
        <v>0</v>
      </c>
      <c r="CL35" s="204">
        <f>IF(CL$3&gt;='20_FINANCIACION'!$B$14,MIN('20_FINANCIACION'!$B$15*MAX(0,'30_CASHFLOW'!CL19),CK40+CL29+CL33),0)</f>
        <v>0</v>
      </c>
      <c r="CM35" s="204">
        <f>IF(CM$3&gt;='20_FINANCIACION'!$B$14,MIN('20_FINANCIACION'!$B$15*MAX(0,'30_CASHFLOW'!CM19),CL40+CM29+CM33),0)</f>
        <v>0</v>
      </c>
      <c r="CN35" s="204">
        <f>IF(CN$3&gt;='20_FINANCIACION'!$B$14,MIN('20_FINANCIACION'!$B$15*MAX(0,'30_CASHFLOW'!CN19),CM40+CN29+CN33),0)</f>
        <v>0</v>
      </c>
      <c r="CO35" s="204">
        <f>IF(CO$3&gt;='20_FINANCIACION'!$B$14,MIN('20_FINANCIACION'!$B$15*MAX(0,'30_CASHFLOW'!CO19),CN40+CO29+CO33),0)</f>
        <v>0</v>
      </c>
      <c r="CP35" s="204">
        <f>IF(CP$3&gt;='20_FINANCIACION'!$B$14,MIN('20_FINANCIACION'!$B$15*MAX(0,'30_CASHFLOW'!CP19),CO40+CP29+CP33),0)</f>
        <v>0</v>
      </c>
      <c r="CQ35" s="204">
        <f>IF(CQ$3&gt;='20_FINANCIACION'!$B$14,MIN('20_FINANCIACION'!$B$15*MAX(0,'30_CASHFLOW'!CQ19),CP40+CQ29+CQ33),0)</f>
        <v>0</v>
      </c>
      <c r="CR35" s="204">
        <f>IF(CR$3&gt;='20_FINANCIACION'!$B$14,MIN('20_FINANCIACION'!$B$15*MAX(0,'30_CASHFLOW'!CR19),CQ40+CR29+CR33),0)</f>
        <v>0</v>
      </c>
      <c r="CS35" s="204">
        <f>IF(CS$3&gt;='20_FINANCIACION'!$B$14,MIN('20_FINANCIACION'!$B$15*MAX(0,'30_CASHFLOW'!CS19),CR40+CS29+CS33),0)</f>
        <v>0</v>
      </c>
      <c r="CT35" s="204">
        <f>IF(CT$3&gt;='20_FINANCIACION'!$B$14,MIN('20_FINANCIACION'!$B$15*MAX(0,'30_CASHFLOW'!CT19),CS40+CT29+CT33),0)</f>
        <v>0</v>
      </c>
      <c r="CU35" s="204">
        <f>IF(CU$3&gt;='20_FINANCIACION'!$B$14,MIN('20_FINANCIACION'!$B$15*MAX(0,'30_CASHFLOW'!CU19),CT40+CU29+CU33),0)</f>
        <v>0</v>
      </c>
      <c r="CV35" s="204">
        <f>IF(CV$3&gt;='20_FINANCIACION'!$B$14,MIN('20_FINANCIACION'!$B$15*MAX(0,'30_CASHFLOW'!CV19),CU40+CV29+CV33),0)</f>
        <v>0</v>
      </c>
      <c r="CW35" s="204">
        <f>IF(CW$3&gt;='20_FINANCIACION'!$B$14,MIN('20_FINANCIACION'!$B$15*MAX(0,'30_CASHFLOW'!CW19),CV40+CW29+CW33),0)</f>
        <v>0</v>
      </c>
      <c r="CX35" s="204">
        <f>IF(CX$3&gt;='20_FINANCIACION'!$B$14,MIN('20_FINANCIACION'!$B$15*MAX(0,'30_CASHFLOW'!CX19),CW40+CX29+CX33),0)</f>
        <v>0</v>
      </c>
      <c r="CY35" s="204">
        <f>IF(CY$3&gt;='20_FINANCIACION'!$B$14,MIN('20_FINANCIACION'!$B$15*MAX(0,'30_CASHFLOW'!CY19),CX40+CY29+CY33),0)</f>
        <v>0</v>
      </c>
      <c r="CZ35" s="204">
        <f>IF(CZ$3&gt;='20_FINANCIACION'!$B$14,MIN('20_FINANCIACION'!$B$15*MAX(0,'30_CASHFLOW'!CZ19),CY40+CZ29+CZ33),0)</f>
        <v>0</v>
      </c>
      <c r="DA35" s="204">
        <f>IF(DA$3&gt;='20_FINANCIACION'!$B$14,MIN('20_FINANCIACION'!$B$15*MAX(0,'30_CASHFLOW'!DA19),CZ40+DA29+DA33),0)</f>
        <v>0</v>
      </c>
      <c r="DB35" s="204">
        <f>IF(DB$3&gt;='20_FINANCIACION'!$B$14,MIN('20_FINANCIACION'!$B$15*MAX(0,'30_CASHFLOW'!DB19),DA40+DB29+DB33),0)</f>
        <v>0</v>
      </c>
      <c r="DC35" s="204">
        <f>IF(DC$3&gt;='20_FINANCIACION'!$B$14,MIN('20_FINANCIACION'!$B$15*MAX(0,'30_CASHFLOW'!DC19),DB40+DC29+DC33),0)</f>
        <v>0</v>
      </c>
      <c r="DD35" s="204">
        <f>IF(DD$3&gt;='20_FINANCIACION'!$B$14,MIN('20_FINANCIACION'!$B$15*MAX(0,'30_CASHFLOW'!DD19),DC40+DD29+DD33),0)</f>
        <v>0</v>
      </c>
      <c r="DE35" s="204">
        <f>IF(DE$3&gt;='20_FINANCIACION'!$B$14,MIN('20_FINANCIACION'!$B$15*MAX(0,'30_CASHFLOW'!DE19),DD40+DE29+DE33),0)</f>
        <v>0</v>
      </c>
      <c r="DF35" s="204">
        <f>IF(DF$3&gt;='20_FINANCIACION'!$B$14,MIN('20_FINANCIACION'!$B$15*MAX(0,'30_CASHFLOW'!DF19),DE40+DF29+DF33),0)</f>
        <v>0</v>
      </c>
      <c r="DG35" s="204">
        <f>IF(DG$3&gt;='20_FINANCIACION'!$B$14,MIN('20_FINANCIACION'!$B$15*MAX(0,'30_CASHFLOW'!DG19),DF40+DG29+DG33),0)</f>
        <v>0</v>
      </c>
      <c r="DH35" s="204">
        <f>IF(DH$3&gt;='20_FINANCIACION'!$B$14,MIN('20_FINANCIACION'!$B$15*MAX(0,'30_CASHFLOW'!DH19),DG40+DH29+DH33),0)</f>
        <v>0</v>
      </c>
      <c r="DI35" s="204">
        <f>IF(DI$3&gt;='20_FINANCIACION'!$B$14,MIN('20_FINANCIACION'!$B$15*MAX(0,'30_CASHFLOW'!DI19),DH40+DI29+DI33),0)</f>
        <v>0</v>
      </c>
      <c r="DJ35" s="204">
        <f>IF(DJ$3&gt;='20_FINANCIACION'!$B$14,MIN('20_FINANCIACION'!$B$15*MAX(0,'30_CASHFLOW'!DJ19),DI40+DJ29+DJ33),0)</f>
        <v>0</v>
      </c>
      <c r="DK35" s="204">
        <f>IF(DK$3&gt;='20_FINANCIACION'!$B$14,MIN('20_FINANCIACION'!$B$15*MAX(0,'30_CASHFLOW'!DK19),DJ40+DK29+DK33),0)</f>
        <v>0</v>
      </c>
      <c r="DL35" s="204">
        <f>IF(DL$3&gt;='20_FINANCIACION'!$B$14,MIN('20_FINANCIACION'!$B$15*MAX(0,'30_CASHFLOW'!DL19),DK40+DL29+DL33),0)</f>
        <v>0</v>
      </c>
      <c r="DM35" s="204">
        <f>IF(DM$3&gt;='20_FINANCIACION'!$B$14,MIN('20_FINANCIACION'!$B$15*MAX(0,'30_CASHFLOW'!DM19),DL40+DM29+DM33),0)</f>
        <v>0</v>
      </c>
      <c r="DN35" s="204">
        <f>IF(DN$3&gt;='20_FINANCIACION'!$B$14,MIN('20_FINANCIACION'!$B$15*MAX(0,'30_CASHFLOW'!DN19),DM40+DN29+DN33),0)</f>
        <v>0</v>
      </c>
      <c r="DO35" s="204">
        <f>IF(DO$3&gt;='20_FINANCIACION'!$B$14,MIN('20_FINANCIACION'!$B$15*MAX(0,'30_CASHFLOW'!DO19),DN40+DO29+DO33),0)</f>
        <v>0</v>
      </c>
      <c r="DP35" s="204">
        <f>IF(DP$3&gt;='20_FINANCIACION'!$B$14,MIN('20_FINANCIACION'!$B$15*MAX(0,'30_CASHFLOW'!DP19),DO40+DP29+DP33),0)</f>
        <v>0</v>
      </c>
      <c r="DQ35" s="204">
        <f>IF(DQ$3&gt;='20_FINANCIACION'!$B$14,MIN('20_FINANCIACION'!$B$15*MAX(0,'30_CASHFLOW'!DQ19),DP40+DQ29+DQ33),0)</f>
        <v>0</v>
      </c>
      <c r="DR35" s="204">
        <f>IF(DR$3&gt;='20_FINANCIACION'!$B$14,MIN('20_FINANCIACION'!$B$15*MAX(0,'30_CASHFLOW'!DR19),DQ40+DR29+DR33),0)</f>
        <v>0</v>
      </c>
      <c r="DS35" s="204">
        <f>IF(DS$3&gt;='20_FINANCIACION'!$B$14,MIN('20_FINANCIACION'!$B$15*MAX(0,'30_CASHFLOW'!DS19),DR40+DS29+DS33),0)</f>
        <v>0</v>
      </c>
      <c r="DT35" s="204">
        <f>IF(DT$3&gt;='20_FINANCIACION'!$B$14,MIN('20_FINANCIACION'!$B$15*MAX(0,'30_CASHFLOW'!DT19),DS40+DT29+DT33),0)</f>
        <v>0</v>
      </c>
      <c r="DU35" s="204">
        <f>IF(DU$3&gt;='20_FINANCIACION'!$B$14,MIN('20_FINANCIACION'!$B$15*MAX(0,'30_CASHFLOW'!DU19),DT40+DU29+DU33),0)</f>
        <v>0</v>
      </c>
      <c r="DV35" s="204">
        <f>IF(DV$3&gt;='20_FINANCIACION'!$B$14,MIN('20_FINANCIACION'!$B$15*MAX(0,'30_CASHFLOW'!DV19),DU40+DV29+DV33),0)</f>
        <v>0</v>
      </c>
      <c r="DW35" s="204">
        <f>IF(DW$3&gt;='20_FINANCIACION'!$B$14,MIN('20_FINANCIACION'!$B$15*MAX(0,'30_CASHFLOW'!DW19),DV40+DW29+DW33),0)</f>
        <v>0</v>
      </c>
      <c r="DX35" s="204">
        <f>IF(DX$3&gt;='20_FINANCIACION'!$B$14,MIN('20_FINANCIACION'!$B$15*MAX(0,'30_CASHFLOW'!DX19),DW40+DX29+DX33),0)</f>
        <v>0</v>
      </c>
      <c r="DY35" s="204">
        <f>IF(DY$3&gt;='20_FINANCIACION'!$B$14,MIN('20_FINANCIACION'!$B$15*MAX(0,'30_CASHFLOW'!DY19),DX40+DY29+DY33),0)</f>
        <v>0</v>
      </c>
      <c r="DZ35" s="204">
        <f>IF(DZ$3&gt;='20_FINANCIACION'!$B$14,MIN('20_FINANCIACION'!$B$15*MAX(0,'30_CASHFLOW'!DZ19),DY40+DZ29+DZ33),0)</f>
        <v>0</v>
      </c>
      <c r="EA35" s="204">
        <f>IF(EA$3&gt;='20_FINANCIACION'!$B$14,MIN('20_FINANCIACION'!$B$15*MAX(0,'30_CASHFLOW'!EA19),DZ40+EA29+EA33),0)</f>
        <v>0</v>
      </c>
      <c r="EB35" s="204">
        <f>IF(EB$3&gt;='20_FINANCIACION'!$B$14,MIN('20_FINANCIACION'!$B$15*MAX(0,'30_CASHFLOW'!EB19),EA40+EB29+EB33),0)</f>
        <v>0</v>
      </c>
      <c r="EC35" s="204">
        <f>IF(EC$3&gt;='20_FINANCIACION'!$B$14,MIN('20_FINANCIACION'!$B$15*MAX(0,'30_CASHFLOW'!EC19),EB40+EC29+EC33),0)</f>
        <v>0</v>
      </c>
      <c r="ED35" s="204">
        <f>IF(ED$3&gt;='20_FINANCIACION'!$B$14,MIN('20_FINANCIACION'!$B$15*MAX(0,'30_CASHFLOW'!ED19),EC40+ED29+ED33),0)</f>
        <v>0</v>
      </c>
      <c r="EE35" s="204">
        <f>IF(EE$3&gt;='20_FINANCIACION'!$B$14,MIN('20_FINANCIACION'!$B$15*MAX(0,'30_CASHFLOW'!EE19),ED40+EE29+EE33),0)</f>
        <v>0</v>
      </c>
      <c r="EF35" s="204">
        <f>IF(EF$3&gt;='20_FINANCIACION'!$B$14,MIN('20_FINANCIACION'!$B$15*MAX(0,'30_CASHFLOW'!EF19),EE40+EF29+EF33),0)</f>
        <v>0</v>
      </c>
      <c r="EG35" s="204">
        <f>IF(EG$3&gt;='20_FINANCIACION'!$B$14,MIN('20_FINANCIACION'!$B$15*MAX(0,'30_CASHFLOW'!EG19),EF40+EG29+EG33),0)</f>
        <v>0</v>
      </c>
      <c r="EH35" s="204">
        <f>IF(EH$3&gt;='20_FINANCIACION'!$B$14,MIN('20_FINANCIACION'!$B$15*MAX(0,'30_CASHFLOW'!EH19),EG40+EH29+EH33),0)</f>
        <v>0</v>
      </c>
      <c r="EI35" s="204">
        <f>IF(EI$3&gt;='20_FINANCIACION'!$B$14,MIN('20_FINANCIACION'!$B$15*MAX(0,'30_CASHFLOW'!EI19),EH40+EI29+EI33),0)</f>
        <v>0</v>
      </c>
      <c r="EJ35" s="204">
        <f>IF(EJ$3&gt;='20_FINANCIACION'!$B$14,MIN('20_FINANCIACION'!$B$15*MAX(0,'30_CASHFLOW'!EJ19),EI40+EJ29+EJ33),0)</f>
        <v>0</v>
      </c>
      <c r="EK35" s="204">
        <f>IF(EK$3&gt;='20_FINANCIACION'!$B$14,MIN('20_FINANCIACION'!$B$15*MAX(0,'30_CASHFLOW'!EK19),EJ40+EK29+EK33),0)</f>
        <v>0</v>
      </c>
      <c r="EL35" s="204">
        <f>IF(EL$3&gt;='20_FINANCIACION'!$B$14,MIN('20_FINANCIACION'!$B$15*MAX(0,'30_CASHFLOW'!EL19),EK40+EL29+EL33),0)</f>
        <v>0</v>
      </c>
      <c r="EM35" s="204">
        <f>IF(EM$3&gt;='20_FINANCIACION'!$B$14,MIN('20_FINANCIACION'!$B$15*MAX(0,'30_CASHFLOW'!EM19),EL40+EM29+EM33),0)</f>
        <v>0</v>
      </c>
      <c r="EN35" s="204">
        <f>IF(EN$3&gt;='20_FINANCIACION'!$B$14,MIN('20_FINANCIACION'!$B$15*MAX(0,'30_CASHFLOW'!EN19),EM40+EN29+EN33),0)</f>
        <v>0</v>
      </c>
      <c r="EO35" s="204">
        <f>IF(EO$3&gt;='20_FINANCIACION'!$B$14,MIN('20_FINANCIACION'!$B$15*MAX(0,'30_CASHFLOW'!EO19),EN40+EO29+EO33),0)</f>
        <v>0</v>
      </c>
      <c r="EP35" s="204">
        <f>IF(EP$3&gt;='20_FINANCIACION'!$B$14,MIN('20_FINANCIACION'!$B$15*MAX(0,'30_CASHFLOW'!EP19),EO40+EP29+EP33),0)</f>
        <v>0</v>
      </c>
      <c r="EQ35" s="204">
        <f>IF(EQ$3&gt;='20_FINANCIACION'!$B$14,MIN('20_FINANCIACION'!$B$15*MAX(0,'30_CASHFLOW'!EQ19),EP40+EQ29+EQ33),0)</f>
        <v>0</v>
      </c>
      <c r="ER35" s="204">
        <f>IF(ER$3&gt;='20_FINANCIACION'!$B$14,MIN('20_FINANCIACION'!$B$15*MAX(0,'30_CASHFLOW'!ER19),EQ40+ER29+ER33),0)</f>
        <v>0</v>
      </c>
      <c r="ES35" s="204">
        <f>IF(ES$3&gt;='20_FINANCIACION'!$B$14,MIN('20_FINANCIACION'!$B$15*MAX(0,'30_CASHFLOW'!ES19),ER40+ES29+ES33),0)</f>
        <v>0</v>
      </c>
      <c r="ET35" s="204">
        <f>IF(ET$3&gt;='20_FINANCIACION'!$B$14,MIN('20_FINANCIACION'!$B$15*MAX(0,'30_CASHFLOW'!ET19),ES40+ET29+ET33),0)</f>
        <v>0</v>
      </c>
      <c r="EU35" s="204">
        <f>IF(EU$3&gt;='20_FINANCIACION'!$B$14,MIN('20_FINANCIACION'!$B$15*MAX(0,'30_CASHFLOW'!EU19),ET40+EU29+EU33),0)</f>
        <v>0</v>
      </c>
      <c r="EV35" s="204">
        <f>IF(EV$3&gt;='20_FINANCIACION'!$B$14,MIN('20_FINANCIACION'!$B$15*MAX(0,'30_CASHFLOW'!EV19),EU40+EV29+EV33),0)</f>
        <v>0</v>
      </c>
      <c r="EW35" s="204">
        <f>IF(EW$3&gt;='20_FINANCIACION'!$B$14,MIN('20_FINANCIACION'!$B$15*MAX(0,'30_CASHFLOW'!EW19),EV40+EW29+EW33),0)</f>
        <v>0</v>
      </c>
      <c r="EX35" s="204">
        <f>IF(EX$3&gt;='20_FINANCIACION'!$B$14,MIN('20_FINANCIACION'!$B$15*MAX(0,'30_CASHFLOW'!EX19),EW40+EX29+EX33),0)</f>
        <v>0</v>
      </c>
      <c r="EY35" s="204">
        <f>IF(EY$3&gt;='20_FINANCIACION'!$B$14,MIN('20_FINANCIACION'!$B$15*MAX(0,'30_CASHFLOW'!EY19),EX40+EY29+EY33),0)</f>
        <v>0</v>
      </c>
      <c r="EZ35" s="204">
        <f>IF(EZ$3&gt;='20_FINANCIACION'!$B$14,MIN('20_FINANCIACION'!$B$15*MAX(0,'30_CASHFLOW'!EZ19),EY40+EZ29+EZ33),0)</f>
        <v>0</v>
      </c>
      <c r="FA35" s="204">
        <f>IF(FA$3&gt;='20_FINANCIACION'!$B$14,MIN('20_FINANCIACION'!$B$15*MAX(0,'30_CASHFLOW'!FA19),EZ40+FA29+FA33),0)</f>
        <v>0</v>
      </c>
      <c r="FB35" s="204">
        <f>IF(FB$3&gt;='20_FINANCIACION'!$B$14,MIN('20_FINANCIACION'!$B$15*MAX(0,'30_CASHFLOW'!FB19),FA40+FB29+FB33),0)</f>
        <v>0</v>
      </c>
      <c r="FC35" s="204">
        <f>IF(FC$3&gt;='20_FINANCIACION'!$B$14,MIN('20_FINANCIACION'!$B$15*MAX(0,'30_CASHFLOW'!FC19),FB40+FC29+FC33),0)</f>
        <v>0</v>
      </c>
      <c r="FD35" s="204">
        <f>IF(FD$3&gt;='20_FINANCIACION'!$B$14,MIN('20_FINANCIACION'!$B$15*MAX(0,'30_CASHFLOW'!FD19),FC40+FD29+FD33),0)</f>
        <v>0</v>
      </c>
      <c r="FE35" s="204">
        <f>IF(FE$3&gt;='20_FINANCIACION'!$B$14,MIN('20_FINANCIACION'!$B$15*MAX(0,'30_CASHFLOW'!FE19),FD40+FE29+FE33),0)</f>
        <v>0</v>
      </c>
      <c r="FF35" s="204">
        <f>IF(FF$3&gt;='20_FINANCIACION'!$B$14,MIN('20_FINANCIACION'!$B$15*MAX(0,'30_CASHFLOW'!FF19),FE40+FF29+FF33),0)</f>
        <v>0</v>
      </c>
      <c r="FG35" s="204">
        <f>IF(FG$3&gt;='20_FINANCIACION'!$B$14,MIN('20_FINANCIACION'!$B$15*MAX(0,'30_CASHFLOW'!FG19),FF40+FG29+FG33),0)</f>
        <v>0</v>
      </c>
      <c r="FH35" s="204">
        <f>IF(FH$3&gt;='20_FINANCIACION'!$B$14,MIN('20_FINANCIACION'!$B$15*MAX(0,'30_CASHFLOW'!FH19),FG40+FH29+FH33),0)</f>
        <v>0</v>
      </c>
      <c r="FI35" s="204">
        <f>IF(FI$3&gt;='20_FINANCIACION'!$B$14,MIN('20_FINANCIACION'!$B$15*MAX(0,'30_CASHFLOW'!FI19),FH40+FI29+FI33),0)</f>
        <v>0</v>
      </c>
      <c r="FJ35" s="204">
        <f>IF(FJ$3&gt;='20_FINANCIACION'!$B$14,MIN('20_FINANCIACION'!$B$15*MAX(0,'30_CASHFLOW'!FJ19),FI40+FJ29+FJ33),0)</f>
        <v>0</v>
      </c>
      <c r="FK35" s="204">
        <f>IF(FK$3&gt;='20_FINANCIACION'!$B$14,MIN('20_FINANCIACION'!$B$15*MAX(0,'30_CASHFLOW'!FK19),FJ40+FK29+FK33),0)</f>
        <v>0</v>
      </c>
      <c r="FL35" s="204">
        <f>IF(FL$3&gt;='20_FINANCIACION'!$B$14,MIN('20_FINANCIACION'!$B$15*MAX(0,'30_CASHFLOW'!FL19),FK40+FL29+FL33),0)</f>
        <v>0</v>
      </c>
      <c r="FM35" s="204">
        <f>IF(FM$3&gt;='20_FINANCIACION'!$B$14,MIN('20_FINANCIACION'!$B$15*MAX(0,'30_CASHFLOW'!FM19),FL40+FM29+FM33),0)</f>
        <v>0</v>
      </c>
      <c r="FN35" s="204">
        <f>IF(FN$3&gt;='20_FINANCIACION'!$B$14,MIN('20_FINANCIACION'!$B$15*MAX(0,'30_CASHFLOW'!FN19),FM40+FN29+FN33),0)</f>
        <v>0</v>
      </c>
      <c r="FO35" s="204">
        <f>IF(FO$3&gt;='20_FINANCIACION'!$B$14,MIN('20_FINANCIACION'!$B$15*MAX(0,'30_CASHFLOW'!FO19),FN40+FO29+FO33),0)</f>
        <v>0</v>
      </c>
      <c r="FP35" s="204">
        <f>IF(FP$3&gt;='20_FINANCIACION'!$B$14,MIN('20_FINANCIACION'!$B$15*MAX(0,'30_CASHFLOW'!FP19),FO40+FP29+FP33),0)</f>
        <v>0</v>
      </c>
      <c r="FQ35" s="204">
        <f>IF(FQ$3&gt;='20_FINANCIACION'!$B$14,MIN('20_FINANCIACION'!$B$15*MAX(0,'30_CASHFLOW'!FQ19),FP40+FQ29+FQ33),0)</f>
        <v>0</v>
      </c>
      <c r="FR35" s="204">
        <f>IF(FR$3&gt;='20_FINANCIACION'!$B$14,MIN('20_FINANCIACION'!$B$15*MAX(0,'30_CASHFLOW'!FR19),FQ40+FR29+FR33),0)</f>
        <v>0</v>
      </c>
      <c r="FS35" s="204">
        <f>IF(FS$3&gt;='20_FINANCIACION'!$B$14,MIN('20_FINANCIACION'!$B$15*MAX(0,'30_CASHFLOW'!FS19),FR40+FS29+FS33),0)</f>
        <v>0</v>
      </c>
      <c r="FT35" s="204">
        <f>IF(FT$3&gt;='20_FINANCIACION'!$B$14,MIN('20_FINANCIACION'!$B$15*MAX(0,'30_CASHFLOW'!FT19),FS40+FT29+FT33),0)</f>
        <v>0</v>
      </c>
      <c r="FU35" s="204">
        <f>IF(FU$3&gt;='20_FINANCIACION'!$B$14,MIN('20_FINANCIACION'!$B$15*MAX(0,'30_CASHFLOW'!FU19),FT40+FU29+FU33),0)</f>
        <v>0</v>
      </c>
      <c r="FV35" s="204">
        <f>IF(FV$3&gt;='20_FINANCIACION'!$B$14,MIN('20_FINANCIACION'!$B$15*MAX(0,'30_CASHFLOW'!FV19),FU40+FV29+FV33),0)</f>
        <v>0</v>
      </c>
      <c r="FW35" s="204">
        <f>IF(FW$3&gt;='20_FINANCIACION'!$B$14,MIN('20_FINANCIACION'!$B$15*MAX(0,'30_CASHFLOW'!FW19),FV40+FW29+FW33),0)</f>
        <v>0</v>
      </c>
      <c r="FX35" s="204">
        <f>IF(FX$3&gt;='20_FINANCIACION'!$B$14,MIN('20_FINANCIACION'!$B$15*MAX(0,'30_CASHFLOW'!FX19),FW40+FX29+FX33),0)</f>
        <v>0</v>
      </c>
      <c r="FY35" s="204">
        <f>IF(FY$3&gt;='20_FINANCIACION'!$B$14,MIN('20_FINANCIACION'!$B$15*MAX(0,'30_CASHFLOW'!FY19),FX40+FY29+FY33),0)</f>
        <v>0</v>
      </c>
      <c r="FZ35" s="204">
        <f>IF(FZ$3&gt;='20_FINANCIACION'!$B$14,MIN('20_FINANCIACION'!$B$15*MAX(0,'30_CASHFLOW'!FZ19),FY40+FZ29+FZ33),0)</f>
        <v>0</v>
      </c>
    </row>
    <row r="36" spans="1:182" s="18" customFormat="1" ht="15.75" customHeight="1" thickTop="1" x14ac:dyDescent="0.25">
      <c r="A36" s="210" t="s">
        <v>291</v>
      </c>
      <c r="B36" s="209">
        <f>-IF(B$3='20_FINANCIACION'!$B$13,'20_FINANCIACION'!$B$24*'20_FINANCIACION'!$B$11*ABS(SUM('30_CASHFLOW'!$B$7:$FZ$7)),0)-IF(AND(B$3&gt;='20_FINANCIACION'!$B$13,B$3&lt;'20_FINANCIACION'!$B$14),'20_FINANCIACION'!$B$25/12*MAX(0,'20_FINANCIACION'!$B$11*ABS(SUM('30_CASHFLOW'!$B$7:$FZ$7))-0),0)</f>
        <v>0</v>
      </c>
      <c r="C36" s="209">
        <f>-IF(C$3='20_FINANCIACION'!$B$13,'20_FINANCIACION'!$B$24*'20_FINANCIACION'!$B$11*ABS(SUM('30_CASHFLOW'!$B$7:$FZ$7)),0)-IF(AND(C$3&gt;='20_FINANCIACION'!$B$13,C$3&lt;'20_FINANCIACION'!$B$14),'20_FINANCIACION'!$B$25/12*MAX(0,'20_FINANCIACION'!$B$11*ABS(SUM('30_CASHFLOW'!$B$7:$FZ$7))-SUM($B$29:B29)),0)</f>
        <v>0</v>
      </c>
      <c r="D36" s="209">
        <f>-IF(D$3='20_FINANCIACION'!$B$13,'20_FINANCIACION'!$B$24*'20_FINANCIACION'!$B$11*ABS(SUM('30_CASHFLOW'!$B$7:$FZ$7)),0)-IF(AND(D$3&gt;='20_FINANCIACION'!$B$13,D$3&lt;'20_FINANCIACION'!$B$14),'20_FINANCIACION'!$B$25/12*MAX(0,'20_FINANCIACION'!$B$11*ABS(SUM('30_CASHFLOW'!$B$7:$FZ$7))-SUM($B$29:C29)),0)</f>
        <v>0</v>
      </c>
      <c r="E36" s="209">
        <f>-IF(E$3='20_FINANCIACION'!$B$13,'20_FINANCIACION'!$B$24*'20_FINANCIACION'!$B$11*ABS(SUM('30_CASHFLOW'!$B$7:$FZ$7)),0)-IF(AND(E$3&gt;='20_FINANCIACION'!$B$13,E$3&lt;'20_FINANCIACION'!$B$14),'20_FINANCIACION'!$B$25/12*MAX(0,'20_FINANCIACION'!$B$11*ABS(SUM('30_CASHFLOW'!$B$7:$FZ$7))-SUM($B$29:D29)),0)</f>
        <v>0</v>
      </c>
      <c r="F36" s="209">
        <f>-IF(F$3='20_FINANCIACION'!$B$13,'20_FINANCIACION'!$B$24*'20_FINANCIACION'!$B$11*ABS(SUM('30_CASHFLOW'!$B$7:$FZ$7)),0)-IF(AND(F$3&gt;='20_FINANCIACION'!$B$13,F$3&lt;'20_FINANCIACION'!$B$14),'20_FINANCIACION'!$B$25/12*MAX(0,'20_FINANCIACION'!$B$11*ABS(SUM('30_CASHFLOW'!$B$7:$FZ$7))-SUM($B$29:E29)),0)</f>
        <v>0</v>
      </c>
      <c r="G36" s="209">
        <f>-IF(G$3='20_FINANCIACION'!$B$13,'20_FINANCIACION'!$B$24*'20_FINANCIACION'!$B$11*ABS(SUM('30_CASHFLOW'!$B$7:$FZ$7)),0)-IF(AND(G$3&gt;='20_FINANCIACION'!$B$13,G$3&lt;'20_FINANCIACION'!$B$14),'20_FINANCIACION'!$B$25/12*MAX(0,'20_FINANCIACION'!$B$11*ABS(SUM('30_CASHFLOW'!$B$7:$FZ$7))-SUM($B$29:F29)),0)</f>
        <v>0</v>
      </c>
      <c r="H36" s="209">
        <f>-IF(H$3='20_FINANCIACION'!$B$13,'20_FINANCIACION'!$B$24*'20_FINANCIACION'!$B$11*ABS(SUM('30_CASHFLOW'!$B$7:$FZ$7)),0)-IF(AND(H$3&gt;='20_FINANCIACION'!$B$13,H$3&lt;'20_FINANCIACION'!$B$14),'20_FINANCIACION'!$B$25/12*MAX(0,'20_FINANCIACION'!$B$11*ABS(SUM('30_CASHFLOW'!$B$7:$FZ$7))-SUM($B$29:G29)),0)</f>
        <v>0</v>
      </c>
      <c r="I36" s="209">
        <f>-IF(I$3='20_FINANCIACION'!$B$13,'20_FINANCIACION'!$B$24*'20_FINANCIACION'!$B$11*ABS(SUM('30_CASHFLOW'!$B$7:$FZ$7)),0)-IF(AND(I$3&gt;='20_FINANCIACION'!$B$13,I$3&lt;'20_FINANCIACION'!$B$14),'20_FINANCIACION'!$B$25/12*MAX(0,'20_FINANCIACION'!$B$11*ABS(SUM('30_CASHFLOW'!$B$7:$FZ$7))-SUM($B$29:H29)),0)</f>
        <v>0</v>
      </c>
      <c r="J36" s="209">
        <f>-IF(J$3='20_FINANCIACION'!$B$13,'20_FINANCIACION'!$B$24*'20_FINANCIACION'!$B$11*ABS(SUM('30_CASHFLOW'!$B$7:$FZ$7)),0)-IF(AND(J$3&gt;='20_FINANCIACION'!$B$13,J$3&lt;'20_FINANCIACION'!$B$14),'20_FINANCIACION'!$B$25/12*MAX(0,'20_FINANCIACION'!$B$11*ABS(SUM('30_CASHFLOW'!$B$7:$FZ$7))-SUM($B$29:I29)),0)</f>
        <v>0</v>
      </c>
      <c r="K36" s="209">
        <f>-IF(K$3='20_FINANCIACION'!$B$13,'20_FINANCIACION'!$B$24*'20_FINANCIACION'!$B$11*ABS(SUM('30_CASHFLOW'!$B$7:$FZ$7)),0)-IF(AND(K$3&gt;='20_FINANCIACION'!$B$13,K$3&lt;'20_FINANCIACION'!$B$14),'20_FINANCIACION'!$B$25/12*MAX(0,'20_FINANCIACION'!$B$11*ABS(SUM('30_CASHFLOW'!$B$7:$FZ$7))-SUM($B$29:J29)),0)</f>
        <v>0</v>
      </c>
      <c r="L36" s="209">
        <f>-IF(L$3='20_FINANCIACION'!$B$13,'20_FINANCIACION'!$B$24*'20_FINANCIACION'!$B$11*ABS(SUM('30_CASHFLOW'!$B$7:$FZ$7)),0)-IF(AND(L$3&gt;='20_FINANCIACION'!$B$13,L$3&lt;'20_FINANCIACION'!$B$14),'20_FINANCIACION'!$B$25/12*MAX(0,'20_FINANCIACION'!$B$11*ABS(SUM('30_CASHFLOW'!$B$7:$FZ$7))-SUM($B$29:K29)),0)</f>
        <v>0</v>
      </c>
      <c r="M36" s="209">
        <f>-IF(M$3='20_FINANCIACION'!$B$13,'20_FINANCIACION'!$B$24*'20_FINANCIACION'!$B$11*ABS(SUM('30_CASHFLOW'!$B$7:$FZ$7)),0)-IF(AND(M$3&gt;='20_FINANCIACION'!$B$13,M$3&lt;'20_FINANCIACION'!$B$14),'20_FINANCIACION'!$B$25/12*MAX(0,'20_FINANCIACION'!$B$11*ABS(SUM('30_CASHFLOW'!$B$7:$FZ$7))-SUM($B$29:L29)),0)</f>
        <v>-33305.519520000031</v>
      </c>
      <c r="N36" s="209">
        <f>-IF(N$3='20_FINANCIACION'!$B$13,'20_FINANCIACION'!$B$24*'20_FINANCIACION'!$B$11*ABS(SUM('30_CASHFLOW'!$B$7:$FZ$7)),0)-IF(AND(N$3&gt;='20_FINANCIACION'!$B$13,N$3&lt;'20_FINANCIACION'!$B$14),'20_FINANCIACION'!$B$25/12*MAX(0,'20_FINANCIACION'!$B$11*ABS(SUM('30_CASHFLOW'!$B$7:$FZ$7))-SUM($B$29:M29)),0)</f>
        <v>-1640.5552800000014</v>
      </c>
      <c r="O36" s="209">
        <f>-IF(O$3='20_FINANCIACION'!$B$13,'20_FINANCIACION'!$B$24*'20_FINANCIACION'!$B$11*ABS(SUM('30_CASHFLOW'!$B$7:$FZ$7)),0)-IF(AND(O$3&gt;='20_FINANCIACION'!$B$13,O$3&lt;'20_FINANCIACION'!$B$14),'20_FINANCIACION'!$B$25/12*MAX(0,'20_FINANCIACION'!$B$11*ABS(SUM('30_CASHFLOW'!$B$7:$FZ$7))-SUM($B$29:N29)),0)</f>
        <v>-1528.1884800000014</v>
      </c>
      <c r="P36" s="209">
        <f>-IF(P$3='20_FINANCIACION'!$B$13,'20_FINANCIACION'!$B$24*'20_FINANCIACION'!$B$11*ABS(SUM('30_CASHFLOW'!$B$7:$FZ$7)),0)-IF(AND(P$3&gt;='20_FINANCIACION'!$B$13,P$3&lt;'20_FINANCIACION'!$B$14),'20_FINANCIACION'!$B$25/12*MAX(0,'20_FINANCIACION'!$B$11*ABS(SUM('30_CASHFLOW'!$B$7:$FZ$7))-SUM($B$29:O29)),0)</f>
        <v>-1415.8216800000016</v>
      </c>
      <c r="Q36" s="209">
        <f>-IF(Q$3='20_FINANCIACION'!$B$13,'20_FINANCIACION'!$B$24*'20_FINANCIACION'!$B$11*ABS(SUM('30_CASHFLOW'!$B$7:$FZ$7)),0)-IF(AND(Q$3&gt;='20_FINANCIACION'!$B$13,Q$3&lt;'20_FINANCIACION'!$B$14),'20_FINANCIACION'!$B$25/12*MAX(0,'20_FINANCIACION'!$B$11*ABS(SUM('30_CASHFLOW'!$B$7:$FZ$7))-SUM($B$29:P29)),0)</f>
        <v>-1303.4548800000014</v>
      </c>
      <c r="R36" s="209">
        <f>-IF(R$3='20_FINANCIACION'!$B$13,'20_FINANCIACION'!$B$24*'20_FINANCIACION'!$B$11*ABS(SUM('30_CASHFLOW'!$B$7:$FZ$7)),0)-IF(AND(R$3&gt;='20_FINANCIACION'!$B$13,R$3&lt;'20_FINANCIACION'!$B$14),'20_FINANCIACION'!$B$25/12*MAX(0,'20_FINANCIACION'!$B$11*ABS(SUM('30_CASHFLOW'!$B$7:$FZ$7))-SUM($B$29:Q29)),0)</f>
        <v>-1191.0880800000011</v>
      </c>
      <c r="S36" s="209">
        <f>-IF(S$3='20_FINANCIACION'!$B$13,'20_FINANCIACION'!$B$24*'20_FINANCIACION'!$B$11*ABS(SUM('30_CASHFLOW'!$B$7:$FZ$7)),0)-IF(AND(S$3&gt;='20_FINANCIACION'!$B$13,S$3&lt;'20_FINANCIACION'!$B$14),'20_FINANCIACION'!$B$25/12*MAX(0,'20_FINANCIACION'!$B$11*ABS(SUM('30_CASHFLOW'!$B$7:$FZ$7))-SUM($B$29:R29)),0)</f>
        <v>-1078.7212800000013</v>
      </c>
      <c r="T36" s="209">
        <f>-IF(T$3='20_FINANCIACION'!$B$13,'20_FINANCIACION'!$B$24*'20_FINANCIACION'!$B$11*ABS(SUM('30_CASHFLOW'!$B$7:$FZ$7)),0)-IF(AND(T$3&gt;='20_FINANCIACION'!$B$13,T$3&lt;'20_FINANCIACION'!$B$14),'20_FINANCIACION'!$B$25/12*MAX(0,'20_FINANCIACION'!$B$11*ABS(SUM('30_CASHFLOW'!$B$7:$FZ$7))-SUM($B$29:S29)),0)</f>
        <v>-966.35448000000133</v>
      </c>
      <c r="U36" s="209">
        <f>-IF(U$3='20_FINANCIACION'!$B$13,'20_FINANCIACION'!$B$24*'20_FINANCIACION'!$B$11*ABS(SUM('30_CASHFLOW'!$B$7:$FZ$7)),0)-IF(AND(U$3&gt;='20_FINANCIACION'!$B$13,U$3&lt;'20_FINANCIACION'!$B$14),'20_FINANCIACION'!$B$25/12*MAX(0,'20_FINANCIACION'!$B$11*ABS(SUM('30_CASHFLOW'!$B$7:$FZ$7))-SUM($B$29:T29)),0)</f>
        <v>-853.98768000000121</v>
      </c>
      <c r="V36" s="209">
        <f>-IF(V$3='20_FINANCIACION'!$B$13,'20_FINANCIACION'!$B$24*'20_FINANCIACION'!$B$11*ABS(SUM('30_CASHFLOW'!$B$7:$FZ$7)),0)-IF(AND(V$3&gt;='20_FINANCIACION'!$B$13,V$3&lt;'20_FINANCIACION'!$B$14),'20_FINANCIACION'!$B$25/12*MAX(0,'20_FINANCIACION'!$B$11*ABS(SUM('30_CASHFLOW'!$B$7:$FZ$7))-SUM($B$29:U29)),0)</f>
        <v>-741.62088000000108</v>
      </c>
      <c r="W36" s="209">
        <f>-IF(W$3='20_FINANCIACION'!$B$13,'20_FINANCIACION'!$B$24*'20_FINANCIACION'!$B$11*ABS(SUM('30_CASHFLOW'!$B$7:$FZ$7)),0)-IF(AND(W$3&gt;='20_FINANCIACION'!$B$13,W$3&lt;'20_FINANCIACION'!$B$14),'20_FINANCIACION'!$B$25/12*MAX(0,'20_FINANCIACION'!$B$11*ABS(SUM('30_CASHFLOW'!$B$7:$FZ$7))-SUM($B$29:V29)),0)</f>
        <v>-629.25408000000095</v>
      </c>
      <c r="X36" s="209">
        <f>-IF(X$3='20_FINANCIACION'!$B$13,'20_FINANCIACION'!$B$24*'20_FINANCIACION'!$B$11*ABS(SUM('30_CASHFLOW'!$B$7:$FZ$7)),0)-IF(AND(X$3&gt;='20_FINANCIACION'!$B$13,X$3&lt;'20_FINANCIACION'!$B$14),'20_FINANCIACION'!$B$25/12*MAX(0,'20_FINANCIACION'!$B$11*ABS(SUM('30_CASHFLOW'!$B$7:$FZ$7))-SUM($B$29:W29)),0)</f>
        <v>-516.88728000000083</v>
      </c>
      <c r="Y36" s="209">
        <f>-IF(Y$3='20_FINANCIACION'!$B$13,'20_FINANCIACION'!$B$24*'20_FINANCIACION'!$B$11*ABS(SUM('30_CASHFLOW'!$B$7:$FZ$7)),0)-IF(AND(Y$3&gt;='20_FINANCIACION'!$B$13,Y$3&lt;'20_FINANCIACION'!$B$14),'20_FINANCIACION'!$B$25/12*MAX(0,'20_FINANCIACION'!$B$11*ABS(SUM('30_CASHFLOW'!$B$7:$FZ$7))-SUM($B$29:X29)),0)</f>
        <v>-404.5204800000007</v>
      </c>
      <c r="Z36" s="209">
        <f>-IF(Z$3='20_FINANCIACION'!$B$13,'20_FINANCIACION'!$B$24*'20_FINANCIACION'!$B$11*ABS(SUM('30_CASHFLOW'!$B$7:$FZ$7)),0)-IF(AND(Z$3&gt;='20_FINANCIACION'!$B$13,Z$3&lt;'20_FINANCIACION'!$B$14),'20_FINANCIACION'!$B$25/12*MAX(0,'20_FINANCIACION'!$B$11*ABS(SUM('30_CASHFLOW'!$B$7:$FZ$7))-SUM($B$29:Y29)),0)</f>
        <v>-292.15368000000058</v>
      </c>
      <c r="AA36" s="209">
        <f>-IF(AA$3='20_FINANCIACION'!$B$13,'20_FINANCIACION'!$B$24*'20_FINANCIACION'!$B$11*ABS(SUM('30_CASHFLOW'!$B$7:$FZ$7)),0)-IF(AND(AA$3&gt;='20_FINANCIACION'!$B$13,AA$3&lt;'20_FINANCIACION'!$B$14),'20_FINANCIACION'!$B$25/12*MAX(0,'20_FINANCIACION'!$B$11*ABS(SUM('30_CASHFLOW'!$B$7:$FZ$7))-SUM($B$29:Z29)),0)</f>
        <v>-179.78688000000045</v>
      </c>
      <c r="AB36" s="209">
        <f>-IF(AB$3='20_FINANCIACION'!$B$13,'20_FINANCIACION'!$B$24*'20_FINANCIACION'!$B$11*ABS(SUM('30_CASHFLOW'!$B$7:$FZ$7)),0)-IF(AND(AB$3&gt;='20_FINANCIACION'!$B$13,AB$3&lt;'20_FINANCIACION'!$B$14),'20_FINANCIACION'!$B$25/12*MAX(0,'20_FINANCIACION'!$B$11*ABS(SUM('30_CASHFLOW'!$B$7:$FZ$7))-SUM($B$29:AA29)),0)</f>
        <v>-67.420080000000311</v>
      </c>
      <c r="AC36" s="209">
        <f>-IF(AC$3='20_FINANCIACION'!$B$13,'20_FINANCIACION'!$B$24*'20_FINANCIACION'!$B$11*ABS(SUM('30_CASHFLOW'!$B$7:$FZ$7)),0)-IF(AND(AC$3&gt;='20_FINANCIACION'!$B$13,AC$3&lt;'20_FINANCIACION'!$B$14),'20_FINANCIACION'!$B$25/12*MAX(0,'20_FINANCIACION'!$B$11*ABS(SUM('30_CASHFLOW'!$B$7:$FZ$7))-SUM($B$29:AB29)),0)</f>
        <v>0</v>
      </c>
      <c r="AD36" s="209">
        <f>-IF(AD$3='20_FINANCIACION'!$B$13,'20_FINANCIACION'!$B$24*'20_FINANCIACION'!$B$11*ABS(SUM('30_CASHFLOW'!$B$7:$FZ$7)),0)-IF(AND(AD$3&gt;='20_FINANCIACION'!$B$13,AD$3&lt;'20_FINANCIACION'!$B$14),'20_FINANCIACION'!$B$25/12*MAX(0,'20_FINANCIACION'!$B$11*ABS(SUM('30_CASHFLOW'!$B$7:$FZ$7))-SUM($B$29:AC29)),0)</f>
        <v>0</v>
      </c>
      <c r="AE36" s="209">
        <f>-IF(AE$3='20_FINANCIACION'!$B$13,'20_FINANCIACION'!$B$24*'20_FINANCIACION'!$B$11*ABS(SUM('30_CASHFLOW'!$B$7:$FZ$7)),0)-IF(AND(AE$3&gt;='20_FINANCIACION'!$B$13,AE$3&lt;'20_FINANCIACION'!$B$14),'20_FINANCIACION'!$B$25/12*MAX(0,'20_FINANCIACION'!$B$11*ABS(SUM('30_CASHFLOW'!$B$7:$FZ$7))-SUM($B$29:AD29)),0)</f>
        <v>0</v>
      </c>
      <c r="AF36" s="209">
        <f>-IF(AF$3='20_FINANCIACION'!$B$13,'20_FINANCIACION'!$B$24*'20_FINANCIACION'!$B$11*ABS(SUM('30_CASHFLOW'!$B$7:$FZ$7)),0)-IF(AND(AF$3&gt;='20_FINANCIACION'!$B$13,AF$3&lt;'20_FINANCIACION'!$B$14),'20_FINANCIACION'!$B$25/12*MAX(0,'20_FINANCIACION'!$B$11*ABS(SUM('30_CASHFLOW'!$B$7:$FZ$7))-SUM($B$29:AE29)),0)</f>
        <v>0</v>
      </c>
      <c r="AG36" s="209">
        <f>-IF(AG$3='20_FINANCIACION'!$B$13,'20_FINANCIACION'!$B$24*'20_FINANCIACION'!$B$11*ABS(SUM('30_CASHFLOW'!$B$7:$FZ$7)),0)-IF(AND(AG$3&gt;='20_FINANCIACION'!$B$13,AG$3&lt;'20_FINANCIACION'!$B$14),'20_FINANCIACION'!$B$25/12*MAX(0,'20_FINANCIACION'!$B$11*ABS(SUM('30_CASHFLOW'!$B$7:$FZ$7))-SUM($B$29:AF29)),0)</f>
        <v>0</v>
      </c>
      <c r="AH36" s="209">
        <f>-IF(AH$3='20_FINANCIACION'!$B$13,'20_FINANCIACION'!$B$24*'20_FINANCIACION'!$B$11*ABS(SUM('30_CASHFLOW'!$B$7:$FZ$7)),0)-IF(AND(AH$3&gt;='20_FINANCIACION'!$B$13,AH$3&lt;'20_FINANCIACION'!$B$14),'20_FINANCIACION'!$B$25/12*MAX(0,'20_FINANCIACION'!$B$11*ABS(SUM('30_CASHFLOW'!$B$7:$FZ$7))-SUM($B$29:AG29)),0)</f>
        <v>0</v>
      </c>
      <c r="AI36" s="209">
        <f>-IF(AI$3='20_FINANCIACION'!$B$13,'20_FINANCIACION'!$B$24*'20_FINANCIACION'!$B$11*ABS(SUM('30_CASHFLOW'!$B$7:$FZ$7)),0)-IF(AND(AI$3&gt;='20_FINANCIACION'!$B$13,AI$3&lt;'20_FINANCIACION'!$B$14),'20_FINANCIACION'!$B$25/12*MAX(0,'20_FINANCIACION'!$B$11*ABS(SUM('30_CASHFLOW'!$B$7:$FZ$7))-SUM($B$29:AH29)),0)</f>
        <v>0</v>
      </c>
      <c r="AJ36" s="209">
        <f>-IF(AJ$3='20_FINANCIACION'!$B$13,'20_FINANCIACION'!$B$24*'20_FINANCIACION'!$B$11*ABS(SUM('30_CASHFLOW'!$B$7:$FZ$7)),0)-IF(AND(AJ$3&gt;='20_FINANCIACION'!$B$13,AJ$3&lt;'20_FINANCIACION'!$B$14),'20_FINANCIACION'!$B$25/12*MAX(0,'20_FINANCIACION'!$B$11*ABS(SUM('30_CASHFLOW'!$B$7:$FZ$7))-SUM($B$29:AI29)),0)</f>
        <v>0</v>
      </c>
      <c r="AK36" s="209">
        <f>-IF(AK$3='20_FINANCIACION'!$B$13,'20_FINANCIACION'!$B$24*'20_FINANCIACION'!$B$11*ABS(SUM('30_CASHFLOW'!$B$7:$FZ$7)),0)-IF(AND(AK$3&gt;='20_FINANCIACION'!$B$13,AK$3&lt;'20_FINANCIACION'!$B$14),'20_FINANCIACION'!$B$25/12*MAX(0,'20_FINANCIACION'!$B$11*ABS(SUM('30_CASHFLOW'!$B$7:$FZ$7))-SUM($B$29:AJ29)),0)</f>
        <v>0</v>
      </c>
      <c r="AL36" s="209">
        <f>-IF(AL$3='20_FINANCIACION'!$B$13,'20_FINANCIACION'!$B$24*'20_FINANCIACION'!$B$11*ABS(SUM('30_CASHFLOW'!$B$7:$FZ$7)),0)-IF(AND(AL$3&gt;='20_FINANCIACION'!$B$13,AL$3&lt;'20_FINANCIACION'!$B$14),'20_FINANCIACION'!$B$25/12*MAX(0,'20_FINANCIACION'!$B$11*ABS(SUM('30_CASHFLOW'!$B$7:$FZ$7))-SUM($B$29:AK29)),0)</f>
        <v>0</v>
      </c>
      <c r="AM36" s="209">
        <f>-IF(AM$3='20_FINANCIACION'!$B$13,'20_FINANCIACION'!$B$24*'20_FINANCIACION'!$B$11*ABS(SUM('30_CASHFLOW'!$B$7:$FZ$7)),0)-IF(AND(AM$3&gt;='20_FINANCIACION'!$B$13,AM$3&lt;'20_FINANCIACION'!$B$14),'20_FINANCIACION'!$B$25/12*MAX(0,'20_FINANCIACION'!$B$11*ABS(SUM('30_CASHFLOW'!$B$7:$FZ$7))-SUM($B$29:AL29)),0)</f>
        <v>0</v>
      </c>
      <c r="AN36" s="209">
        <f>-IF(AN$3='20_FINANCIACION'!$B$13,'20_FINANCIACION'!$B$24*'20_FINANCIACION'!$B$11*ABS(SUM('30_CASHFLOW'!$B$7:$FZ$7)),0)-IF(AND(AN$3&gt;='20_FINANCIACION'!$B$13,AN$3&lt;'20_FINANCIACION'!$B$14),'20_FINANCIACION'!$B$25/12*MAX(0,'20_FINANCIACION'!$B$11*ABS(SUM('30_CASHFLOW'!$B$7:$FZ$7))-SUM($B$29:AM29)),0)</f>
        <v>0</v>
      </c>
      <c r="AO36" s="209">
        <f>-IF(AO$3='20_FINANCIACION'!$B$13,'20_FINANCIACION'!$B$24*'20_FINANCIACION'!$B$11*ABS(SUM('30_CASHFLOW'!$B$7:$FZ$7)),0)-IF(AND(AO$3&gt;='20_FINANCIACION'!$B$13,AO$3&lt;'20_FINANCIACION'!$B$14),'20_FINANCIACION'!$B$25/12*MAX(0,'20_FINANCIACION'!$B$11*ABS(SUM('30_CASHFLOW'!$B$7:$FZ$7))-SUM($B$29:AN29)),0)</f>
        <v>0</v>
      </c>
      <c r="AP36" s="209">
        <f>-IF(AP$3='20_FINANCIACION'!$B$13,'20_FINANCIACION'!$B$24*'20_FINANCIACION'!$B$11*ABS(SUM('30_CASHFLOW'!$B$7:$FZ$7)),0)-IF(AND(AP$3&gt;='20_FINANCIACION'!$B$13,AP$3&lt;'20_FINANCIACION'!$B$14),'20_FINANCIACION'!$B$25/12*MAX(0,'20_FINANCIACION'!$B$11*ABS(SUM('30_CASHFLOW'!$B$7:$FZ$7))-SUM($B$29:AO29)),0)</f>
        <v>0</v>
      </c>
      <c r="AQ36" s="209">
        <f>-IF(AQ$3='20_FINANCIACION'!$B$13,'20_FINANCIACION'!$B$24*'20_FINANCIACION'!$B$11*ABS(SUM('30_CASHFLOW'!$B$7:$FZ$7)),0)-IF(AND(AQ$3&gt;='20_FINANCIACION'!$B$13,AQ$3&lt;'20_FINANCIACION'!$B$14),'20_FINANCIACION'!$B$25/12*MAX(0,'20_FINANCIACION'!$B$11*ABS(SUM('30_CASHFLOW'!$B$7:$FZ$7))-SUM($B$29:AP29)),0)</f>
        <v>0</v>
      </c>
      <c r="AR36" s="209">
        <f>-IF(AR$3='20_FINANCIACION'!$B$13,'20_FINANCIACION'!$B$24*'20_FINANCIACION'!$B$11*ABS(SUM('30_CASHFLOW'!$B$7:$FZ$7)),0)-IF(AND(AR$3&gt;='20_FINANCIACION'!$B$13,AR$3&lt;'20_FINANCIACION'!$B$14),'20_FINANCIACION'!$B$25/12*MAX(0,'20_FINANCIACION'!$B$11*ABS(SUM('30_CASHFLOW'!$B$7:$FZ$7))-SUM($B$29:AQ29)),0)</f>
        <v>0</v>
      </c>
      <c r="AS36" s="209">
        <f>-IF(AS$3='20_FINANCIACION'!$B$13,'20_FINANCIACION'!$B$24*'20_FINANCIACION'!$B$11*ABS(SUM('30_CASHFLOW'!$B$7:$FZ$7)),0)-IF(AND(AS$3&gt;='20_FINANCIACION'!$B$13,AS$3&lt;'20_FINANCIACION'!$B$14),'20_FINANCIACION'!$B$25/12*MAX(0,'20_FINANCIACION'!$B$11*ABS(SUM('30_CASHFLOW'!$B$7:$FZ$7))-SUM($B$29:AR29)),0)</f>
        <v>0</v>
      </c>
      <c r="AT36" s="209">
        <f>-IF(AT$3='20_FINANCIACION'!$B$13,'20_FINANCIACION'!$B$24*'20_FINANCIACION'!$B$11*ABS(SUM('30_CASHFLOW'!$B$7:$FZ$7)),0)-IF(AND(AT$3&gt;='20_FINANCIACION'!$B$13,AT$3&lt;'20_FINANCIACION'!$B$14),'20_FINANCIACION'!$B$25/12*MAX(0,'20_FINANCIACION'!$B$11*ABS(SUM('30_CASHFLOW'!$B$7:$FZ$7))-SUM($B$29:AS29)),0)</f>
        <v>0</v>
      </c>
      <c r="AU36" s="209">
        <f>-IF(AU$3='20_FINANCIACION'!$B$13,'20_FINANCIACION'!$B$24*'20_FINANCIACION'!$B$11*ABS(SUM('30_CASHFLOW'!$B$7:$FZ$7)),0)-IF(AND(AU$3&gt;='20_FINANCIACION'!$B$13,AU$3&lt;'20_FINANCIACION'!$B$14),'20_FINANCIACION'!$B$25/12*MAX(0,'20_FINANCIACION'!$B$11*ABS(SUM('30_CASHFLOW'!$B$7:$FZ$7))-SUM($B$29:AT29)),0)</f>
        <v>0</v>
      </c>
      <c r="AV36" s="209">
        <f>-IF(AV$3='20_FINANCIACION'!$B$13,'20_FINANCIACION'!$B$24*'20_FINANCIACION'!$B$11*ABS(SUM('30_CASHFLOW'!$B$7:$FZ$7)),0)-IF(AND(AV$3&gt;='20_FINANCIACION'!$B$13,AV$3&lt;'20_FINANCIACION'!$B$14),'20_FINANCIACION'!$B$25/12*MAX(0,'20_FINANCIACION'!$B$11*ABS(SUM('30_CASHFLOW'!$B$7:$FZ$7))-SUM($B$29:AU29)),0)</f>
        <v>0</v>
      </c>
      <c r="AW36" s="209">
        <f>-IF(AW$3='20_FINANCIACION'!$B$13,'20_FINANCIACION'!$B$24*'20_FINANCIACION'!$B$11*ABS(SUM('30_CASHFLOW'!$B$7:$FZ$7)),0)-IF(AND(AW$3&gt;='20_FINANCIACION'!$B$13,AW$3&lt;'20_FINANCIACION'!$B$14),'20_FINANCIACION'!$B$25/12*MAX(0,'20_FINANCIACION'!$B$11*ABS(SUM('30_CASHFLOW'!$B$7:$FZ$7))-SUM($B$29:AV29)),0)</f>
        <v>0</v>
      </c>
      <c r="AX36" s="209">
        <f>-IF(AX$3='20_FINANCIACION'!$B$13,'20_FINANCIACION'!$B$24*'20_FINANCIACION'!$B$11*ABS(SUM('30_CASHFLOW'!$B$7:$FZ$7)),0)-IF(AND(AX$3&gt;='20_FINANCIACION'!$B$13,AX$3&lt;'20_FINANCIACION'!$B$14),'20_FINANCIACION'!$B$25/12*MAX(0,'20_FINANCIACION'!$B$11*ABS(SUM('30_CASHFLOW'!$B$7:$FZ$7))-SUM($B$29:AW29)),0)</f>
        <v>0</v>
      </c>
      <c r="AY36" s="209">
        <f>-IF(AY$3='20_FINANCIACION'!$B$13,'20_FINANCIACION'!$B$24*'20_FINANCIACION'!$B$11*ABS(SUM('30_CASHFLOW'!$B$7:$FZ$7)),0)-IF(AND(AY$3&gt;='20_FINANCIACION'!$B$13,AY$3&lt;'20_FINANCIACION'!$B$14),'20_FINANCIACION'!$B$25/12*MAX(0,'20_FINANCIACION'!$B$11*ABS(SUM('30_CASHFLOW'!$B$7:$FZ$7))-SUM($B$29:AX29)),0)</f>
        <v>0</v>
      </c>
      <c r="AZ36" s="209">
        <f>-IF(AZ$3='20_FINANCIACION'!$B$13,'20_FINANCIACION'!$B$24*'20_FINANCIACION'!$B$11*ABS(SUM('30_CASHFLOW'!$B$7:$FZ$7)),0)-IF(AND(AZ$3&gt;='20_FINANCIACION'!$B$13,AZ$3&lt;'20_FINANCIACION'!$B$14),'20_FINANCIACION'!$B$25/12*MAX(0,'20_FINANCIACION'!$B$11*ABS(SUM('30_CASHFLOW'!$B$7:$FZ$7))-SUM($B$29:AY29)),0)</f>
        <v>0</v>
      </c>
      <c r="BA36" s="209">
        <f>-IF(BA$3='20_FINANCIACION'!$B$13,'20_FINANCIACION'!$B$24*'20_FINANCIACION'!$B$11*ABS(SUM('30_CASHFLOW'!$B$7:$FZ$7)),0)-IF(AND(BA$3&gt;='20_FINANCIACION'!$B$13,BA$3&lt;'20_FINANCIACION'!$B$14),'20_FINANCIACION'!$B$25/12*MAX(0,'20_FINANCIACION'!$B$11*ABS(SUM('30_CASHFLOW'!$B$7:$FZ$7))-SUM($B$29:AZ29)),0)</f>
        <v>0</v>
      </c>
      <c r="BB36" s="209">
        <f>-IF(BB$3='20_FINANCIACION'!$B$13,'20_FINANCIACION'!$B$24*'20_FINANCIACION'!$B$11*ABS(SUM('30_CASHFLOW'!$B$7:$FZ$7)),0)-IF(AND(BB$3&gt;='20_FINANCIACION'!$B$13,BB$3&lt;'20_FINANCIACION'!$B$14),'20_FINANCIACION'!$B$25/12*MAX(0,'20_FINANCIACION'!$B$11*ABS(SUM('30_CASHFLOW'!$B$7:$FZ$7))-SUM($B$29:BA29)),0)</f>
        <v>0</v>
      </c>
      <c r="BC36" s="209">
        <f>-IF(BC$3='20_FINANCIACION'!$B$13,'20_FINANCIACION'!$B$24*'20_FINANCIACION'!$B$11*ABS(SUM('30_CASHFLOW'!$B$7:$FZ$7)),0)-IF(AND(BC$3&gt;='20_FINANCIACION'!$B$13,BC$3&lt;'20_FINANCIACION'!$B$14),'20_FINANCIACION'!$B$25/12*MAX(0,'20_FINANCIACION'!$B$11*ABS(SUM('30_CASHFLOW'!$B$7:$FZ$7))-SUM($B$29:BB29)),0)</f>
        <v>0</v>
      </c>
      <c r="BD36" s="209">
        <f>-IF(BD$3='20_FINANCIACION'!$B$13,'20_FINANCIACION'!$B$24*'20_FINANCIACION'!$B$11*ABS(SUM('30_CASHFLOW'!$B$7:$FZ$7)),0)-IF(AND(BD$3&gt;='20_FINANCIACION'!$B$13,BD$3&lt;'20_FINANCIACION'!$B$14),'20_FINANCIACION'!$B$25/12*MAX(0,'20_FINANCIACION'!$B$11*ABS(SUM('30_CASHFLOW'!$B$7:$FZ$7))-SUM($B$29:BC29)),0)</f>
        <v>0</v>
      </c>
      <c r="BE36" s="209">
        <f>-IF(BE$3='20_FINANCIACION'!$B$13,'20_FINANCIACION'!$B$24*'20_FINANCIACION'!$B$11*ABS(SUM('30_CASHFLOW'!$B$7:$FZ$7)),0)-IF(AND(BE$3&gt;='20_FINANCIACION'!$B$13,BE$3&lt;'20_FINANCIACION'!$B$14),'20_FINANCIACION'!$B$25/12*MAX(0,'20_FINANCIACION'!$B$11*ABS(SUM('30_CASHFLOW'!$B$7:$FZ$7))-SUM($B$29:BD29)),0)</f>
        <v>0</v>
      </c>
      <c r="BF36" s="209">
        <f>-IF(BF$3='20_FINANCIACION'!$B$13,'20_FINANCIACION'!$B$24*'20_FINANCIACION'!$B$11*ABS(SUM('30_CASHFLOW'!$B$7:$FZ$7)),0)-IF(AND(BF$3&gt;='20_FINANCIACION'!$B$13,BF$3&lt;'20_FINANCIACION'!$B$14),'20_FINANCIACION'!$B$25/12*MAX(0,'20_FINANCIACION'!$B$11*ABS(SUM('30_CASHFLOW'!$B$7:$FZ$7))-SUM($B$29:BE29)),0)</f>
        <v>0</v>
      </c>
      <c r="BG36" s="209">
        <f>-IF(BG$3='20_FINANCIACION'!$B$13,'20_FINANCIACION'!$B$24*'20_FINANCIACION'!$B$11*ABS(SUM('30_CASHFLOW'!$B$7:$FZ$7)),0)-IF(AND(BG$3&gt;='20_FINANCIACION'!$B$13,BG$3&lt;'20_FINANCIACION'!$B$14),'20_FINANCIACION'!$B$25/12*MAX(0,'20_FINANCIACION'!$B$11*ABS(SUM('30_CASHFLOW'!$B$7:$FZ$7))-SUM($B$29:BF29)),0)</f>
        <v>0</v>
      </c>
      <c r="BH36" s="209">
        <f>-IF(BH$3='20_FINANCIACION'!$B$13,'20_FINANCIACION'!$B$24*'20_FINANCIACION'!$B$11*ABS(SUM('30_CASHFLOW'!$B$7:$FZ$7)),0)-IF(AND(BH$3&gt;='20_FINANCIACION'!$B$13,BH$3&lt;'20_FINANCIACION'!$B$14),'20_FINANCIACION'!$B$25/12*MAX(0,'20_FINANCIACION'!$B$11*ABS(SUM('30_CASHFLOW'!$B$7:$FZ$7))-SUM($B$29:BG29)),0)</f>
        <v>0</v>
      </c>
      <c r="BI36" s="209">
        <f>-IF(BI$3='20_FINANCIACION'!$B$13,'20_FINANCIACION'!$B$24*'20_FINANCIACION'!$B$11*ABS(SUM('30_CASHFLOW'!$B$7:$FZ$7)),0)-IF(AND(BI$3&gt;='20_FINANCIACION'!$B$13,BI$3&lt;'20_FINANCIACION'!$B$14),'20_FINANCIACION'!$B$25/12*MAX(0,'20_FINANCIACION'!$B$11*ABS(SUM('30_CASHFLOW'!$B$7:$FZ$7))-SUM($B$29:BH29)),0)</f>
        <v>0</v>
      </c>
      <c r="BJ36" s="209">
        <f>-IF(BJ$3='20_FINANCIACION'!$B$13,'20_FINANCIACION'!$B$24*'20_FINANCIACION'!$B$11*ABS(SUM('30_CASHFLOW'!$B$7:$FZ$7)),0)-IF(AND(BJ$3&gt;='20_FINANCIACION'!$B$13,BJ$3&lt;'20_FINANCIACION'!$B$14),'20_FINANCIACION'!$B$25/12*MAX(0,'20_FINANCIACION'!$B$11*ABS(SUM('30_CASHFLOW'!$B$7:$FZ$7))-SUM($B$29:BI29)),0)</f>
        <v>0</v>
      </c>
      <c r="BK36" s="209">
        <f>-IF(BK$3='20_FINANCIACION'!$B$13,'20_FINANCIACION'!$B$24*'20_FINANCIACION'!$B$11*ABS(SUM('30_CASHFLOW'!$B$7:$FZ$7)),0)-IF(AND(BK$3&gt;='20_FINANCIACION'!$B$13,BK$3&lt;'20_FINANCIACION'!$B$14),'20_FINANCIACION'!$B$25/12*MAX(0,'20_FINANCIACION'!$B$11*ABS(SUM('30_CASHFLOW'!$B$7:$FZ$7))-SUM($B$29:BJ29)),0)</f>
        <v>0</v>
      </c>
      <c r="BL36" s="209">
        <f>-IF(BL$3='20_FINANCIACION'!$B$13,'20_FINANCIACION'!$B$24*'20_FINANCIACION'!$B$11*ABS(SUM('30_CASHFLOW'!$B$7:$FZ$7)),0)-IF(AND(BL$3&gt;='20_FINANCIACION'!$B$13,BL$3&lt;'20_FINANCIACION'!$B$14),'20_FINANCIACION'!$B$25/12*MAX(0,'20_FINANCIACION'!$B$11*ABS(SUM('30_CASHFLOW'!$B$7:$FZ$7))-SUM($B$29:BK29)),0)</f>
        <v>0</v>
      </c>
      <c r="BM36" s="209">
        <f>-IF(BM$3='20_FINANCIACION'!$B$13,'20_FINANCIACION'!$B$24*'20_FINANCIACION'!$B$11*ABS(SUM('30_CASHFLOW'!$B$7:$FZ$7)),0)-IF(AND(BM$3&gt;='20_FINANCIACION'!$B$13,BM$3&lt;'20_FINANCIACION'!$B$14),'20_FINANCIACION'!$B$25/12*MAX(0,'20_FINANCIACION'!$B$11*ABS(SUM('30_CASHFLOW'!$B$7:$FZ$7))-SUM($B$29:BL29)),0)</f>
        <v>0</v>
      </c>
      <c r="BN36" s="209">
        <f>-IF(BN$3='20_FINANCIACION'!$B$13,'20_FINANCIACION'!$B$24*'20_FINANCIACION'!$B$11*ABS(SUM('30_CASHFLOW'!$B$7:$FZ$7)),0)-IF(AND(BN$3&gt;='20_FINANCIACION'!$B$13,BN$3&lt;'20_FINANCIACION'!$B$14),'20_FINANCIACION'!$B$25/12*MAX(0,'20_FINANCIACION'!$B$11*ABS(SUM('30_CASHFLOW'!$B$7:$FZ$7))-SUM($B$29:BM29)),0)</f>
        <v>0</v>
      </c>
      <c r="BO36" s="209">
        <f>-IF(BO$3='20_FINANCIACION'!$B$13,'20_FINANCIACION'!$B$24*'20_FINANCIACION'!$B$11*ABS(SUM('30_CASHFLOW'!$B$7:$FZ$7)),0)-IF(AND(BO$3&gt;='20_FINANCIACION'!$B$13,BO$3&lt;'20_FINANCIACION'!$B$14),'20_FINANCIACION'!$B$25/12*MAX(0,'20_FINANCIACION'!$B$11*ABS(SUM('30_CASHFLOW'!$B$7:$FZ$7))-SUM($B$29:BN29)),0)</f>
        <v>0</v>
      </c>
      <c r="BP36" s="209">
        <f>-IF(BP$3='20_FINANCIACION'!$B$13,'20_FINANCIACION'!$B$24*'20_FINANCIACION'!$B$11*ABS(SUM('30_CASHFLOW'!$B$7:$FZ$7)),0)-IF(AND(BP$3&gt;='20_FINANCIACION'!$B$13,BP$3&lt;'20_FINANCIACION'!$B$14),'20_FINANCIACION'!$B$25/12*MAX(0,'20_FINANCIACION'!$B$11*ABS(SUM('30_CASHFLOW'!$B$7:$FZ$7))-SUM($B$29:BO29)),0)</f>
        <v>0</v>
      </c>
      <c r="BQ36" s="209">
        <f>-IF(BQ$3='20_FINANCIACION'!$B$13,'20_FINANCIACION'!$B$24*'20_FINANCIACION'!$B$11*ABS(SUM('30_CASHFLOW'!$B$7:$FZ$7)),0)-IF(AND(BQ$3&gt;='20_FINANCIACION'!$B$13,BQ$3&lt;'20_FINANCIACION'!$B$14),'20_FINANCIACION'!$B$25/12*MAX(0,'20_FINANCIACION'!$B$11*ABS(SUM('30_CASHFLOW'!$B$7:$FZ$7))-SUM($B$29:BP29)),0)</f>
        <v>0</v>
      </c>
      <c r="BR36" s="209">
        <f>-IF(BR$3='20_FINANCIACION'!$B$13,'20_FINANCIACION'!$B$24*'20_FINANCIACION'!$B$11*ABS(SUM('30_CASHFLOW'!$B$7:$FZ$7)),0)-IF(AND(BR$3&gt;='20_FINANCIACION'!$B$13,BR$3&lt;'20_FINANCIACION'!$B$14),'20_FINANCIACION'!$B$25/12*MAX(0,'20_FINANCIACION'!$B$11*ABS(SUM('30_CASHFLOW'!$B$7:$FZ$7))-SUM($B$29:BQ29)),0)</f>
        <v>0</v>
      </c>
      <c r="BS36" s="209">
        <f>-IF(BS$3='20_FINANCIACION'!$B$13,'20_FINANCIACION'!$B$24*'20_FINANCIACION'!$B$11*ABS(SUM('30_CASHFLOW'!$B$7:$FZ$7)),0)-IF(AND(BS$3&gt;='20_FINANCIACION'!$B$13,BS$3&lt;'20_FINANCIACION'!$B$14),'20_FINANCIACION'!$B$25/12*MAX(0,'20_FINANCIACION'!$B$11*ABS(SUM('30_CASHFLOW'!$B$7:$FZ$7))-SUM($B$29:BR29)),0)</f>
        <v>0</v>
      </c>
      <c r="BT36" s="209">
        <f>-IF(BT$3='20_FINANCIACION'!$B$13,'20_FINANCIACION'!$B$24*'20_FINANCIACION'!$B$11*ABS(SUM('30_CASHFLOW'!$B$7:$FZ$7)),0)-IF(AND(BT$3&gt;='20_FINANCIACION'!$B$13,BT$3&lt;'20_FINANCIACION'!$B$14),'20_FINANCIACION'!$B$25/12*MAX(0,'20_FINANCIACION'!$B$11*ABS(SUM('30_CASHFLOW'!$B$7:$FZ$7))-SUM($B$29:BS29)),0)</f>
        <v>0</v>
      </c>
      <c r="BU36" s="209">
        <f>-IF(BU$3='20_FINANCIACION'!$B$13,'20_FINANCIACION'!$B$24*'20_FINANCIACION'!$B$11*ABS(SUM('30_CASHFLOW'!$B$7:$FZ$7)),0)-IF(AND(BU$3&gt;='20_FINANCIACION'!$B$13,BU$3&lt;'20_FINANCIACION'!$B$14),'20_FINANCIACION'!$B$25/12*MAX(0,'20_FINANCIACION'!$B$11*ABS(SUM('30_CASHFLOW'!$B$7:$FZ$7))-SUM($B$29:BT29)),0)</f>
        <v>0</v>
      </c>
      <c r="BV36" s="209">
        <f>-IF(BV$3='20_FINANCIACION'!$B$13,'20_FINANCIACION'!$B$24*'20_FINANCIACION'!$B$11*ABS(SUM('30_CASHFLOW'!$B$7:$FZ$7)),0)-IF(AND(BV$3&gt;='20_FINANCIACION'!$B$13,BV$3&lt;'20_FINANCIACION'!$B$14),'20_FINANCIACION'!$B$25/12*MAX(0,'20_FINANCIACION'!$B$11*ABS(SUM('30_CASHFLOW'!$B$7:$FZ$7))-SUM($B$29:BU29)),0)</f>
        <v>0</v>
      </c>
      <c r="BW36" s="209">
        <f>-IF(BW$3='20_FINANCIACION'!$B$13,'20_FINANCIACION'!$B$24*'20_FINANCIACION'!$B$11*ABS(SUM('30_CASHFLOW'!$B$7:$FZ$7)),0)-IF(AND(BW$3&gt;='20_FINANCIACION'!$B$13,BW$3&lt;'20_FINANCIACION'!$B$14),'20_FINANCIACION'!$B$25/12*MAX(0,'20_FINANCIACION'!$B$11*ABS(SUM('30_CASHFLOW'!$B$7:$FZ$7))-SUM($B$29:BV29)),0)</f>
        <v>0</v>
      </c>
      <c r="BX36" s="209">
        <f>-IF(BX$3='20_FINANCIACION'!$B$13,'20_FINANCIACION'!$B$24*'20_FINANCIACION'!$B$11*ABS(SUM('30_CASHFLOW'!$B$7:$FZ$7)),0)-IF(AND(BX$3&gt;='20_FINANCIACION'!$B$13,BX$3&lt;'20_FINANCIACION'!$B$14),'20_FINANCIACION'!$B$25/12*MAX(0,'20_FINANCIACION'!$B$11*ABS(SUM('30_CASHFLOW'!$B$7:$FZ$7))-SUM($B$29:BW29)),0)</f>
        <v>0</v>
      </c>
      <c r="BY36" s="209">
        <f>-IF(BY$3='20_FINANCIACION'!$B$13,'20_FINANCIACION'!$B$24*'20_FINANCIACION'!$B$11*ABS(SUM('30_CASHFLOW'!$B$7:$FZ$7)),0)-IF(AND(BY$3&gt;='20_FINANCIACION'!$B$13,BY$3&lt;'20_FINANCIACION'!$B$14),'20_FINANCIACION'!$B$25/12*MAX(0,'20_FINANCIACION'!$B$11*ABS(SUM('30_CASHFLOW'!$B$7:$FZ$7))-SUM($B$29:BX29)),0)</f>
        <v>0</v>
      </c>
      <c r="BZ36" s="209">
        <f>-IF(BZ$3='20_FINANCIACION'!$B$13,'20_FINANCIACION'!$B$24*'20_FINANCIACION'!$B$11*ABS(SUM('30_CASHFLOW'!$B$7:$FZ$7)),0)-IF(AND(BZ$3&gt;='20_FINANCIACION'!$B$13,BZ$3&lt;'20_FINANCIACION'!$B$14),'20_FINANCIACION'!$B$25/12*MAX(0,'20_FINANCIACION'!$B$11*ABS(SUM('30_CASHFLOW'!$B$7:$FZ$7))-SUM($B$29:BY29)),0)</f>
        <v>0</v>
      </c>
      <c r="CA36" s="209">
        <f>-IF(CA$3='20_FINANCIACION'!$B$13,'20_FINANCIACION'!$B$24*'20_FINANCIACION'!$B$11*ABS(SUM('30_CASHFLOW'!$B$7:$FZ$7)),0)-IF(AND(CA$3&gt;='20_FINANCIACION'!$B$13,CA$3&lt;'20_FINANCIACION'!$B$14),'20_FINANCIACION'!$B$25/12*MAX(0,'20_FINANCIACION'!$B$11*ABS(SUM('30_CASHFLOW'!$B$7:$FZ$7))-SUM($B$29:BZ29)),0)</f>
        <v>0</v>
      </c>
      <c r="CB36" s="209">
        <f>-IF(CB$3='20_FINANCIACION'!$B$13,'20_FINANCIACION'!$B$24*'20_FINANCIACION'!$B$11*ABS(SUM('30_CASHFLOW'!$B$7:$FZ$7)),0)-IF(AND(CB$3&gt;='20_FINANCIACION'!$B$13,CB$3&lt;'20_FINANCIACION'!$B$14),'20_FINANCIACION'!$B$25/12*MAX(0,'20_FINANCIACION'!$B$11*ABS(SUM('30_CASHFLOW'!$B$7:$FZ$7))-SUM($B$29:CA29)),0)</f>
        <v>0</v>
      </c>
      <c r="CC36" s="209">
        <f>-IF(CC$3='20_FINANCIACION'!$B$13,'20_FINANCIACION'!$B$24*'20_FINANCIACION'!$B$11*ABS(SUM('30_CASHFLOW'!$B$7:$FZ$7)),0)-IF(AND(CC$3&gt;='20_FINANCIACION'!$B$13,CC$3&lt;'20_FINANCIACION'!$B$14),'20_FINANCIACION'!$B$25/12*MAX(0,'20_FINANCIACION'!$B$11*ABS(SUM('30_CASHFLOW'!$B$7:$FZ$7))-SUM($B$29:CB29)),0)</f>
        <v>0</v>
      </c>
      <c r="CD36" s="209">
        <f>-IF(CD$3='20_FINANCIACION'!$B$13,'20_FINANCIACION'!$B$24*'20_FINANCIACION'!$B$11*ABS(SUM('30_CASHFLOW'!$B$7:$FZ$7)),0)-IF(AND(CD$3&gt;='20_FINANCIACION'!$B$13,CD$3&lt;'20_FINANCIACION'!$B$14),'20_FINANCIACION'!$B$25/12*MAX(0,'20_FINANCIACION'!$B$11*ABS(SUM('30_CASHFLOW'!$B$7:$FZ$7))-SUM($B$29:CC29)),0)</f>
        <v>0</v>
      </c>
      <c r="CE36" s="209">
        <f>-IF(CE$3='20_FINANCIACION'!$B$13,'20_FINANCIACION'!$B$24*'20_FINANCIACION'!$B$11*ABS(SUM('30_CASHFLOW'!$B$7:$FZ$7)),0)-IF(AND(CE$3&gt;='20_FINANCIACION'!$B$13,CE$3&lt;'20_FINANCIACION'!$B$14),'20_FINANCIACION'!$B$25/12*MAX(0,'20_FINANCIACION'!$B$11*ABS(SUM('30_CASHFLOW'!$B$7:$FZ$7))-SUM($B$29:CD29)),0)</f>
        <v>0</v>
      </c>
      <c r="CF36" s="209">
        <f>-IF(CF$3='20_FINANCIACION'!$B$13,'20_FINANCIACION'!$B$24*'20_FINANCIACION'!$B$11*ABS(SUM('30_CASHFLOW'!$B$7:$FZ$7)),0)-IF(AND(CF$3&gt;='20_FINANCIACION'!$B$13,CF$3&lt;'20_FINANCIACION'!$B$14),'20_FINANCIACION'!$B$25/12*MAX(0,'20_FINANCIACION'!$B$11*ABS(SUM('30_CASHFLOW'!$B$7:$FZ$7))-SUM($B$29:CE29)),0)</f>
        <v>0</v>
      </c>
      <c r="CG36" s="209">
        <f>-IF(CG$3='20_FINANCIACION'!$B$13,'20_FINANCIACION'!$B$24*'20_FINANCIACION'!$B$11*ABS(SUM('30_CASHFLOW'!$B$7:$FZ$7)),0)-IF(AND(CG$3&gt;='20_FINANCIACION'!$B$13,CG$3&lt;'20_FINANCIACION'!$B$14),'20_FINANCIACION'!$B$25/12*MAX(0,'20_FINANCIACION'!$B$11*ABS(SUM('30_CASHFLOW'!$B$7:$FZ$7))-SUM($B$29:CF29)),0)</f>
        <v>0</v>
      </c>
      <c r="CH36" s="209">
        <f>-IF(CH$3='20_FINANCIACION'!$B$13,'20_FINANCIACION'!$B$24*'20_FINANCIACION'!$B$11*ABS(SUM('30_CASHFLOW'!$B$7:$FZ$7)),0)-IF(AND(CH$3&gt;='20_FINANCIACION'!$B$13,CH$3&lt;'20_FINANCIACION'!$B$14),'20_FINANCIACION'!$B$25/12*MAX(0,'20_FINANCIACION'!$B$11*ABS(SUM('30_CASHFLOW'!$B$7:$FZ$7))-SUM($B$29:CG29)),0)</f>
        <v>0</v>
      </c>
      <c r="CI36" s="209">
        <f>-IF(CI$3='20_FINANCIACION'!$B$13,'20_FINANCIACION'!$B$24*'20_FINANCIACION'!$B$11*ABS(SUM('30_CASHFLOW'!$B$7:$FZ$7)),0)-IF(AND(CI$3&gt;='20_FINANCIACION'!$B$13,CI$3&lt;'20_FINANCIACION'!$B$14),'20_FINANCIACION'!$B$25/12*MAX(0,'20_FINANCIACION'!$B$11*ABS(SUM('30_CASHFLOW'!$B$7:$FZ$7))-SUM($B$29:CH29)),0)</f>
        <v>0</v>
      </c>
      <c r="CJ36" s="209">
        <f>-IF(CJ$3='20_FINANCIACION'!$B$13,'20_FINANCIACION'!$B$24*'20_FINANCIACION'!$B$11*ABS(SUM('30_CASHFLOW'!$B$7:$FZ$7)),0)-IF(AND(CJ$3&gt;='20_FINANCIACION'!$B$13,CJ$3&lt;'20_FINANCIACION'!$B$14),'20_FINANCIACION'!$B$25/12*MAX(0,'20_FINANCIACION'!$B$11*ABS(SUM('30_CASHFLOW'!$B$7:$FZ$7))-SUM($B$29:CI29)),0)</f>
        <v>0</v>
      </c>
      <c r="CK36" s="209">
        <f>-IF(CK$3='20_FINANCIACION'!$B$13,'20_FINANCIACION'!$B$24*'20_FINANCIACION'!$B$11*ABS(SUM('30_CASHFLOW'!$B$7:$FZ$7)),0)-IF(AND(CK$3&gt;='20_FINANCIACION'!$B$13,CK$3&lt;'20_FINANCIACION'!$B$14),'20_FINANCIACION'!$B$25/12*MAX(0,'20_FINANCIACION'!$B$11*ABS(SUM('30_CASHFLOW'!$B$7:$FZ$7))-SUM($B$29:CJ29)),0)</f>
        <v>0</v>
      </c>
      <c r="CL36" s="209">
        <f>-IF(CL$3='20_FINANCIACION'!$B$13,'20_FINANCIACION'!$B$24*'20_FINANCIACION'!$B$11*ABS(SUM('30_CASHFLOW'!$B$7:$FZ$7)),0)-IF(AND(CL$3&gt;='20_FINANCIACION'!$B$13,CL$3&lt;'20_FINANCIACION'!$B$14),'20_FINANCIACION'!$B$25/12*MAX(0,'20_FINANCIACION'!$B$11*ABS(SUM('30_CASHFLOW'!$B$7:$FZ$7))-SUM($B$29:CK29)),0)</f>
        <v>0</v>
      </c>
      <c r="CM36" s="209">
        <f>-IF(CM$3='20_FINANCIACION'!$B$13,'20_FINANCIACION'!$B$24*'20_FINANCIACION'!$B$11*ABS(SUM('30_CASHFLOW'!$B$7:$FZ$7)),0)-IF(AND(CM$3&gt;='20_FINANCIACION'!$B$13,CM$3&lt;'20_FINANCIACION'!$B$14),'20_FINANCIACION'!$B$25/12*MAX(0,'20_FINANCIACION'!$B$11*ABS(SUM('30_CASHFLOW'!$B$7:$FZ$7))-SUM($B$29:CL29)),0)</f>
        <v>0</v>
      </c>
      <c r="CN36" s="209">
        <f>-IF(CN$3='20_FINANCIACION'!$B$13,'20_FINANCIACION'!$B$24*'20_FINANCIACION'!$B$11*ABS(SUM('30_CASHFLOW'!$B$7:$FZ$7)),0)-IF(AND(CN$3&gt;='20_FINANCIACION'!$B$13,CN$3&lt;'20_FINANCIACION'!$B$14),'20_FINANCIACION'!$B$25/12*MAX(0,'20_FINANCIACION'!$B$11*ABS(SUM('30_CASHFLOW'!$B$7:$FZ$7))-SUM($B$29:CM29)),0)</f>
        <v>0</v>
      </c>
      <c r="CO36" s="209">
        <f>-IF(CO$3='20_FINANCIACION'!$B$13,'20_FINANCIACION'!$B$24*'20_FINANCIACION'!$B$11*ABS(SUM('30_CASHFLOW'!$B$7:$FZ$7)),0)-IF(AND(CO$3&gt;='20_FINANCIACION'!$B$13,CO$3&lt;'20_FINANCIACION'!$B$14),'20_FINANCIACION'!$B$25/12*MAX(0,'20_FINANCIACION'!$B$11*ABS(SUM('30_CASHFLOW'!$B$7:$FZ$7))-SUM($B$29:CN29)),0)</f>
        <v>0</v>
      </c>
      <c r="CP36" s="209">
        <f>-IF(CP$3='20_FINANCIACION'!$B$13,'20_FINANCIACION'!$B$24*'20_FINANCIACION'!$B$11*ABS(SUM('30_CASHFLOW'!$B$7:$FZ$7)),0)-IF(AND(CP$3&gt;='20_FINANCIACION'!$B$13,CP$3&lt;'20_FINANCIACION'!$B$14),'20_FINANCIACION'!$B$25/12*MAX(0,'20_FINANCIACION'!$B$11*ABS(SUM('30_CASHFLOW'!$B$7:$FZ$7))-SUM($B$29:CO29)),0)</f>
        <v>0</v>
      </c>
      <c r="CQ36" s="209">
        <f>-IF(CQ$3='20_FINANCIACION'!$B$13,'20_FINANCIACION'!$B$24*'20_FINANCIACION'!$B$11*ABS(SUM('30_CASHFLOW'!$B$7:$FZ$7)),0)-IF(AND(CQ$3&gt;='20_FINANCIACION'!$B$13,CQ$3&lt;'20_FINANCIACION'!$B$14),'20_FINANCIACION'!$B$25/12*MAX(0,'20_FINANCIACION'!$B$11*ABS(SUM('30_CASHFLOW'!$B$7:$FZ$7))-SUM($B$29:CP29)),0)</f>
        <v>0</v>
      </c>
      <c r="CR36" s="209">
        <f>-IF(CR$3='20_FINANCIACION'!$B$13,'20_FINANCIACION'!$B$24*'20_FINANCIACION'!$B$11*ABS(SUM('30_CASHFLOW'!$B$7:$FZ$7)),0)-IF(AND(CR$3&gt;='20_FINANCIACION'!$B$13,CR$3&lt;'20_FINANCIACION'!$B$14),'20_FINANCIACION'!$B$25/12*MAX(0,'20_FINANCIACION'!$B$11*ABS(SUM('30_CASHFLOW'!$B$7:$FZ$7))-SUM($B$29:CQ29)),0)</f>
        <v>0</v>
      </c>
      <c r="CS36" s="209">
        <f>-IF(CS$3='20_FINANCIACION'!$B$13,'20_FINANCIACION'!$B$24*'20_FINANCIACION'!$B$11*ABS(SUM('30_CASHFLOW'!$B$7:$FZ$7)),0)-IF(AND(CS$3&gt;='20_FINANCIACION'!$B$13,CS$3&lt;'20_FINANCIACION'!$B$14),'20_FINANCIACION'!$B$25/12*MAX(0,'20_FINANCIACION'!$B$11*ABS(SUM('30_CASHFLOW'!$B$7:$FZ$7))-SUM($B$29:CR29)),0)</f>
        <v>0</v>
      </c>
      <c r="CT36" s="209">
        <f>-IF(CT$3='20_FINANCIACION'!$B$13,'20_FINANCIACION'!$B$24*'20_FINANCIACION'!$B$11*ABS(SUM('30_CASHFLOW'!$B$7:$FZ$7)),0)-IF(AND(CT$3&gt;='20_FINANCIACION'!$B$13,CT$3&lt;'20_FINANCIACION'!$B$14),'20_FINANCIACION'!$B$25/12*MAX(0,'20_FINANCIACION'!$B$11*ABS(SUM('30_CASHFLOW'!$B$7:$FZ$7))-SUM($B$29:CS29)),0)</f>
        <v>0</v>
      </c>
      <c r="CU36" s="209">
        <f>-IF(CU$3='20_FINANCIACION'!$B$13,'20_FINANCIACION'!$B$24*'20_FINANCIACION'!$B$11*ABS(SUM('30_CASHFLOW'!$B$7:$FZ$7)),0)-IF(AND(CU$3&gt;='20_FINANCIACION'!$B$13,CU$3&lt;'20_FINANCIACION'!$B$14),'20_FINANCIACION'!$B$25/12*MAX(0,'20_FINANCIACION'!$B$11*ABS(SUM('30_CASHFLOW'!$B$7:$FZ$7))-SUM($B$29:CT29)),0)</f>
        <v>0</v>
      </c>
      <c r="CV36" s="209">
        <f>-IF(CV$3='20_FINANCIACION'!$B$13,'20_FINANCIACION'!$B$24*'20_FINANCIACION'!$B$11*ABS(SUM('30_CASHFLOW'!$B$7:$FZ$7)),0)-IF(AND(CV$3&gt;='20_FINANCIACION'!$B$13,CV$3&lt;'20_FINANCIACION'!$B$14),'20_FINANCIACION'!$B$25/12*MAX(0,'20_FINANCIACION'!$B$11*ABS(SUM('30_CASHFLOW'!$B$7:$FZ$7))-SUM($B$29:CU29)),0)</f>
        <v>0</v>
      </c>
      <c r="CW36" s="209">
        <f>-IF(CW$3='20_FINANCIACION'!$B$13,'20_FINANCIACION'!$B$24*'20_FINANCIACION'!$B$11*ABS(SUM('30_CASHFLOW'!$B$7:$FZ$7)),0)-IF(AND(CW$3&gt;='20_FINANCIACION'!$B$13,CW$3&lt;'20_FINANCIACION'!$B$14),'20_FINANCIACION'!$B$25/12*MAX(0,'20_FINANCIACION'!$B$11*ABS(SUM('30_CASHFLOW'!$B$7:$FZ$7))-SUM($B$29:CV29)),0)</f>
        <v>0</v>
      </c>
      <c r="CX36" s="209">
        <f>-IF(CX$3='20_FINANCIACION'!$B$13,'20_FINANCIACION'!$B$24*'20_FINANCIACION'!$B$11*ABS(SUM('30_CASHFLOW'!$B$7:$FZ$7)),0)-IF(AND(CX$3&gt;='20_FINANCIACION'!$B$13,CX$3&lt;'20_FINANCIACION'!$B$14),'20_FINANCIACION'!$B$25/12*MAX(0,'20_FINANCIACION'!$B$11*ABS(SUM('30_CASHFLOW'!$B$7:$FZ$7))-SUM($B$29:CW29)),0)</f>
        <v>0</v>
      </c>
      <c r="CY36" s="209">
        <f>-IF(CY$3='20_FINANCIACION'!$B$13,'20_FINANCIACION'!$B$24*'20_FINANCIACION'!$B$11*ABS(SUM('30_CASHFLOW'!$B$7:$FZ$7)),0)-IF(AND(CY$3&gt;='20_FINANCIACION'!$B$13,CY$3&lt;'20_FINANCIACION'!$B$14),'20_FINANCIACION'!$B$25/12*MAX(0,'20_FINANCIACION'!$B$11*ABS(SUM('30_CASHFLOW'!$B$7:$FZ$7))-SUM($B$29:CX29)),0)</f>
        <v>0</v>
      </c>
      <c r="CZ36" s="209">
        <f>-IF(CZ$3='20_FINANCIACION'!$B$13,'20_FINANCIACION'!$B$24*'20_FINANCIACION'!$B$11*ABS(SUM('30_CASHFLOW'!$B$7:$FZ$7)),0)-IF(AND(CZ$3&gt;='20_FINANCIACION'!$B$13,CZ$3&lt;'20_FINANCIACION'!$B$14),'20_FINANCIACION'!$B$25/12*MAX(0,'20_FINANCIACION'!$B$11*ABS(SUM('30_CASHFLOW'!$B$7:$FZ$7))-SUM($B$29:CY29)),0)</f>
        <v>0</v>
      </c>
      <c r="DA36" s="209">
        <f>-IF(DA$3='20_FINANCIACION'!$B$13,'20_FINANCIACION'!$B$24*'20_FINANCIACION'!$B$11*ABS(SUM('30_CASHFLOW'!$B$7:$FZ$7)),0)-IF(AND(DA$3&gt;='20_FINANCIACION'!$B$13,DA$3&lt;'20_FINANCIACION'!$B$14),'20_FINANCIACION'!$B$25/12*MAX(0,'20_FINANCIACION'!$B$11*ABS(SUM('30_CASHFLOW'!$B$7:$FZ$7))-SUM($B$29:CZ29)),0)</f>
        <v>0</v>
      </c>
      <c r="DB36" s="209">
        <f>-IF(DB$3='20_FINANCIACION'!$B$13,'20_FINANCIACION'!$B$24*'20_FINANCIACION'!$B$11*ABS(SUM('30_CASHFLOW'!$B$7:$FZ$7)),0)-IF(AND(DB$3&gt;='20_FINANCIACION'!$B$13,DB$3&lt;'20_FINANCIACION'!$B$14),'20_FINANCIACION'!$B$25/12*MAX(0,'20_FINANCIACION'!$B$11*ABS(SUM('30_CASHFLOW'!$B$7:$FZ$7))-SUM($B$29:DA29)),0)</f>
        <v>0</v>
      </c>
      <c r="DC36" s="209">
        <f>-IF(DC$3='20_FINANCIACION'!$B$13,'20_FINANCIACION'!$B$24*'20_FINANCIACION'!$B$11*ABS(SUM('30_CASHFLOW'!$B$7:$FZ$7)),0)-IF(AND(DC$3&gt;='20_FINANCIACION'!$B$13,DC$3&lt;'20_FINANCIACION'!$B$14),'20_FINANCIACION'!$B$25/12*MAX(0,'20_FINANCIACION'!$B$11*ABS(SUM('30_CASHFLOW'!$B$7:$FZ$7))-SUM($B$29:DB29)),0)</f>
        <v>0</v>
      </c>
      <c r="DD36" s="209">
        <f>-IF(DD$3='20_FINANCIACION'!$B$13,'20_FINANCIACION'!$B$24*'20_FINANCIACION'!$B$11*ABS(SUM('30_CASHFLOW'!$B$7:$FZ$7)),0)-IF(AND(DD$3&gt;='20_FINANCIACION'!$B$13,DD$3&lt;'20_FINANCIACION'!$B$14),'20_FINANCIACION'!$B$25/12*MAX(0,'20_FINANCIACION'!$B$11*ABS(SUM('30_CASHFLOW'!$B$7:$FZ$7))-SUM($B$29:DC29)),0)</f>
        <v>0</v>
      </c>
      <c r="DE36" s="209">
        <f>-IF(DE$3='20_FINANCIACION'!$B$13,'20_FINANCIACION'!$B$24*'20_FINANCIACION'!$B$11*ABS(SUM('30_CASHFLOW'!$B$7:$FZ$7)),0)-IF(AND(DE$3&gt;='20_FINANCIACION'!$B$13,DE$3&lt;'20_FINANCIACION'!$B$14),'20_FINANCIACION'!$B$25/12*MAX(0,'20_FINANCIACION'!$B$11*ABS(SUM('30_CASHFLOW'!$B$7:$FZ$7))-SUM($B$29:DD29)),0)</f>
        <v>0</v>
      </c>
      <c r="DF36" s="209">
        <f>-IF(DF$3='20_FINANCIACION'!$B$13,'20_FINANCIACION'!$B$24*'20_FINANCIACION'!$B$11*ABS(SUM('30_CASHFLOW'!$B$7:$FZ$7)),0)-IF(AND(DF$3&gt;='20_FINANCIACION'!$B$13,DF$3&lt;'20_FINANCIACION'!$B$14),'20_FINANCIACION'!$B$25/12*MAX(0,'20_FINANCIACION'!$B$11*ABS(SUM('30_CASHFLOW'!$B$7:$FZ$7))-SUM($B$29:DE29)),0)</f>
        <v>0</v>
      </c>
      <c r="DG36" s="209">
        <f>-IF(DG$3='20_FINANCIACION'!$B$13,'20_FINANCIACION'!$B$24*'20_FINANCIACION'!$B$11*ABS(SUM('30_CASHFLOW'!$B$7:$FZ$7)),0)-IF(AND(DG$3&gt;='20_FINANCIACION'!$B$13,DG$3&lt;'20_FINANCIACION'!$B$14),'20_FINANCIACION'!$B$25/12*MAX(0,'20_FINANCIACION'!$B$11*ABS(SUM('30_CASHFLOW'!$B$7:$FZ$7))-SUM($B$29:DF29)),0)</f>
        <v>0</v>
      </c>
      <c r="DH36" s="209">
        <f>-IF(DH$3='20_FINANCIACION'!$B$13,'20_FINANCIACION'!$B$24*'20_FINANCIACION'!$B$11*ABS(SUM('30_CASHFLOW'!$B$7:$FZ$7)),0)-IF(AND(DH$3&gt;='20_FINANCIACION'!$B$13,DH$3&lt;'20_FINANCIACION'!$B$14),'20_FINANCIACION'!$B$25/12*MAX(0,'20_FINANCIACION'!$B$11*ABS(SUM('30_CASHFLOW'!$B$7:$FZ$7))-SUM($B$29:DG29)),0)</f>
        <v>0</v>
      </c>
      <c r="DI36" s="209">
        <f>-IF(DI$3='20_FINANCIACION'!$B$13,'20_FINANCIACION'!$B$24*'20_FINANCIACION'!$B$11*ABS(SUM('30_CASHFLOW'!$B$7:$FZ$7)),0)-IF(AND(DI$3&gt;='20_FINANCIACION'!$B$13,DI$3&lt;'20_FINANCIACION'!$B$14),'20_FINANCIACION'!$B$25/12*MAX(0,'20_FINANCIACION'!$B$11*ABS(SUM('30_CASHFLOW'!$B$7:$FZ$7))-SUM($B$29:DH29)),0)</f>
        <v>0</v>
      </c>
      <c r="DJ36" s="209">
        <f>-IF(DJ$3='20_FINANCIACION'!$B$13,'20_FINANCIACION'!$B$24*'20_FINANCIACION'!$B$11*ABS(SUM('30_CASHFLOW'!$B$7:$FZ$7)),0)-IF(AND(DJ$3&gt;='20_FINANCIACION'!$B$13,DJ$3&lt;'20_FINANCIACION'!$B$14),'20_FINANCIACION'!$B$25/12*MAX(0,'20_FINANCIACION'!$B$11*ABS(SUM('30_CASHFLOW'!$B$7:$FZ$7))-SUM($B$29:DI29)),0)</f>
        <v>0</v>
      </c>
      <c r="DK36" s="209">
        <f>-IF(DK$3='20_FINANCIACION'!$B$13,'20_FINANCIACION'!$B$24*'20_FINANCIACION'!$B$11*ABS(SUM('30_CASHFLOW'!$B$7:$FZ$7)),0)-IF(AND(DK$3&gt;='20_FINANCIACION'!$B$13,DK$3&lt;'20_FINANCIACION'!$B$14),'20_FINANCIACION'!$B$25/12*MAX(0,'20_FINANCIACION'!$B$11*ABS(SUM('30_CASHFLOW'!$B$7:$FZ$7))-SUM($B$29:DJ29)),0)</f>
        <v>0</v>
      </c>
      <c r="DL36" s="209">
        <f>-IF(DL$3='20_FINANCIACION'!$B$13,'20_FINANCIACION'!$B$24*'20_FINANCIACION'!$B$11*ABS(SUM('30_CASHFLOW'!$B$7:$FZ$7)),0)-IF(AND(DL$3&gt;='20_FINANCIACION'!$B$13,DL$3&lt;'20_FINANCIACION'!$B$14),'20_FINANCIACION'!$B$25/12*MAX(0,'20_FINANCIACION'!$B$11*ABS(SUM('30_CASHFLOW'!$B$7:$FZ$7))-SUM($B$29:DK29)),0)</f>
        <v>0</v>
      </c>
      <c r="DM36" s="209">
        <f>-IF(DM$3='20_FINANCIACION'!$B$13,'20_FINANCIACION'!$B$24*'20_FINANCIACION'!$B$11*ABS(SUM('30_CASHFLOW'!$B$7:$FZ$7)),0)-IF(AND(DM$3&gt;='20_FINANCIACION'!$B$13,DM$3&lt;'20_FINANCIACION'!$B$14),'20_FINANCIACION'!$B$25/12*MAX(0,'20_FINANCIACION'!$B$11*ABS(SUM('30_CASHFLOW'!$B$7:$FZ$7))-SUM($B$29:DL29)),0)</f>
        <v>0</v>
      </c>
      <c r="DN36" s="209">
        <f>-IF(DN$3='20_FINANCIACION'!$B$13,'20_FINANCIACION'!$B$24*'20_FINANCIACION'!$B$11*ABS(SUM('30_CASHFLOW'!$B$7:$FZ$7)),0)-IF(AND(DN$3&gt;='20_FINANCIACION'!$B$13,DN$3&lt;'20_FINANCIACION'!$B$14),'20_FINANCIACION'!$B$25/12*MAX(0,'20_FINANCIACION'!$B$11*ABS(SUM('30_CASHFLOW'!$B$7:$FZ$7))-SUM($B$29:DM29)),0)</f>
        <v>0</v>
      </c>
      <c r="DO36" s="209">
        <f>-IF(DO$3='20_FINANCIACION'!$B$13,'20_FINANCIACION'!$B$24*'20_FINANCIACION'!$B$11*ABS(SUM('30_CASHFLOW'!$B$7:$FZ$7)),0)-IF(AND(DO$3&gt;='20_FINANCIACION'!$B$13,DO$3&lt;'20_FINANCIACION'!$B$14),'20_FINANCIACION'!$B$25/12*MAX(0,'20_FINANCIACION'!$B$11*ABS(SUM('30_CASHFLOW'!$B$7:$FZ$7))-SUM($B$29:DN29)),0)</f>
        <v>0</v>
      </c>
      <c r="DP36" s="209">
        <f>-IF(DP$3='20_FINANCIACION'!$B$13,'20_FINANCIACION'!$B$24*'20_FINANCIACION'!$B$11*ABS(SUM('30_CASHFLOW'!$B$7:$FZ$7)),0)-IF(AND(DP$3&gt;='20_FINANCIACION'!$B$13,DP$3&lt;'20_FINANCIACION'!$B$14),'20_FINANCIACION'!$B$25/12*MAX(0,'20_FINANCIACION'!$B$11*ABS(SUM('30_CASHFLOW'!$B$7:$FZ$7))-SUM($B$29:DO29)),0)</f>
        <v>0</v>
      </c>
      <c r="DQ36" s="209">
        <f>-IF(DQ$3='20_FINANCIACION'!$B$13,'20_FINANCIACION'!$B$24*'20_FINANCIACION'!$B$11*ABS(SUM('30_CASHFLOW'!$B$7:$FZ$7)),0)-IF(AND(DQ$3&gt;='20_FINANCIACION'!$B$13,DQ$3&lt;'20_FINANCIACION'!$B$14),'20_FINANCIACION'!$B$25/12*MAX(0,'20_FINANCIACION'!$B$11*ABS(SUM('30_CASHFLOW'!$B$7:$FZ$7))-SUM($B$29:DP29)),0)</f>
        <v>0</v>
      </c>
      <c r="DR36" s="209">
        <f>-IF(DR$3='20_FINANCIACION'!$B$13,'20_FINANCIACION'!$B$24*'20_FINANCIACION'!$B$11*ABS(SUM('30_CASHFLOW'!$B$7:$FZ$7)),0)-IF(AND(DR$3&gt;='20_FINANCIACION'!$B$13,DR$3&lt;'20_FINANCIACION'!$B$14),'20_FINANCIACION'!$B$25/12*MAX(0,'20_FINANCIACION'!$B$11*ABS(SUM('30_CASHFLOW'!$B$7:$FZ$7))-SUM($B$29:DQ29)),0)</f>
        <v>0</v>
      </c>
      <c r="DS36" s="209">
        <f>-IF(DS$3='20_FINANCIACION'!$B$13,'20_FINANCIACION'!$B$24*'20_FINANCIACION'!$B$11*ABS(SUM('30_CASHFLOW'!$B$7:$FZ$7)),0)-IF(AND(DS$3&gt;='20_FINANCIACION'!$B$13,DS$3&lt;'20_FINANCIACION'!$B$14),'20_FINANCIACION'!$B$25/12*MAX(0,'20_FINANCIACION'!$B$11*ABS(SUM('30_CASHFLOW'!$B$7:$FZ$7))-SUM($B$29:DR29)),0)</f>
        <v>0</v>
      </c>
      <c r="DT36" s="209">
        <f>-IF(DT$3='20_FINANCIACION'!$B$13,'20_FINANCIACION'!$B$24*'20_FINANCIACION'!$B$11*ABS(SUM('30_CASHFLOW'!$B$7:$FZ$7)),0)-IF(AND(DT$3&gt;='20_FINANCIACION'!$B$13,DT$3&lt;'20_FINANCIACION'!$B$14),'20_FINANCIACION'!$B$25/12*MAX(0,'20_FINANCIACION'!$B$11*ABS(SUM('30_CASHFLOW'!$B$7:$FZ$7))-SUM($B$29:DS29)),0)</f>
        <v>0</v>
      </c>
      <c r="DU36" s="209">
        <f>-IF(DU$3='20_FINANCIACION'!$B$13,'20_FINANCIACION'!$B$24*'20_FINANCIACION'!$B$11*ABS(SUM('30_CASHFLOW'!$B$7:$FZ$7)),0)-IF(AND(DU$3&gt;='20_FINANCIACION'!$B$13,DU$3&lt;'20_FINANCIACION'!$B$14),'20_FINANCIACION'!$B$25/12*MAX(0,'20_FINANCIACION'!$B$11*ABS(SUM('30_CASHFLOW'!$B$7:$FZ$7))-SUM($B$29:DT29)),0)</f>
        <v>0</v>
      </c>
      <c r="DV36" s="209">
        <f>-IF(DV$3='20_FINANCIACION'!$B$13,'20_FINANCIACION'!$B$24*'20_FINANCIACION'!$B$11*ABS(SUM('30_CASHFLOW'!$B$7:$FZ$7)),0)-IF(AND(DV$3&gt;='20_FINANCIACION'!$B$13,DV$3&lt;'20_FINANCIACION'!$B$14),'20_FINANCIACION'!$B$25/12*MAX(0,'20_FINANCIACION'!$B$11*ABS(SUM('30_CASHFLOW'!$B$7:$FZ$7))-SUM($B$29:DU29)),0)</f>
        <v>0</v>
      </c>
      <c r="DW36" s="209">
        <f>-IF(DW$3='20_FINANCIACION'!$B$13,'20_FINANCIACION'!$B$24*'20_FINANCIACION'!$B$11*ABS(SUM('30_CASHFLOW'!$B$7:$FZ$7)),0)-IF(AND(DW$3&gt;='20_FINANCIACION'!$B$13,DW$3&lt;'20_FINANCIACION'!$B$14),'20_FINANCIACION'!$B$25/12*MAX(0,'20_FINANCIACION'!$B$11*ABS(SUM('30_CASHFLOW'!$B$7:$FZ$7))-SUM($B$29:DV29)),0)</f>
        <v>0</v>
      </c>
      <c r="DX36" s="209">
        <f>-IF(DX$3='20_FINANCIACION'!$B$13,'20_FINANCIACION'!$B$24*'20_FINANCIACION'!$B$11*ABS(SUM('30_CASHFLOW'!$B$7:$FZ$7)),0)-IF(AND(DX$3&gt;='20_FINANCIACION'!$B$13,DX$3&lt;'20_FINANCIACION'!$B$14),'20_FINANCIACION'!$B$25/12*MAX(0,'20_FINANCIACION'!$B$11*ABS(SUM('30_CASHFLOW'!$B$7:$FZ$7))-SUM($B$29:DW29)),0)</f>
        <v>0</v>
      </c>
      <c r="DY36" s="209">
        <f>-IF(DY$3='20_FINANCIACION'!$B$13,'20_FINANCIACION'!$B$24*'20_FINANCIACION'!$B$11*ABS(SUM('30_CASHFLOW'!$B$7:$FZ$7)),0)-IF(AND(DY$3&gt;='20_FINANCIACION'!$B$13,DY$3&lt;'20_FINANCIACION'!$B$14),'20_FINANCIACION'!$B$25/12*MAX(0,'20_FINANCIACION'!$B$11*ABS(SUM('30_CASHFLOW'!$B$7:$FZ$7))-SUM($B$29:DX29)),0)</f>
        <v>0</v>
      </c>
      <c r="DZ36" s="209">
        <f>-IF(DZ$3='20_FINANCIACION'!$B$13,'20_FINANCIACION'!$B$24*'20_FINANCIACION'!$B$11*ABS(SUM('30_CASHFLOW'!$B$7:$FZ$7)),0)-IF(AND(DZ$3&gt;='20_FINANCIACION'!$B$13,DZ$3&lt;'20_FINANCIACION'!$B$14),'20_FINANCIACION'!$B$25/12*MAX(0,'20_FINANCIACION'!$B$11*ABS(SUM('30_CASHFLOW'!$B$7:$FZ$7))-SUM($B$29:DY29)),0)</f>
        <v>0</v>
      </c>
      <c r="EA36" s="209">
        <f>-IF(EA$3='20_FINANCIACION'!$B$13,'20_FINANCIACION'!$B$24*'20_FINANCIACION'!$B$11*ABS(SUM('30_CASHFLOW'!$B$7:$FZ$7)),0)-IF(AND(EA$3&gt;='20_FINANCIACION'!$B$13,EA$3&lt;'20_FINANCIACION'!$B$14),'20_FINANCIACION'!$B$25/12*MAX(0,'20_FINANCIACION'!$B$11*ABS(SUM('30_CASHFLOW'!$B$7:$FZ$7))-SUM($B$29:DZ29)),0)</f>
        <v>0</v>
      </c>
      <c r="EB36" s="209">
        <f>-IF(EB$3='20_FINANCIACION'!$B$13,'20_FINANCIACION'!$B$24*'20_FINANCIACION'!$B$11*ABS(SUM('30_CASHFLOW'!$B$7:$FZ$7)),0)-IF(AND(EB$3&gt;='20_FINANCIACION'!$B$13,EB$3&lt;'20_FINANCIACION'!$B$14),'20_FINANCIACION'!$B$25/12*MAX(0,'20_FINANCIACION'!$B$11*ABS(SUM('30_CASHFLOW'!$B$7:$FZ$7))-SUM($B$29:EA29)),0)</f>
        <v>0</v>
      </c>
      <c r="EC36" s="209">
        <f>-IF(EC$3='20_FINANCIACION'!$B$13,'20_FINANCIACION'!$B$24*'20_FINANCIACION'!$B$11*ABS(SUM('30_CASHFLOW'!$B$7:$FZ$7)),0)-IF(AND(EC$3&gt;='20_FINANCIACION'!$B$13,EC$3&lt;'20_FINANCIACION'!$B$14),'20_FINANCIACION'!$B$25/12*MAX(0,'20_FINANCIACION'!$B$11*ABS(SUM('30_CASHFLOW'!$B$7:$FZ$7))-SUM($B$29:EB29)),0)</f>
        <v>0</v>
      </c>
      <c r="ED36" s="209">
        <f>-IF(ED$3='20_FINANCIACION'!$B$13,'20_FINANCIACION'!$B$24*'20_FINANCIACION'!$B$11*ABS(SUM('30_CASHFLOW'!$B$7:$FZ$7)),0)-IF(AND(ED$3&gt;='20_FINANCIACION'!$B$13,ED$3&lt;'20_FINANCIACION'!$B$14),'20_FINANCIACION'!$B$25/12*MAX(0,'20_FINANCIACION'!$B$11*ABS(SUM('30_CASHFLOW'!$B$7:$FZ$7))-SUM($B$29:EC29)),0)</f>
        <v>0</v>
      </c>
      <c r="EE36" s="209">
        <f>-IF(EE$3='20_FINANCIACION'!$B$13,'20_FINANCIACION'!$B$24*'20_FINANCIACION'!$B$11*ABS(SUM('30_CASHFLOW'!$B$7:$FZ$7)),0)-IF(AND(EE$3&gt;='20_FINANCIACION'!$B$13,EE$3&lt;'20_FINANCIACION'!$B$14),'20_FINANCIACION'!$B$25/12*MAX(0,'20_FINANCIACION'!$B$11*ABS(SUM('30_CASHFLOW'!$B$7:$FZ$7))-SUM($B$29:ED29)),0)</f>
        <v>0</v>
      </c>
      <c r="EF36" s="209">
        <f>-IF(EF$3='20_FINANCIACION'!$B$13,'20_FINANCIACION'!$B$24*'20_FINANCIACION'!$B$11*ABS(SUM('30_CASHFLOW'!$B$7:$FZ$7)),0)-IF(AND(EF$3&gt;='20_FINANCIACION'!$B$13,EF$3&lt;'20_FINANCIACION'!$B$14),'20_FINANCIACION'!$B$25/12*MAX(0,'20_FINANCIACION'!$B$11*ABS(SUM('30_CASHFLOW'!$B$7:$FZ$7))-SUM($B$29:EE29)),0)</f>
        <v>0</v>
      </c>
      <c r="EG36" s="209">
        <f>-IF(EG$3='20_FINANCIACION'!$B$13,'20_FINANCIACION'!$B$24*'20_FINANCIACION'!$B$11*ABS(SUM('30_CASHFLOW'!$B$7:$FZ$7)),0)-IF(AND(EG$3&gt;='20_FINANCIACION'!$B$13,EG$3&lt;'20_FINANCIACION'!$B$14),'20_FINANCIACION'!$B$25/12*MAX(0,'20_FINANCIACION'!$B$11*ABS(SUM('30_CASHFLOW'!$B$7:$FZ$7))-SUM($B$29:EF29)),0)</f>
        <v>0</v>
      </c>
      <c r="EH36" s="209">
        <f>-IF(EH$3='20_FINANCIACION'!$B$13,'20_FINANCIACION'!$B$24*'20_FINANCIACION'!$B$11*ABS(SUM('30_CASHFLOW'!$B$7:$FZ$7)),0)-IF(AND(EH$3&gt;='20_FINANCIACION'!$B$13,EH$3&lt;'20_FINANCIACION'!$B$14),'20_FINANCIACION'!$B$25/12*MAX(0,'20_FINANCIACION'!$B$11*ABS(SUM('30_CASHFLOW'!$B$7:$FZ$7))-SUM($B$29:EG29)),0)</f>
        <v>0</v>
      </c>
      <c r="EI36" s="209">
        <f>-IF(EI$3='20_FINANCIACION'!$B$13,'20_FINANCIACION'!$B$24*'20_FINANCIACION'!$B$11*ABS(SUM('30_CASHFLOW'!$B$7:$FZ$7)),0)-IF(AND(EI$3&gt;='20_FINANCIACION'!$B$13,EI$3&lt;'20_FINANCIACION'!$B$14),'20_FINANCIACION'!$B$25/12*MAX(0,'20_FINANCIACION'!$B$11*ABS(SUM('30_CASHFLOW'!$B$7:$FZ$7))-SUM($B$29:EH29)),0)</f>
        <v>0</v>
      </c>
      <c r="EJ36" s="209">
        <f>-IF(EJ$3='20_FINANCIACION'!$B$13,'20_FINANCIACION'!$B$24*'20_FINANCIACION'!$B$11*ABS(SUM('30_CASHFLOW'!$B$7:$FZ$7)),0)-IF(AND(EJ$3&gt;='20_FINANCIACION'!$B$13,EJ$3&lt;'20_FINANCIACION'!$B$14),'20_FINANCIACION'!$B$25/12*MAX(0,'20_FINANCIACION'!$B$11*ABS(SUM('30_CASHFLOW'!$B$7:$FZ$7))-SUM($B$29:EI29)),0)</f>
        <v>0</v>
      </c>
      <c r="EK36" s="209">
        <f>-IF(EK$3='20_FINANCIACION'!$B$13,'20_FINANCIACION'!$B$24*'20_FINANCIACION'!$B$11*ABS(SUM('30_CASHFLOW'!$B$7:$FZ$7)),0)-IF(AND(EK$3&gt;='20_FINANCIACION'!$B$13,EK$3&lt;'20_FINANCIACION'!$B$14),'20_FINANCIACION'!$B$25/12*MAX(0,'20_FINANCIACION'!$B$11*ABS(SUM('30_CASHFLOW'!$B$7:$FZ$7))-SUM($B$29:EJ29)),0)</f>
        <v>0</v>
      </c>
      <c r="EL36" s="209">
        <f>-IF(EL$3='20_FINANCIACION'!$B$13,'20_FINANCIACION'!$B$24*'20_FINANCIACION'!$B$11*ABS(SUM('30_CASHFLOW'!$B$7:$FZ$7)),0)-IF(AND(EL$3&gt;='20_FINANCIACION'!$B$13,EL$3&lt;'20_FINANCIACION'!$B$14),'20_FINANCIACION'!$B$25/12*MAX(0,'20_FINANCIACION'!$B$11*ABS(SUM('30_CASHFLOW'!$B$7:$FZ$7))-SUM($B$29:EK29)),0)</f>
        <v>0</v>
      </c>
      <c r="EM36" s="209">
        <f>-IF(EM$3='20_FINANCIACION'!$B$13,'20_FINANCIACION'!$B$24*'20_FINANCIACION'!$B$11*ABS(SUM('30_CASHFLOW'!$B$7:$FZ$7)),0)-IF(AND(EM$3&gt;='20_FINANCIACION'!$B$13,EM$3&lt;'20_FINANCIACION'!$B$14),'20_FINANCIACION'!$B$25/12*MAX(0,'20_FINANCIACION'!$B$11*ABS(SUM('30_CASHFLOW'!$B$7:$FZ$7))-SUM($B$29:EL29)),0)</f>
        <v>0</v>
      </c>
      <c r="EN36" s="209">
        <f>-IF(EN$3='20_FINANCIACION'!$B$13,'20_FINANCIACION'!$B$24*'20_FINANCIACION'!$B$11*ABS(SUM('30_CASHFLOW'!$B$7:$FZ$7)),0)-IF(AND(EN$3&gt;='20_FINANCIACION'!$B$13,EN$3&lt;'20_FINANCIACION'!$B$14),'20_FINANCIACION'!$B$25/12*MAX(0,'20_FINANCIACION'!$B$11*ABS(SUM('30_CASHFLOW'!$B$7:$FZ$7))-SUM($B$29:EM29)),0)</f>
        <v>0</v>
      </c>
      <c r="EO36" s="209">
        <f>-IF(EO$3='20_FINANCIACION'!$B$13,'20_FINANCIACION'!$B$24*'20_FINANCIACION'!$B$11*ABS(SUM('30_CASHFLOW'!$B$7:$FZ$7)),0)-IF(AND(EO$3&gt;='20_FINANCIACION'!$B$13,EO$3&lt;'20_FINANCIACION'!$B$14),'20_FINANCIACION'!$B$25/12*MAX(0,'20_FINANCIACION'!$B$11*ABS(SUM('30_CASHFLOW'!$B$7:$FZ$7))-SUM($B$29:EN29)),0)</f>
        <v>0</v>
      </c>
      <c r="EP36" s="209">
        <f>-IF(EP$3='20_FINANCIACION'!$B$13,'20_FINANCIACION'!$B$24*'20_FINANCIACION'!$B$11*ABS(SUM('30_CASHFLOW'!$B$7:$FZ$7)),0)-IF(AND(EP$3&gt;='20_FINANCIACION'!$B$13,EP$3&lt;'20_FINANCIACION'!$B$14),'20_FINANCIACION'!$B$25/12*MAX(0,'20_FINANCIACION'!$B$11*ABS(SUM('30_CASHFLOW'!$B$7:$FZ$7))-SUM($B$29:EO29)),0)</f>
        <v>0</v>
      </c>
      <c r="EQ36" s="209">
        <f>-IF(EQ$3='20_FINANCIACION'!$B$13,'20_FINANCIACION'!$B$24*'20_FINANCIACION'!$B$11*ABS(SUM('30_CASHFLOW'!$B$7:$FZ$7)),0)-IF(AND(EQ$3&gt;='20_FINANCIACION'!$B$13,EQ$3&lt;'20_FINANCIACION'!$B$14),'20_FINANCIACION'!$B$25/12*MAX(0,'20_FINANCIACION'!$B$11*ABS(SUM('30_CASHFLOW'!$B$7:$FZ$7))-SUM($B$29:EP29)),0)</f>
        <v>0</v>
      </c>
      <c r="ER36" s="209">
        <f>-IF(ER$3='20_FINANCIACION'!$B$13,'20_FINANCIACION'!$B$24*'20_FINANCIACION'!$B$11*ABS(SUM('30_CASHFLOW'!$B$7:$FZ$7)),0)-IF(AND(ER$3&gt;='20_FINANCIACION'!$B$13,ER$3&lt;'20_FINANCIACION'!$B$14),'20_FINANCIACION'!$B$25/12*MAX(0,'20_FINANCIACION'!$B$11*ABS(SUM('30_CASHFLOW'!$B$7:$FZ$7))-SUM($B$29:EQ29)),0)</f>
        <v>0</v>
      </c>
      <c r="ES36" s="209">
        <f>-IF(ES$3='20_FINANCIACION'!$B$13,'20_FINANCIACION'!$B$24*'20_FINANCIACION'!$B$11*ABS(SUM('30_CASHFLOW'!$B$7:$FZ$7)),0)-IF(AND(ES$3&gt;='20_FINANCIACION'!$B$13,ES$3&lt;'20_FINANCIACION'!$B$14),'20_FINANCIACION'!$B$25/12*MAX(0,'20_FINANCIACION'!$B$11*ABS(SUM('30_CASHFLOW'!$B$7:$FZ$7))-SUM($B$29:ER29)),0)</f>
        <v>0</v>
      </c>
      <c r="ET36" s="209">
        <f>-IF(ET$3='20_FINANCIACION'!$B$13,'20_FINANCIACION'!$B$24*'20_FINANCIACION'!$B$11*ABS(SUM('30_CASHFLOW'!$B$7:$FZ$7)),0)-IF(AND(ET$3&gt;='20_FINANCIACION'!$B$13,ET$3&lt;'20_FINANCIACION'!$B$14),'20_FINANCIACION'!$B$25/12*MAX(0,'20_FINANCIACION'!$B$11*ABS(SUM('30_CASHFLOW'!$B$7:$FZ$7))-SUM($B$29:ES29)),0)</f>
        <v>0</v>
      </c>
      <c r="EU36" s="209">
        <f>-IF(EU$3='20_FINANCIACION'!$B$13,'20_FINANCIACION'!$B$24*'20_FINANCIACION'!$B$11*ABS(SUM('30_CASHFLOW'!$B$7:$FZ$7)),0)-IF(AND(EU$3&gt;='20_FINANCIACION'!$B$13,EU$3&lt;'20_FINANCIACION'!$B$14),'20_FINANCIACION'!$B$25/12*MAX(0,'20_FINANCIACION'!$B$11*ABS(SUM('30_CASHFLOW'!$B$7:$FZ$7))-SUM($B$29:ET29)),0)</f>
        <v>0</v>
      </c>
      <c r="EV36" s="209">
        <f>-IF(EV$3='20_FINANCIACION'!$B$13,'20_FINANCIACION'!$B$24*'20_FINANCIACION'!$B$11*ABS(SUM('30_CASHFLOW'!$B$7:$FZ$7)),0)-IF(AND(EV$3&gt;='20_FINANCIACION'!$B$13,EV$3&lt;'20_FINANCIACION'!$B$14),'20_FINANCIACION'!$B$25/12*MAX(0,'20_FINANCIACION'!$B$11*ABS(SUM('30_CASHFLOW'!$B$7:$FZ$7))-SUM($B$29:EU29)),0)</f>
        <v>0</v>
      </c>
      <c r="EW36" s="209">
        <f>-IF(EW$3='20_FINANCIACION'!$B$13,'20_FINANCIACION'!$B$24*'20_FINANCIACION'!$B$11*ABS(SUM('30_CASHFLOW'!$B$7:$FZ$7)),0)-IF(AND(EW$3&gt;='20_FINANCIACION'!$B$13,EW$3&lt;'20_FINANCIACION'!$B$14),'20_FINANCIACION'!$B$25/12*MAX(0,'20_FINANCIACION'!$B$11*ABS(SUM('30_CASHFLOW'!$B$7:$FZ$7))-SUM($B$29:EV29)),0)</f>
        <v>0</v>
      </c>
      <c r="EX36" s="209">
        <f>-IF(EX$3='20_FINANCIACION'!$B$13,'20_FINANCIACION'!$B$24*'20_FINANCIACION'!$B$11*ABS(SUM('30_CASHFLOW'!$B$7:$FZ$7)),0)-IF(AND(EX$3&gt;='20_FINANCIACION'!$B$13,EX$3&lt;'20_FINANCIACION'!$B$14),'20_FINANCIACION'!$B$25/12*MAX(0,'20_FINANCIACION'!$B$11*ABS(SUM('30_CASHFLOW'!$B$7:$FZ$7))-SUM($B$29:EW29)),0)</f>
        <v>0</v>
      </c>
      <c r="EY36" s="209">
        <f>-IF(EY$3='20_FINANCIACION'!$B$13,'20_FINANCIACION'!$B$24*'20_FINANCIACION'!$B$11*ABS(SUM('30_CASHFLOW'!$B$7:$FZ$7)),0)-IF(AND(EY$3&gt;='20_FINANCIACION'!$B$13,EY$3&lt;'20_FINANCIACION'!$B$14),'20_FINANCIACION'!$B$25/12*MAX(0,'20_FINANCIACION'!$B$11*ABS(SUM('30_CASHFLOW'!$B$7:$FZ$7))-SUM($B$29:EX29)),0)</f>
        <v>0</v>
      </c>
      <c r="EZ36" s="209">
        <f>-IF(EZ$3='20_FINANCIACION'!$B$13,'20_FINANCIACION'!$B$24*'20_FINANCIACION'!$B$11*ABS(SUM('30_CASHFLOW'!$B$7:$FZ$7)),0)-IF(AND(EZ$3&gt;='20_FINANCIACION'!$B$13,EZ$3&lt;'20_FINANCIACION'!$B$14),'20_FINANCIACION'!$B$25/12*MAX(0,'20_FINANCIACION'!$B$11*ABS(SUM('30_CASHFLOW'!$B$7:$FZ$7))-SUM($B$29:EY29)),0)</f>
        <v>0</v>
      </c>
      <c r="FA36" s="209">
        <f>-IF(FA$3='20_FINANCIACION'!$B$13,'20_FINANCIACION'!$B$24*'20_FINANCIACION'!$B$11*ABS(SUM('30_CASHFLOW'!$B$7:$FZ$7)),0)-IF(AND(FA$3&gt;='20_FINANCIACION'!$B$13,FA$3&lt;'20_FINANCIACION'!$B$14),'20_FINANCIACION'!$B$25/12*MAX(0,'20_FINANCIACION'!$B$11*ABS(SUM('30_CASHFLOW'!$B$7:$FZ$7))-SUM($B$29:EZ29)),0)</f>
        <v>0</v>
      </c>
      <c r="FB36" s="209">
        <f>-IF(FB$3='20_FINANCIACION'!$B$13,'20_FINANCIACION'!$B$24*'20_FINANCIACION'!$B$11*ABS(SUM('30_CASHFLOW'!$B$7:$FZ$7)),0)-IF(AND(FB$3&gt;='20_FINANCIACION'!$B$13,FB$3&lt;'20_FINANCIACION'!$B$14),'20_FINANCIACION'!$B$25/12*MAX(0,'20_FINANCIACION'!$B$11*ABS(SUM('30_CASHFLOW'!$B$7:$FZ$7))-SUM($B$29:FA29)),0)</f>
        <v>0</v>
      </c>
      <c r="FC36" s="209">
        <f>-IF(FC$3='20_FINANCIACION'!$B$13,'20_FINANCIACION'!$B$24*'20_FINANCIACION'!$B$11*ABS(SUM('30_CASHFLOW'!$B$7:$FZ$7)),0)-IF(AND(FC$3&gt;='20_FINANCIACION'!$B$13,FC$3&lt;'20_FINANCIACION'!$B$14),'20_FINANCIACION'!$B$25/12*MAX(0,'20_FINANCIACION'!$B$11*ABS(SUM('30_CASHFLOW'!$B$7:$FZ$7))-SUM($B$29:FB29)),0)</f>
        <v>0</v>
      </c>
      <c r="FD36" s="209">
        <f>-IF(FD$3='20_FINANCIACION'!$B$13,'20_FINANCIACION'!$B$24*'20_FINANCIACION'!$B$11*ABS(SUM('30_CASHFLOW'!$B$7:$FZ$7)),0)-IF(AND(FD$3&gt;='20_FINANCIACION'!$B$13,FD$3&lt;'20_FINANCIACION'!$B$14),'20_FINANCIACION'!$B$25/12*MAX(0,'20_FINANCIACION'!$B$11*ABS(SUM('30_CASHFLOW'!$B$7:$FZ$7))-SUM($B$29:FC29)),0)</f>
        <v>0</v>
      </c>
      <c r="FE36" s="209">
        <f>-IF(FE$3='20_FINANCIACION'!$B$13,'20_FINANCIACION'!$B$24*'20_FINANCIACION'!$B$11*ABS(SUM('30_CASHFLOW'!$B$7:$FZ$7)),0)-IF(AND(FE$3&gt;='20_FINANCIACION'!$B$13,FE$3&lt;'20_FINANCIACION'!$B$14),'20_FINANCIACION'!$B$25/12*MAX(0,'20_FINANCIACION'!$B$11*ABS(SUM('30_CASHFLOW'!$B$7:$FZ$7))-SUM($B$29:FD29)),0)</f>
        <v>0</v>
      </c>
      <c r="FF36" s="209">
        <f>-IF(FF$3='20_FINANCIACION'!$B$13,'20_FINANCIACION'!$B$24*'20_FINANCIACION'!$B$11*ABS(SUM('30_CASHFLOW'!$B$7:$FZ$7)),0)-IF(AND(FF$3&gt;='20_FINANCIACION'!$B$13,FF$3&lt;'20_FINANCIACION'!$B$14),'20_FINANCIACION'!$B$25/12*MAX(0,'20_FINANCIACION'!$B$11*ABS(SUM('30_CASHFLOW'!$B$7:$FZ$7))-SUM($B$29:FE29)),0)</f>
        <v>0</v>
      </c>
      <c r="FG36" s="209">
        <f>-IF(FG$3='20_FINANCIACION'!$B$13,'20_FINANCIACION'!$B$24*'20_FINANCIACION'!$B$11*ABS(SUM('30_CASHFLOW'!$B$7:$FZ$7)),0)-IF(AND(FG$3&gt;='20_FINANCIACION'!$B$13,FG$3&lt;'20_FINANCIACION'!$B$14),'20_FINANCIACION'!$B$25/12*MAX(0,'20_FINANCIACION'!$B$11*ABS(SUM('30_CASHFLOW'!$B$7:$FZ$7))-SUM($B$29:FF29)),0)</f>
        <v>0</v>
      </c>
      <c r="FH36" s="209">
        <f>-IF(FH$3='20_FINANCIACION'!$B$13,'20_FINANCIACION'!$B$24*'20_FINANCIACION'!$B$11*ABS(SUM('30_CASHFLOW'!$B$7:$FZ$7)),0)-IF(AND(FH$3&gt;='20_FINANCIACION'!$B$13,FH$3&lt;'20_FINANCIACION'!$B$14),'20_FINANCIACION'!$B$25/12*MAX(0,'20_FINANCIACION'!$B$11*ABS(SUM('30_CASHFLOW'!$B$7:$FZ$7))-SUM($B$29:FG29)),0)</f>
        <v>0</v>
      </c>
      <c r="FI36" s="209">
        <f>-IF(FI$3='20_FINANCIACION'!$B$13,'20_FINANCIACION'!$B$24*'20_FINANCIACION'!$B$11*ABS(SUM('30_CASHFLOW'!$B$7:$FZ$7)),0)-IF(AND(FI$3&gt;='20_FINANCIACION'!$B$13,FI$3&lt;'20_FINANCIACION'!$B$14),'20_FINANCIACION'!$B$25/12*MAX(0,'20_FINANCIACION'!$B$11*ABS(SUM('30_CASHFLOW'!$B$7:$FZ$7))-SUM($B$29:FH29)),0)</f>
        <v>0</v>
      </c>
      <c r="FJ36" s="209">
        <f>-IF(FJ$3='20_FINANCIACION'!$B$13,'20_FINANCIACION'!$B$24*'20_FINANCIACION'!$B$11*ABS(SUM('30_CASHFLOW'!$B$7:$FZ$7)),0)-IF(AND(FJ$3&gt;='20_FINANCIACION'!$B$13,FJ$3&lt;'20_FINANCIACION'!$B$14),'20_FINANCIACION'!$B$25/12*MAX(0,'20_FINANCIACION'!$B$11*ABS(SUM('30_CASHFLOW'!$B$7:$FZ$7))-SUM($B$29:FI29)),0)</f>
        <v>0</v>
      </c>
      <c r="FK36" s="209">
        <f>-IF(FK$3='20_FINANCIACION'!$B$13,'20_FINANCIACION'!$B$24*'20_FINANCIACION'!$B$11*ABS(SUM('30_CASHFLOW'!$B$7:$FZ$7)),0)-IF(AND(FK$3&gt;='20_FINANCIACION'!$B$13,FK$3&lt;'20_FINANCIACION'!$B$14),'20_FINANCIACION'!$B$25/12*MAX(0,'20_FINANCIACION'!$B$11*ABS(SUM('30_CASHFLOW'!$B$7:$FZ$7))-SUM($B$29:FJ29)),0)</f>
        <v>0</v>
      </c>
      <c r="FL36" s="209">
        <f>-IF(FL$3='20_FINANCIACION'!$B$13,'20_FINANCIACION'!$B$24*'20_FINANCIACION'!$B$11*ABS(SUM('30_CASHFLOW'!$B$7:$FZ$7)),0)-IF(AND(FL$3&gt;='20_FINANCIACION'!$B$13,FL$3&lt;'20_FINANCIACION'!$B$14),'20_FINANCIACION'!$B$25/12*MAX(0,'20_FINANCIACION'!$B$11*ABS(SUM('30_CASHFLOW'!$B$7:$FZ$7))-SUM($B$29:FK29)),0)</f>
        <v>0</v>
      </c>
      <c r="FM36" s="209">
        <f>-IF(FM$3='20_FINANCIACION'!$B$13,'20_FINANCIACION'!$B$24*'20_FINANCIACION'!$B$11*ABS(SUM('30_CASHFLOW'!$B$7:$FZ$7)),0)-IF(AND(FM$3&gt;='20_FINANCIACION'!$B$13,FM$3&lt;'20_FINANCIACION'!$B$14),'20_FINANCIACION'!$B$25/12*MAX(0,'20_FINANCIACION'!$B$11*ABS(SUM('30_CASHFLOW'!$B$7:$FZ$7))-SUM($B$29:FL29)),0)</f>
        <v>0</v>
      </c>
      <c r="FN36" s="209">
        <f>-IF(FN$3='20_FINANCIACION'!$B$13,'20_FINANCIACION'!$B$24*'20_FINANCIACION'!$B$11*ABS(SUM('30_CASHFLOW'!$B$7:$FZ$7)),0)-IF(AND(FN$3&gt;='20_FINANCIACION'!$B$13,FN$3&lt;'20_FINANCIACION'!$B$14),'20_FINANCIACION'!$B$25/12*MAX(0,'20_FINANCIACION'!$B$11*ABS(SUM('30_CASHFLOW'!$B$7:$FZ$7))-SUM($B$29:FM29)),0)</f>
        <v>0</v>
      </c>
      <c r="FO36" s="209">
        <f>-IF(FO$3='20_FINANCIACION'!$B$13,'20_FINANCIACION'!$B$24*'20_FINANCIACION'!$B$11*ABS(SUM('30_CASHFLOW'!$B$7:$FZ$7)),0)-IF(AND(FO$3&gt;='20_FINANCIACION'!$B$13,FO$3&lt;'20_FINANCIACION'!$B$14),'20_FINANCIACION'!$B$25/12*MAX(0,'20_FINANCIACION'!$B$11*ABS(SUM('30_CASHFLOW'!$B$7:$FZ$7))-SUM($B$29:FN29)),0)</f>
        <v>0</v>
      </c>
      <c r="FP36" s="209">
        <f>-IF(FP$3='20_FINANCIACION'!$B$13,'20_FINANCIACION'!$B$24*'20_FINANCIACION'!$B$11*ABS(SUM('30_CASHFLOW'!$B$7:$FZ$7)),0)-IF(AND(FP$3&gt;='20_FINANCIACION'!$B$13,FP$3&lt;'20_FINANCIACION'!$B$14),'20_FINANCIACION'!$B$25/12*MAX(0,'20_FINANCIACION'!$B$11*ABS(SUM('30_CASHFLOW'!$B$7:$FZ$7))-SUM($B$29:FO29)),0)</f>
        <v>0</v>
      </c>
      <c r="FQ36" s="209">
        <f>-IF(FQ$3='20_FINANCIACION'!$B$13,'20_FINANCIACION'!$B$24*'20_FINANCIACION'!$B$11*ABS(SUM('30_CASHFLOW'!$B$7:$FZ$7)),0)-IF(AND(FQ$3&gt;='20_FINANCIACION'!$B$13,FQ$3&lt;'20_FINANCIACION'!$B$14),'20_FINANCIACION'!$B$25/12*MAX(0,'20_FINANCIACION'!$B$11*ABS(SUM('30_CASHFLOW'!$B$7:$FZ$7))-SUM($B$29:FP29)),0)</f>
        <v>0</v>
      </c>
      <c r="FR36" s="209">
        <f>-IF(FR$3='20_FINANCIACION'!$B$13,'20_FINANCIACION'!$B$24*'20_FINANCIACION'!$B$11*ABS(SUM('30_CASHFLOW'!$B$7:$FZ$7)),0)-IF(AND(FR$3&gt;='20_FINANCIACION'!$B$13,FR$3&lt;'20_FINANCIACION'!$B$14),'20_FINANCIACION'!$B$25/12*MAX(0,'20_FINANCIACION'!$B$11*ABS(SUM('30_CASHFLOW'!$B$7:$FZ$7))-SUM($B$29:FQ29)),0)</f>
        <v>0</v>
      </c>
      <c r="FS36" s="209">
        <f>-IF(FS$3='20_FINANCIACION'!$B$13,'20_FINANCIACION'!$B$24*'20_FINANCIACION'!$B$11*ABS(SUM('30_CASHFLOW'!$B$7:$FZ$7)),0)-IF(AND(FS$3&gt;='20_FINANCIACION'!$B$13,FS$3&lt;'20_FINANCIACION'!$B$14),'20_FINANCIACION'!$B$25/12*MAX(0,'20_FINANCIACION'!$B$11*ABS(SUM('30_CASHFLOW'!$B$7:$FZ$7))-SUM($B$29:FR29)),0)</f>
        <v>0</v>
      </c>
      <c r="FT36" s="209">
        <f>-IF(FT$3='20_FINANCIACION'!$B$13,'20_FINANCIACION'!$B$24*'20_FINANCIACION'!$B$11*ABS(SUM('30_CASHFLOW'!$B$7:$FZ$7)),0)-IF(AND(FT$3&gt;='20_FINANCIACION'!$B$13,FT$3&lt;'20_FINANCIACION'!$B$14),'20_FINANCIACION'!$B$25/12*MAX(0,'20_FINANCIACION'!$B$11*ABS(SUM('30_CASHFLOW'!$B$7:$FZ$7))-SUM($B$29:FS29)),0)</f>
        <v>0</v>
      </c>
      <c r="FU36" s="209">
        <f>-IF(FU$3='20_FINANCIACION'!$B$13,'20_FINANCIACION'!$B$24*'20_FINANCIACION'!$B$11*ABS(SUM('30_CASHFLOW'!$B$7:$FZ$7)),0)-IF(AND(FU$3&gt;='20_FINANCIACION'!$B$13,FU$3&lt;'20_FINANCIACION'!$B$14),'20_FINANCIACION'!$B$25/12*MAX(0,'20_FINANCIACION'!$B$11*ABS(SUM('30_CASHFLOW'!$B$7:$FZ$7))-SUM($B$29:FT29)),0)</f>
        <v>0</v>
      </c>
      <c r="FV36" s="209">
        <f>-IF(FV$3='20_FINANCIACION'!$B$13,'20_FINANCIACION'!$B$24*'20_FINANCIACION'!$B$11*ABS(SUM('30_CASHFLOW'!$B$7:$FZ$7)),0)-IF(AND(FV$3&gt;='20_FINANCIACION'!$B$13,FV$3&lt;'20_FINANCIACION'!$B$14),'20_FINANCIACION'!$B$25/12*MAX(0,'20_FINANCIACION'!$B$11*ABS(SUM('30_CASHFLOW'!$B$7:$FZ$7))-SUM($B$29:FU29)),0)</f>
        <v>0</v>
      </c>
      <c r="FW36" s="209">
        <f>-IF(FW$3='20_FINANCIACION'!$B$13,'20_FINANCIACION'!$B$24*'20_FINANCIACION'!$B$11*ABS(SUM('30_CASHFLOW'!$B$7:$FZ$7)),0)-IF(AND(FW$3&gt;='20_FINANCIACION'!$B$13,FW$3&lt;'20_FINANCIACION'!$B$14),'20_FINANCIACION'!$B$25/12*MAX(0,'20_FINANCIACION'!$B$11*ABS(SUM('30_CASHFLOW'!$B$7:$FZ$7))-SUM($B$29:FV29)),0)</f>
        <v>0</v>
      </c>
      <c r="FX36" s="209">
        <f>-IF(FX$3='20_FINANCIACION'!$B$13,'20_FINANCIACION'!$B$24*'20_FINANCIACION'!$B$11*ABS(SUM('30_CASHFLOW'!$B$7:$FZ$7)),0)-IF(AND(FX$3&gt;='20_FINANCIACION'!$B$13,FX$3&lt;'20_FINANCIACION'!$B$14),'20_FINANCIACION'!$B$25/12*MAX(0,'20_FINANCIACION'!$B$11*ABS(SUM('30_CASHFLOW'!$B$7:$FZ$7))-SUM($B$29:FW29)),0)</f>
        <v>0</v>
      </c>
      <c r="FY36" s="209">
        <f>-IF(FY$3='20_FINANCIACION'!$B$13,'20_FINANCIACION'!$B$24*'20_FINANCIACION'!$B$11*ABS(SUM('30_CASHFLOW'!$B$7:$FZ$7)),0)-IF(AND(FY$3&gt;='20_FINANCIACION'!$B$13,FY$3&lt;'20_FINANCIACION'!$B$14),'20_FINANCIACION'!$B$25/12*MAX(0,'20_FINANCIACION'!$B$11*ABS(SUM('30_CASHFLOW'!$B$7:$FZ$7))-SUM($B$29:FX29)),0)</f>
        <v>0</v>
      </c>
      <c r="FZ36" s="209">
        <f>-IF(FZ$3='20_FINANCIACION'!$B$13,'20_FINANCIACION'!$B$24*'20_FINANCIACION'!$B$11*ABS(SUM('30_CASHFLOW'!$B$7:$FZ$7)),0)-IF(AND(FZ$3&gt;='20_FINANCIACION'!$B$13,FZ$3&lt;'20_FINANCIACION'!$B$14),'20_FINANCIACION'!$B$25/12*MAX(0,'20_FINANCIACION'!$B$11*ABS(SUM('30_CASHFLOW'!$B$7:$FZ$7))-SUM($B$29:FY29)),0)</f>
        <v>0</v>
      </c>
    </row>
    <row r="37" spans="1:182" ht="15.75" customHeight="1" x14ac:dyDescent="0.25">
      <c r="A37" s="205" t="s">
        <v>292</v>
      </c>
      <c r="B37" s="204">
        <f t="shared" ref="B37:AG37" si="51">-B34-B35+B36</f>
        <v>0</v>
      </c>
      <c r="C37" s="204">
        <f t="shared" si="51"/>
        <v>0</v>
      </c>
      <c r="D37" s="204">
        <f t="shared" si="51"/>
        <v>0</v>
      </c>
      <c r="E37" s="204">
        <f t="shared" si="51"/>
        <v>0</v>
      </c>
      <c r="F37" s="204">
        <f t="shared" si="51"/>
        <v>0</v>
      </c>
      <c r="G37" s="204">
        <f t="shared" si="51"/>
        <v>0</v>
      </c>
      <c r="H37" s="204">
        <f t="shared" si="51"/>
        <v>0</v>
      </c>
      <c r="I37" s="204">
        <f t="shared" si="51"/>
        <v>0</v>
      </c>
      <c r="J37" s="204">
        <f t="shared" si="51"/>
        <v>0</v>
      </c>
      <c r="K37" s="204">
        <f t="shared" si="51"/>
        <v>0</v>
      </c>
      <c r="L37" s="204">
        <f t="shared" si="51"/>
        <v>0</v>
      </c>
      <c r="M37" s="204">
        <f t="shared" si="51"/>
        <v>-33305.519520000031</v>
      </c>
      <c r="N37" s="204">
        <f t="shared" si="51"/>
        <v>-1640.5552800000014</v>
      </c>
      <c r="O37" s="204">
        <f t="shared" si="51"/>
        <v>-1528.1884800000014</v>
      </c>
      <c r="P37" s="204">
        <f t="shared" si="51"/>
        <v>-1415.8216800000016</v>
      </c>
      <c r="Q37" s="204">
        <f t="shared" si="51"/>
        <v>-1303.4548800000014</v>
      </c>
      <c r="R37" s="204">
        <f t="shared" si="51"/>
        <v>-1191.0880800000011</v>
      </c>
      <c r="S37" s="204">
        <f t="shared" si="51"/>
        <v>-1078.7212800000013</v>
      </c>
      <c r="T37" s="204">
        <f t="shared" si="51"/>
        <v>-966.35448000000133</v>
      </c>
      <c r="U37" s="204">
        <f t="shared" si="51"/>
        <v>-853.98768000000121</v>
      </c>
      <c r="V37" s="204">
        <f t="shared" si="51"/>
        <v>-741.62088000000108</v>
      </c>
      <c r="W37" s="204">
        <f t="shared" si="51"/>
        <v>-629.25408000000095</v>
      </c>
      <c r="X37" s="204">
        <f t="shared" si="51"/>
        <v>-516.88728000000083</v>
      </c>
      <c r="Y37" s="204">
        <f t="shared" si="51"/>
        <v>-404.5204800000007</v>
      </c>
      <c r="Z37" s="204">
        <f t="shared" si="51"/>
        <v>-292.15368000000058</v>
      </c>
      <c r="AA37" s="204">
        <f t="shared" si="51"/>
        <v>-179.78688000000045</v>
      </c>
      <c r="AB37" s="204">
        <f t="shared" si="51"/>
        <v>-67.420080000000311</v>
      </c>
      <c r="AC37" s="204">
        <f t="shared" si="51"/>
        <v>0</v>
      </c>
      <c r="AD37" s="204">
        <f t="shared" si="51"/>
        <v>0</v>
      </c>
      <c r="AE37" s="204">
        <f t="shared" si="51"/>
        <v>0</v>
      </c>
      <c r="AF37" s="204">
        <f t="shared" si="51"/>
        <v>0</v>
      </c>
      <c r="AG37" s="204">
        <f t="shared" si="51"/>
        <v>0</v>
      </c>
      <c r="AH37" s="204">
        <f t="shared" ref="AH37:BM37" si="52">-AH34-AH35+AH36</f>
        <v>0</v>
      </c>
      <c r="AI37" s="204">
        <f t="shared" si="52"/>
        <v>0</v>
      </c>
      <c r="AJ37" s="204">
        <f t="shared" si="52"/>
        <v>0</v>
      </c>
      <c r="AK37" s="204">
        <f t="shared" si="52"/>
        <v>-4552087.6015814329</v>
      </c>
      <c r="AL37" s="204">
        <f t="shared" si="52"/>
        <v>0</v>
      </c>
      <c r="AM37" s="204">
        <f t="shared" si="52"/>
        <v>0</v>
      </c>
      <c r="AN37" s="204">
        <f t="shared" si="52"/>
        <v>0</v>
      </c>
      <c r="AO37" s="204">
        <f t="shared" si="52"/>
        <v>0</v>
      </c>
      <c r="AP37" s="204">
        <f t="shared" si="52"/>
        <v>0</v>
      </c>
      <c r="AQ37" s="204">
        <f t="shared" si="52"/>
        <v>0</v>
      </c>
      <c r="AR37" s="204">
        <f t="shared" si="52"/>
        <v>0</v>
      </c>
      <c r="AS37" s="204">
        <f t="shared" si="52"/>
        <v>0</v>
      </c>
      <c r="AT37" s="204">
        <f t="shared" si="52"/>
        <v>0</v>
      </c>
      <c r="AU37" s="204">
        <f t="shared" si="52"/>
        <v>0</v>
      </c>
      <c r="AV37" s="204">
        <f t="shared" si="52"/>
        <v>0</v>
      </c>
      <c r="AW37" s="204">
        <f t="shared" si="52"/>
        <v>0</v>
      </c>
      <c r="AX37" s="204">
        <f t="shared" si="52"/>
        <v>0</v>
      </c>
      <c r="AY37" s="204">
        <f t="shared" si="52"/>
        <v>0</v>
      </c>
      <c r="AZ37" s="204">
        <f t="shared" si="52"/>
        <v>0</v>
      </c>
      <c r="BA37" s="204">
        <f t="shared" si="52"/>
        <v>0</v>
      </c>
      <c r="BB37" s="204">
        <f t="shared" si="52"/>
        <v>0</v>
      </c>
      <c r="BC37" s="204">
        <f t="shared" si="52"/>
        <v>0</v>
      </c>
      <c r="BD37" s="204">
        <f t="shared" si="52"/>
        <v>0</v>
      </c>
      <c r="BE37" s="204">
        <f t="shared" si="52"/>
        <v>0</v>
      </c>
      <c r="BF37" s="204">
        <f t="shared" si="52"/>
        <v>0</v>
      </c>
      <c r="BG37" s="204">
        <f t="shared" si="52"/>
        <v>0</v>
      </c>
      <c r="BH37" s="204">
        <f t="shared" si="52"/>
        <v>0</v>
      </c>
      <c r="BI37" s="204">
        <f t="shared" si="52"/>
        <v>0</v>
      </c>
      <c r="BJ37" s="204">
        <f t="shared" si="52"/>
        <v>0</v>
      </c>
      <c r="BK37" s="204">
        <f t="shared" si="52"/>
        <v>0</v>
      </c>
      <c r="BL37" s="204">
        <f t="shared" si="52"/>
        <v>0</v>
      </c>
      <c r="BM37" s="204">
        <f t="shared" si="52"/>
        <v>0</v>
      </c>
      <c r="BN37" s="204">
        <f t="shared" ref="BN37:CS37" si="53">-BN34-BN35+BN36</f>
        <v>0</v>
      </c>
      <c r="BO37" s="204">
        <f t="shared" si="53"/>
        <v>0</v>
      </c>
      <c r="BP37" s="204">
        <f t="shared" si="53"/>
        <v>0</v>
      </c>
      <c r="BQ37" s="204">
        <f t="shared" si="53"/>
        <v>0</v>
      </c>
      <c r="BR37" s="204">
        <f t="shared" si="53"/>
        <v>0</v>
      </c>
      <c r="BS37" s="204">
        <f t="shared" si="53"/>
        <v>0</v>
      </c>
      <c r="BT37" s="204">
        <f t="shared" si="53"/>
        <v>0</v>
      </c>
      <c r="BU37" s="204">
        <f t="shared" si="53"/>
        <v>0</v>
      </c>
      <c r="BV37" s="204">
        <f t="shared" si="53"/>
        <v>0</v>
      </c>
      <c r="BW37" s="204">
        <f t="shared" si="53"/>
        <v>0</v>
      </c>
      <c r="BX37" s="204">
        <f t="shared" si="53"/>
        <v>0</v>
      </c>
      <c r="BY37" s="204">
        <f t="shared" si="53"/>
        <v>0</v>
      </c>
      <c r="BZ37" s="204">
        <f t="shared" si="53"/>
        <v>0</v>
      </c>
      <c r="CA37" s="204">
        <f t="shared" si="53"/>
        <v>0</v>
      </c>
      <c r="CB37" s="204">
        <f t="shared" si="53"/>
        <v>0</v>
      </c>
      <c r="CC37" s="204">
        <f t="shared" si="53"/>
        <v>0</v>
      </c>
      <c r="CD37" s="204">
        <f t="shared" si="53"/>
        <v>0</v>
      </c>
      <c r="CE37" s="204">
        <f t="shared" si="53"/>
        <v>0</v>
      </c>
      <c r="CF37" s="204">
        <f t="shared" si="53"/>
        <v>0</v>
      </c>
      <c r="CG37" s="204">
        <f t="shared" si="53"/>
        <v>0</v>
      </c>
      <c r="CH37" s="204">
        <f t="shared" si="53"/>
        <v>0</v>
      </c>
      <c r="CI37" s="204">
        <f t="shared" si="53"/>
        <v>0</v>
      </c>
      <c r="CJ37" s="204">
        <f t="shared" si="53"/>
        <v>0</v>
      </c>
      <c r="CK37" s="204">
        <f t="shared" si="53"/>
        <v>0</v>
      </c>
      <c r="CL37" s="204">
        <f t="shared" si="53"/>
        <v>0</v>
      </c>
      <c r="CM37" s="204">
        <f t="shared" si="53"/>
        <v>0</v>
      </c>
      <c r="CN37" s="204">
        <f t="shared" si="53"/>
        <v>0</v>
      </c>
      <c r="CO37" s="204">
        <f t="shared" si="53"/>
        <v>0</v>
      </c>
      <c r="CP37" s="204">
        <f t="shared" si="53"/>
        <v>0</v>
      </c>
      <c r="CQ37" s="204">
        <f t="shared" si="53"/>
        <v>0</v>
      </c>
      <c r="CR37" s="204">
        <f t="shared" si="53"/>
        <v>0</v>
      </c>
      <c r="CS37" s="204">
        <f t="shared" si="53"/>
        <v>0</v>
      </c>
      <c r="CT37" s="204">
        <f t="shared" ref="CT37:DY37" si="54">-CT34-CT35+CT36</f>
        <v>0</v>
      </c>
      <c r="CU37" s="204">
        <f t="shared" si="54"/>
        <v>0</v>
      </c>
      <c r="CV37" s="204">
        <f t="shared" si="54"/>
        <v>0</v>
      </c>
      <c r="CW37" s="204">
        <f t="shared" si="54"/>
        <v>0</v>
      </c>
      <c r="CX37" s="204">
        <f t="shared" si="54"/>
        <v>0</v>
      </c>
      <c r="CY37" s="204">
        <f t="shared" si="54"/>
        <v>0</v>
      </c>
      <c r="CZ37" s="204">
        <f t="shared" si="54"/>
        <v>0</v>
      </c>
      <c r="DA37" s="204">
        <f t="shared" si="54"/>
        <v>0</v>
      </c>
      <c r="DB37" s="204">
        <f t="shared" si="54"/>
        <v>0</v>
      </c>
      <c r="DC37" s="204">
        <f t="shared" si="54"/>
        <v>0</v>
      </c>
      <c r="DD37" s="204">
        <f t="shared" si="54"/>
        <v>0</v>
      </c>
      <c r="DE37" s="204">
        <f t="shared" si="54"/>
        <v>0</v>
      </c>
      <c r="DF37" s="204">
        <f t="shared" si="54"/>
        <v>0</v>
      </c>
      <c r="DG37" s="204">
        <f t="shared" si="54"/>
        <v>0</v>
      </c>
      <c r="DH37" s="204">
        <f t="shared" si="54"/>
        <v>0</v>
      </c>
      <c r="DI37" s="204">
        <f t="shared" si="54"/>
        <v>0</v>
      </c>
      <c r="DJ37" s="204">
        <f t="shared" si="54"/>
        <v>0</v>
      </c>
      <c r="DK37" s="204">
        <f t="shared" si="54"/>
        <v>0</v>
      </c>
      <c r="DL37" s="204">
        <f t="shared" si="54"/>
        <v>0</v>
      </c>
      <c r="DM37" s="204">
        <f t="shared" si="54"/>
        <v>0</v>
      </c>
      <c r="DN37" s="204">
        <f t="shared" si="54"/>
        <v>0</v>
      </c>
      <c r="DO37" s="204">
        <f t="shared" si="54"/>
        <v>0</v>
      </c>
      <c r="DP37" s="204">
        <f t="shared" si="54"/>
        <v>0</v>
      </c>
      <c r="DQ37" s="204">
        <f t="shared" si="54"/>
        <v>0</v>
      </c>
      <c r="DR37" s="204">
        <f t="shared" si="54"/>
        <v>0</v>
      </c>
      <c r="DS37" s="204">
        <f t="shared" si="54"/>
        <v>0</v>
      </c>
      <c r="DT37" s="204">
        <f t="shared" si="54"/>
        <v>0</v>
      </c>
      <c r="DU37" s="204">
        <f t="shared" si="54"/>
        <v>0</v>
      </c>
      <c r="DV37" s="204">
        <f t="shared" si="54"/>
        <v>0</v>
      </c>
      <c r="DW37" s="204">
        <f t="shared" si="54"/>
        <v>0</v>
      </c>
      <c r="DX37" s="204">
        <f t="shared" si="54"/>
        <v>0</v>
      </c>
      <c r="DY37" s="204">
        <f t="shared" si="54"/>
        <v>0</v>
      </c>
      <c r="DZ37" s="204">
        <f t="shared" ref="DZ37:FE37" si="55">-DZ34-DZ35+DZ36</f>
        <v>0</v>
      </c>
      <c r="EA37" s="204">
        <f t="shared" si="55"/>
        <v>0</v>
      </c>
      <c r="EB37" s="204">
        <f t="shared" si="55"/>
        <v>0</v>
      </c>
      <c r="EC37" s="204">
        <f t="shared" si="55"/>
        <v>0</v>
      </c>
      <c r="ED37" s="204">
        <f t="shared" si="55"/>
        <v>0</v>
      </c>
      <c r="EE37" s="204">
        <f t="shared" si="55"/>
        <v>0</v>
      </c>
      <c r="EF37" s="204">
        <f t="shared" si="55"/>
        <v>0</v>
      </c>
      <c r="EG37" s="204">
        <f t="shared" si="55"/>
        <v>0</v>
      </c>
      <c r="EH37" s="204">
        <f t="shared" si="55"/>
        <v>0</v>
      </c>
      <c r="EI37" s="204">
        <f t="shared" si="55"/>
        <v>0</v>
      </c>
      <c r="EJ37" s="204">
        <f t="shared" si="55"/>
        <v>0</v>
      </c>
      <c r="EK37" s="204">
        <f t="shared" si="55"/>
        <v>0</v>
      </c>
      <c r="EL37" s="204">
        <f t="shared" si="55"/>
        <v>0</v>
      </c>
      <c r="EM37" s="204">
        <f t="shared" si="55"/>
        <v>0</v>
      </c>
      <c r="EN37" s="204">
        <f t="shared" si="55"/>
        <v>0</v>
      </c>
      <c r="EO37" s="204">
        <f t="shared" si="55"/>
        <v>0</v>
      </c>
      <c r="EP37" s="204">
        <f t="shared" si="55"/>
        <v>0</v>
      </c>
      <c r="EQ37" s="204">
        <f t="shared" si="55"/>
        <v>0</v>
      </c>
      <c r="ER37" s="204">
        <f t="shared" si="55"/>
        <v>0</v>
      </c>
      <c r="ES37" s="204">
        <f t="shared" si="55"/>
        <v>0</v>
      </c>
      <c r="ET37" s="204">
        <f t="shared" si="55"/>
        <v>0</v>
      </c>
      <c r="EU37" s="204">
        <f t="shared" si="55"/>
        <v>0</v>
      </c>
      <c r="EV37" s="204">
        <f t="shared" si="55"/>
        <v>0</v>
      </c>
      <c r="EW37" s="204">
        <f t="shared" si="55"/>
        <v>0</v>
      </c>
      <c r="EX37" s="204">
        <f t="shared" si="55"/>
        <v>0</v>
      </c>
      <c r="EY37" s="204">
        <f t="shared" si="55"/>
        <v>0</v>
      </c>
      <c r="EZ37" s="204">
        <f t="shared" si="55"/>
        <v>0</v>
      </c>
      <c r="FA37" s="204">
        <f t="shared" si="55"/>
        <v>0</v>
      </c>
      <c r="FB37" s="204">
        <f t="shared" si="55"/>
        <v>0</v>
      </c>
      <c r="FC37" s="204">
        <f t="shared" si="55"/>
        <v>0</v>
      </c>
      <c r="FD37" s="204">
        <f t="shared" si="55"/>
        <v>0</v>
      </c>
      <c r="FE37" s="204">
        <f t="shared" si="55"/>
        <v>0</v>
      </c>
      <c r="FF37" s="204">
        <f t="shared" ref="FF37:FZ37" si="56">-FF34-FF35+FF36</f>
        <v>0</v>
      </c>
      <c r="FG37" s="204">
        <f t="shared" si="56"/>
        <v>0</v>
      </c>
      <c r="FH37" s="204">
        <f t="shared" si="56"/>
        <v>0</v>
      </c>
      <c r="FI37" s="204">
        <f t="shared" si="56"/>
        <v>0</v>
      </c>
      <c r="FJ37" s="204">
        <f t="shared" si="56"/>
        <v>0</v>
      </c>
      <c r="FK37" s="204">
        <f t="shared" si="56"/>
        <v>0</v>
      </c>
      <c r="FL37" s="204">
        <f t="shared" si="56"/>
        <v>0</v>
      </c>
      <c r="FM37" s="204">
        <f t="shared" si="56"/>
        <v>0</v>
      </c>
      <c r="FN37" s="204">
        <f t="shared" si="56"/>
        <v>0</v>
      </c>
      <c r="FO37" s="204">
        <f t="shared" si="56"/>
        <v>0</v>
      </c>
      <c r="FP37" s="204">
        <f t="shared" si="56"/>
        <v>0</v>
      </c>
      <c r="FQ37" s="204">
        <f t="shared" si="56"/>
        <v>0</v>
      </c>
      <c r="FR37" s="204">
        <f t="shared" si="56"/>
        <v>0</v>
      </c>
      <c r="FS37" s="204">
        <f t="shared" si="56"/>
        <v>0</v>
      </c>
      <c r="FT37" s="204">
        <f t="shared" si="56"/>
        <v>0</v>
      </c>
      <c r="FU37" s="204">
        <f t="shared" si="56"/>
        <v>0</v>
      </c>
      <c r="FV37" s="204">
        <f t="shared" si="56"/>
        <v>0</v>
      </c>
      <c r="FW37" s="204">
        <f t="shared" si="56"/>
        <v>0</v>
      </c>
      <c r="FX37" s="204">
        <f t="shared" si="56"/>
        <v>0</v>
      </c>
      <c r="FY37" s="204">
        <f t="shared" si="56"/>
        <v>0</v>
      </c>
      <c r="FZ37" s="204">
        <f t="shared" si="56"/>
        <v>0</v>
      </c>
    </row>
    <row r="38" spans="1:182" s="18" customFormat="1" ht="15.75" customHeight="1" thickBot="1" x14ac:dyDescent="0.3">
      <c r="A38" s="208" t="s">
        <v>293</v>
      </c>
      <c r="B38" s="204">
        <f>-IF(B$3=ROUNDUP('01_MODELO'!$I$37,0), MAX(0, (SUM('30_CASHFLOW'!$19:$19) + SUM('30_CASHFLOW'!$8:$8) - SUM($32:$32))) * '20_FINANCIACION'!$B$16, 0)</f>
        <v>0</v>
      </c>
      <c r="C38" s="204">
        <f>-IF(C$3=ROUNDUP('01_MODELO'!$I$37,0), MAX(0, (SUM('30_CASHFLOW'!$19:$19) + SUM('30_CASHFLOW'!$8:$8) - SUM($32:$32))) * '20_FINANCIACION'!$B$16, 0)</f>
        <v>0</v>
      </c>
      <c r="D38" s="204">
        <f>-IF(D$3=ROUNDUP('01_MODELO'!$I$37,0), MAX(0, (SUM('30_CASHFLOW'!$19:$19) + SUM('30_CASHFLOW'!$8:$8) - SUM($32:$32))) * '20_FINANCIACION'!$B$16, 0)</f>
        <v>0</v>
      </c>
      <c r="E38" s="204">
        <f>-IF(E$3=ROUNDUP('01_MODELO'!$I$37,0), MAX(0, (SUM('30_CASHFLOW'!$19:$19) + SUM('30_CASHFLOW'!$8:$8) - SUM($32:$32))) * '20_FINANCIACION'!$B$16, 0)</f>
        <v>0</v>
      </c>
      <c r="F38" s="204">
        <f>-IF(F$3=ROUNDUP('01_MODELO'!$I$37,0), MAX(0, (SUM('30_CASHFLOW'!$19:$19) + SUM('30_CASHFLOW'!$8:$8) - SUM($32:$32))) * '20_FINANCIACION'!$B$16, 0)</f>
        <v>0</v>
      </c>
      <c r="G38" s="204">
        <f>-IF(G$3=ROUNDUP('01_MODELO'!$I$37,0), MAX(0, (SUM('30_CASHFLOW'!$19:$19) + SUM('30_CASHFLOW'!$8:$8) - SUM($32:$32))) * '20_FINANCIACION'!$B$16, 0)</f>
        <v>0</v>
      </c>
      <c r="H38" s="204">
        <f>-IF(H$3=ROUNDUP('01_MODELO'!$I$37,0), MAX(0, (SUM('30_CASHFLOW'!$19:$19) + SUM('30_CASHFLOW'!$8:$8) - SUM($32:$32))) * '20_FINANCIACION'!$B$16, 0)</f>
        <v>0</v>
      </c>
      <c r="I38" s="204">
        <f>-IF(I$3=ROUNDUP('01_MODELO'!$I$37,0), MAX(0, (SUM('30_CASHFLOW'!$19:$19) + SUM('30_CASHFLOW'!$8:$8) - SUM($32:$32))) * '20_FINANCIACION'!$B$16, 0)</f>
        <v>0</v>
      </c>
      <c r="J38" s="204">
        <f>-IF(J$3=ROUNDUP('01_MODELO'!$I$37,0), MAX(0, (SUM('30_CASHFLOW'!$19:$19) + SUM('30_CASHFLOW'!$8:$8) - SUM($32:$32))) * '20_FINANCIACION'!$B$16, 0)</f>
        <v>0</v>
      </c>
      <c r="K38" s="204">
        <f>-IF(K$3=ROUNDUP('01_MODELO'!$I$37,0), MAX(0, (SUM('30_CASHFLOW'!$19:$19) + SUM('30_CASHFLOW'!$8:$8) - SUM($32:$32))) * '20_FINANCIACION'!$B$16, 0)</f>
        <v>0</v>
      </c>
      <c r="L38" s="204">
        <f>-IF(L$3=ROUNDUP('01_MODELO'!$I$37,0), MAX(0, (SUM('30_CASHFLOW'!$19:$19) + SUM('30_CASHFLOW'!$8:$8) - SUM($32:$32))) * '20_FINANCIACION'!$B$16, 0)</f>
        <v>0</v>
      </c>
      <c r="M38" s="204">
        <f>-IF(M$3=ROUNDUP('01_MODELO'!$I$37,0), MAX(0, (SUM('30_CASHFLOW'!$19:$19) + SUM('30_CASHFLOW'!$8:$8) - SUM($32:$32))) * '20_FINANCIACION'!$B$16, 0)</f>
        <v>0</v>
      </c>
      <c r="N38" s="204">
        <f>-IF(N$3=ROUNDUP('01_MODELO'!$I$37,0), MAX(0, (SUM('30_CASHFLOW'!$19:$19) + SUM('30_CASHFLOW'!$8:$8) - SUM($32:$32))) * '20_FINANCIACION'!$B$16, 0)</f>
        <v>0</v>
      </c>
      <c r="O38" s="204">
        <f>-IF(O$3=ROUNDUP('01_MODELO'!$I$37,0), MAX(0, (SUM('30_CASHFLOW'!$19:$19) + SUM('30_CASHFLOW'!$8:$8) - SUM($32:$32))) * '20_FINANCIACION'!$B$16, 0)</f>
        <v>0</v>
      </c>
      <c r="P38" s="204">
        <f>-IF(P$3=ROUNDUP('01_MODELO'!$I$37,0), MAX(0, (SUM('30_CASHFLOW'!$19:$19) + SUM('30_CASHFLOW'!$8:$8) - SUM($32:$32))) * '20_FINANCIACION'!$B$16, 0)</f>
        <v>0</v>
      </c>
      <c r="Q38" s="204">
        <f>-IF(Q$3=ROUNDUP('01_MODELO'!$I$37,0), MAX(0, (SUM('30_CASHFLOW'!$19:$19) + SUM('30_CASHFLOW'!$8:$8) - SUM($32:$32))) * '20_FINANCIACION'!$B$16, 0)</f>
        <v>0</v>
      </c>
      <c r="R38" s="204">
        <f>-IF(R$3=ROUNDUP('01_MODELO'!$I$37,0), MAX(0, (SUM('30_CASHFLOW'!$19:$19) + SUM('30_CASHFLOW'!$8:$8) - SUM($32:$32))) * '20_FINANCIACION'!$B$16, 0)</f>
        <v>0</v>
      </c>
      <c r="S38" s="204">
        <f>-IF(S$3=ROUNDUP('01_MODELO'!$I$37,0), MAX(0, (SUM('30_CASHFLOW'!$19:$19) + SUM('30_CASHFLOW'!$8:$8) - SUM($32:$32))) * '20_FINANCIACION'!$B$16, 0)</f>
        <v>0</v>
      </c>
      <c r="T38" s="204">
        <f>-IF(T$3=ROUNDUP('01_MODELO'!$I$37,0), MAX(0, (SUM('30_CASHFLOW'!$19:$19) + SUM('30_CASHFLOW'!$8:$8) - SUM($32:$32))) * '20_FINANCIACION'!$B$16, 0)</f>
        <v>0</v>
      </c>
      <c r="U38" s="204">
        <f>-IF(U$3=ROUNDUP('01_MODELO'!$I$37,0), MAX(0, (SUM('30_CASHFLOW'!$19:$19) + SUM('30_CASHFLOW'!$8:$8) - SUM($32:$32))) * '20_FINANCIACION'!$B$16, 0)</f>
        <v>0</v>
      </c>
      <c r="V38" s="204">
        <f>-IF(V$3=ROUNDUP('01_MODELO'!$I$37,0), MAX(0, (SUM('30_CASHFLOW'!$19:$19) + SUM('30_CASHFLOW'!$8:$8) - SUM($32:$32))) * '20_FINANCIACION'!$B$16, 0)</f>
        <v>0</v>
      </c>
      <c r="W38" s="204">
        <f>-IF(W$3=ROUNDUP('01_MODELO'!$I$37,0), MAX(0, (SUM('30_CASHFLOW'!$19:$19) + SUM('30_CASHFLOW'!$8:$8) - SUM($32:$32))) * '20_FINANCIACION'!$B$16, 0)</f>
        <v>0</v>
      </c>
      <c r="X38" s="204">
        <f>-IF(X$3=ROUNDUP('01_MODELO'!$I$37,0), MAX(0, (SUM('30_CASHFLOW'!$19:$19) + SUM('30_CASHFLOW'!$8:$8) - SUM($32:$32))) * '20_FINANCIACION'!$B$16, 0)</f>
        <v>0</v>
      </c>
      <c r="Y38" s="204">
        <f>-IF(Y$3=ROUNDUP('01_MODELO'!$I$37,0), MAX(0, (SUM('30_CASHFLOW'!$19:$19) + SUM('30_CASHFLOW'!$8:$8) - SUM($32:$32))) * '20_FINANCIACION'!$B$16, 0)</f>
        <v>0</v>
      </c>
      <c r="Z38" s="204">
        <f>-IF(Z$3=ROUNDUP('01_MODELO'!$I$37,0), MAX(0, (SUM('30_CASHFLOW'!$19:$19) + SUM('30_CASHFLOW'!$8:$8) - SUM($32:$32))) * '20_FINANCIACION'!$B$16, 0)</f>
        <v>0</v>
      </c>
      <c r="AA38" s="204">
        <f>-IF(AA$3=ROUNDUP('01_MODELO'!$I$37,0), MAX(0, (SUM('30_CASHFLOW'!$19:$19) + SUM('30_CASHFLOW'!$8:$8) - SUM($32:$32))) * '20_FINANCIACION'!$B$16, 0)</f>
        <v>0</v>
      </c>
      <c r="AB38" s="204">
        <f>-IF(AB$3=ROUNDUP('01_MODELO'!$I$37,0), MAX(0, (SUM('30_CASHFLOW'!$19:$19) + SUM('30_CASHFLOW'!$8:$8) - SUM($32:$32))) * '20_FINANCIACION'!$B$16, 0)</f>
        <v>0</v>
      </c>
      <c r="AC38" s="204">
        <f>-IF(AC$3=ROUNDUP('01_MODELO'!$I$37,0), MAX(0, (SUM('30_CASHFLOW'!$19:$19) + SUM('30_CASHFLOW'!$8:$8) - SUM($32:$32))) * '20_FINANCIACION'!$B$16, 0)</f>
        <v>0</v>
      </c>
      <c r="AD38" s="204">
        <f>-IF(AD$3=ROUNDUP('01_MODELO'!$I$37,0), MAX(0, (SUM('30_CASHFLOW'!$19:$19) + SUM('30_CASHFLOW'!$8:$8) - SUM($32:$32))) * '20_FINANCIACION'!$B$16, 0)</f>
        <v>0</v>
      </c>
      <c r="AE38" s="204">
        <f>-IF(AE$3=ROUNDUP('01_MODELO'!$I$37,0), MAX(0, (SUM('30_CASHFLOW'!$19:$19) + SUM('30_CASHFLOW'!$8:$8) - SUM($32:$32))) * '20_FINANCIACION'!$B$16, 0)</f>
        <v>0</v>
      </c>
      <c r="AF38" s="204">
        <f>-IF(AF$3=ROUNDUP('01_MODELO'!$I$37,0), MAX(0, (SUM('30_CASHFLOW'!$19:$19) + SUM('30_CASHFLOW'!$8:$8) - SUM($32:$32))) * '20_FINANCIACION'!$B$16, 0)</f>
        <v>0</v>
      </c>
      <c r="AG38" s="204">
        <f>-IF(AG$3=ROUNDUP('01_MODELO'!$I$37,0), MAX(0, (SUM('30_CASHFLOW'!$19:$19) + SUM('30_CASHFLOW'!$8:$8) - SUM($32:$32))) * '20_FINANCIACION'!$B$16, 0)</f>
        <v>0</v>
      </c>
      <c r="AH38" s="204">
        <f>-IF(AH$3=ROUNDUP('01_MODELO'!$I$37,0), MAX(0, (SUM('30_CASHFLOW'!$19:$19) + SUM('30_CASHFLOW'!$8:$8) - SUM($32:$32))) * '20_FINANCIACION'!$B$16, 0)</f>
        <v>0</v>
      </c>
      <c r="AI38" s="204">
        <f>-IF(AI$3=ROUNDUP('01_MODELO'!$I$37,0), MAX(0, (SUM('30_CASHFLOW'!$19:$19) + SUM('30_CASHFLOW'!$8:$8) - SUM($32:$32))) * '20_FINANCIACION'!$B$16, 0)</f>
        <v>0</v>
      </c>
      <c r="AJ38" s="204">
        <f>-IF(AJ$3=ROUNDUP('01_MODELO'!$I$37,0), MAX(0, (SUM('30_CASHFLOW'!$19:$19) + SUM('30_CASHFLOW'!$8:$8) - SUM($32:$32))) * '20_FINANCIACION'!$B$16, 0)</f>
        <v>0</v>
      </c>
      <c r="AK38" s="204">
        <f>-IF(AK$3=ROUNDUP('01_MODELO'!$I$37,0), MAX(0, (SUM('30_CASHFLOW'!$19:$19) + SUM('30_CASHFLOW'!$8:$8) - SUM($32:$32))) * '20_FINANCIACION'!$B$16, 0)</f>
        <v>-253800.42760464069</v>
      </c>
      <c r="AL38" s="204">
        <f>-IF(AL$3=ROUNDUP('01_MODELO'!$I$37,0), MAX(0, (SUM('30_CASHFLOW'!$19:$19) + SUM('30_CASHFLOW'!$8:$8) - SUM($32:$32))) * '20_FINANCIACION'!$B$16, 0)</f>
        <v>0</v>
      </c>
      <c r="AM38" s="204">
        <f>-IF(AM$3=ROUNDUP('01_MODELO'!$I$37,0), MAX(0, (SUM('30_CASHFLOW'!$19:$19) + SUM('30_CASHFLOW'!$8:$8) - SUM($32:$32))) * '20_FINANCIACION'!$B$16, 0)</f>
        <v>0</v>
      </c>
      <c r="AN38" s="204">
        <f>-IF(AN$3=ROUNDUP('01_MODELO'!$I$37,0), MAX(0, (SUM('30_CASHFLOW'!$19:$19) + SUM('30_CASHFLOW'!$8:$8) - SUM($32:$32))) * '20_FINANCIACION'!$B$16, 0)</f>
        <v>0</v>
      </c>
      <c r="AO38" s="204">
        <f>-IF(AO$3=ROUNDUP('01_MODELO'!$I$37,0), MAX(0, (SUM('30_CASHFLOW'!$19:$19) + SUM('30_CASHFLOW'!$8:$8) - SUM($32:$32))) * '20_FINANCIACION'!$B$16, 0)</f>
        <v>0</v>
      </c>
      <c r="AP38" s="204">
        <f>-IF(AP$3=ROUNDUP('01_MODELO'!$I$37,0), MAX(0, (SUM('30_CASHFLOW'!$19:$19) + SUM('30_CASHFLOW'!$8:$8) - SUM($32:$32))) * '20_FINANCIACION'!$B$16, 0)</f>
        <v>0</v>
      </c>
      <c r="AQ38" s="204">
        <f>-IF(AQ$3=ROUNDUP('01_MODELO'!$I$37,0), MAX(0, (SUM('30_CASHFLOW'!$19:$19) + SUM('30_CASHFLOW'!$8:$8) - SUM($32:$32))) * '20_FINANCIACION'!$B$16, 0)</f>
        <v>0</v>
      </c>
      <c r="AR38" s="204">
        <f>-IF(AR$3=ROUNDUP('01_MODELO'!$I$37,0), MAX(0, (SUM('30_CASHFLOW'!$19:$19) + SUM('30_CASHFLOW'!$8:$8) - SUM($32:$32))) * '20_FINANCIACION'!$B$16, 0)</f>
        <v>0</v>
      </c>
      <c r="AS38" s="204">
        <f>-IF(AS$3=ROUNDUP('01_MODELO'!$I$37,0), MAX(0, (SUM('30_CASHFLOW'!$19:$19) + SUM('30_CASHFLOW'!$8:$8) - SUM($32:$32))) * '20_FINANCIACION'!$B$16, 0)</f>
        <v>0</v>
      </c>
      <c r="AT38" s="204">
        <f>-IF(AT$3=ROUNDUP('01_MODELO'!$I$37,0), MAX(0, (SUM('30_CASHFLOW'!$19:$19) + SUM('30_CASHFLOW'!$8:$8) - SUM($32:$32))) * '20_FINANCIACION'!$B$16, 0)</f>
        <v>0</v>
      </c>
      <c r="AU38" s="204">
        <f>-IF(AU$3=ROUNDUP('01_MODELO'!$I$37,0), MAX(0, (SUM('30_CASHFLOW'!$19:$19) + SUM('30_CASHFLOW'!$8:$8) - SUM($32:$32))) * '20_FINANCIACION'!$B$16, 0)</f>
        <v>0</v>
      </c>
      <c r="AV38" s="204">
        <f>-IF(AV$3=ROUNDUP('01_MODELO'!$I$37,0), MAX(0, (SUM('30_CASHFLOW'!$19:$19) + SUM('30_CASHFLOW'!$8:$8) - SUM($32:$32))) * '20_FINANCIACION'!$B$16, 0)</f>
        <v>0</v>
      </c>
      <c r="AW38" s="204">
        <f>-IF(AW$3=ROUNDUP('01_MODELO'!$I$37,0), MAX(0, (SUM('30_CASHFLOW'!$19:$19) + SUM('30_CASHFLOW'!$8:$8) - SUM($32:$32))) * '20_FINANCIACION'!$B$16, 0)</f>
        <v>0</v>
      </c>
      <c r="AX38" s="204">
        <f>-IF(AX$3=ROUNDUP('01_MODELO'!$I$37,0), MAX(0, (SUM('30_CASHFLOW'!$19:$19) + SUM('30_CASHFLOW'!$8:$8) - SUM($32:$32))) * '20_FINANCIACION'!$B$16, 0)</f>
        <v>0</v>
      </c>
      <c r="AY38" s="204">
        <f>-IF(AY$3=ROUNDUP('01_MODELO'!$I$37,0), MAX(0, (SUM('30_CASHFLOW'!$19:$19) + SUM('30_CASHFLOW'!$8:$8) - SUM($32:$32))) * '20_FINANCIACION'!$B$16, 0)</f>
        <v>0</v>
      </c>
      <c r="AZ38" s="204">
        <f>-IF(AZ$3=ROUNDUP('01_MODELO'!$I$37,0), MAX(0, (SUM('30_CASHFLOW'!$19:$19) + SUM('30_CASHFLOW'!$8:$8) - SUM($32:$32))) * '20_FINANCIACION'!$B$16, 0)</f>
        <v>0</v>
      </c>
      <c r="BA38" s="204">
        <f>-IF(BA$3=ROUNDUP('01_MODELO'!$I$37,0), MAX(0, (SUM('30_CASHFLOW'!$19:$19) + SUM('30_CASHFLOW'!$8:$8) - SUM($32:$32))) * '20_FINANCIACION'!$B$16, 0)</f>
        <v>0</v>
      </c>
      <c r="BB38" s="204">
        <f>-IF(BB$3=ROUNDUP('01_MODELO'!$I$37,0), MAX(0, (SUM('30_CASHFLOW'!$19:$19) + SUM('30_CASHFLOW'!$8:$8) - SUM($32:$32))) * '20_FINANCIACION'!$B$16, 0)</f>
        <v>0</v>
      </c>
      <c r="BC38" s="204">
        <f>-IF(BC$3=ROUNDUP('01_MODELO'!$I$37,0), MAX(0, (SUM('30_CASHFLOW'!$19:$19) + SUM('30_CASHFLOW'!$8:$8) - SUM($32:$32))) * '20_FINANCIACION'!$B$16, 0)</f>
        <v>0</v>
      </c>
      <c r="BD38" s="204">
        <f>-IF(BD$3=ROUNDUP('01_MODELO'!$I$37,0), MAX(0, (SUM('30_CASHFLOW'!$19:$19) + SUM('30_CASHFLOW'!$8:$8) - SUM($32:$32))) * '20_FINANCIACION'!$B$16, 0)</f>
        <v>0</v>
      </c>
      <c r="BE38" s="204">
        <f>-IF(BE$3=ROUNDUP('01_MODELO'!$I$37,0), MAX(0, (SUM('30_CASHFLOW'!$19:$19) + SUM('30_CASHFLOW'!$8:$8) - SUM($32:$32))) * '20_FINANCIACION'!$B$16, 0)</f>
        <v>0</v>
      </c>
      <c r="BF38" s="204">
        <f>-IF(BF$3=ROUNDUP('01_MODELO'!$I$37,0), MAX(0, (SUM('30_CASHFLOW'!$19:$19) + SUM('30_CASHFLOW'!$8:$8) - SUM($32:$32))) * '20_FINANCIACION'!$B$16, 0)</f>
        <v>0</v>
      </c>
      <c r="BG38" s="204">
        <f>-IF(BG$3=ROUNDUP('01_MODELO'!$I$37,0), MAX(0, (SUM('30_CASHFLOW'!$19:$19) + SUM('30_CASHFLOW'!$8:$8) - SUM($32:$32))) * '20_FINANCIACION'!$B$16, 0)</f>
        <v>0</v>
      </c>
      <c r="BH38" s="204">
        <f>-IF(BH$3=ROUNDUP('01_MODELO'!$I$37,0), MAX(0, (SUM('30_CASHFLOW'!$19:$19) + SUM('30_CASHFLOW'!$8:$8) - SUM($32:$32))) * '20_FINANCIACION'!$B$16, 0)</f>
        <v>0</v>
      </c>
      <c r="BI38" s="204">
        <f>-IF(BI$3=ROUNDUP('01_MODELO'!$I$37,0), MAX(0, (SUM('30_CASHFLOW'!$19:$19) + SUM('30_CASHFLOW'!$8:$8) - SUM($32:$32))) * '20_FINANCIACION'!$B$16, 0)</f>
        <v>0</v>
      </c>
      <c r="BJ38" s="204">
        <f>-IF(BJ$3=ROUNDUP('01_MODELO'!$I$37,0), MAX(0, (SUM('30_CASHFLOW'!$19:$19) + SUM('30_CASHFLOW'!$8:$8) - SUM($32:$32))) * '20_FINANCIACION'!$B$16, 0)</f>
        <v>0</v>
      </c>
      <c r="BK38" s="204">
        <f>-IF(BK$3=ROUNDUP('01_MODELO'!$I$37,0), MAX(0, (SUM('30_CASHFLOW'!$19:$19) + SUM('30_CASHFLOW'!$8:$8) - SUM($32:$32))) * '20_FINANCIACION'!$B$16, 0)</f>
        <v>0</v>
      </c>
      <c r="BL38" s="204">
        <f>-IF(BL$3=ROUNDUP('01_MODELO'!$I$37,0), MAX(0, (SUM('30_CASHFLOW'!$19:$19) + SUM('30_CASHFLOW'!$8:$8) - SUM($32:$32))) * '20_FINANCIACION'!$B$16, 0)</f>
        <v>0</v>
      </c>
      <c r="BM38" s="204">
        <f>-IF(BM$3=ROUNDUP('01_MODELO'!$I$37,0), MAX(0, (SUM('30_CASHFLOW'!$19:$19) + SUM('30_CASHFLOW'!$8:$8) - SUM($32:$32))) * '20_FINANCIACION'!$B$16, 0)</f>
        <v>0</v>
      </c>
      <c r="BN38" s="204">
        <f>-IF(BN$3=ROUNDUP('01_MODELO'!$I$37,0), MAX(0, (SUM('30_CASHFLOW'!$19:$19) + SUM('30_CASHFLOW'!$8:$8) - SUM($32:$32))) * '20_FINANCIACION'!$B$16, 0)</f>
        <v>0</v>
      </c>
      <c r="BO38" s="204">
        <f>-IF(BO$3=ROUNDUP('01_MODELO'!$I$37,0), MAX(0, (SUM('30_CASHFLOW'!$19:$19) + SUM('30_CASHFLOW'!$8:$8) - SUM($32:$32))) * '20_FINANCIACION'!$B$16, 0)</f>
        <v>0</v>
      </c>
      <c r="BP38" s="204">
        <f>-IF(BP$3=ROUNDUP('01_MODELO'!$I$37,0), MAX(0, (SUM('30_CASHFLOW'!$19:$19) + SUM('30_CASHFLOW'!$8:$8) - SUM($32:$32))) * '20_FINANCIACION'!$B$16, 0)</f>
        <v>0</v>
      </c>
      <c r="BQ38" s="204">
        <f>-IF(BQ$3=ROUNDUP('01_MODELO'!$I$37,0), MAX(0, (SUM('30_CASHFLOW'!$19:$19) + SUM('30_CASHFLOW'!$8:$8) - SUM($32:$32))) * '20_FINANCIACION'!$B$16, 0)</f>
        <v>0</v>
      </c>
      <c r="BR38" s="204">
        <f>-IF(BR$3=ROUNDUP('01_MODELO'!$I$37,0), MAX(0, (SUM('30_CASHFLOW'!$19:$19) + SUM('30_CASHFLOW'!$8:$8) - SUM($32:$32))) * '20_FINANCIACION'!$B$16, 0)</f>
        <v>0</v>
      </c>
      <c r="BS38" s="204">
        <f>-IF(BS$3=ROUNDUP('01_MODELO'!$I$37,0), MAX(0, (SUM('30_CASHFLOW'!$19:$19) + SUM('30_CASHFLOW'!$8:$8) - SUM($32:$32))) * '20_FINANCIACION'!$B$16, 0)</f>
        <v>0</v>
      </c>
      <c r="BT38" s="204">
        <f>-IF(BT$3=ROUNDUP('01_MODELO'!$I$37,0), MAX(0, (SUM('30_CASHFLOW'!$19:$19) + SUM('30_CASHFLOW'!$8:$8) - SUM($32:$32))) * '20_FINANCIACION'!$B$16, 0)</f>
        <v>0</v>
      </c>
      <c r="BU38" s="204">
        <f>-IF(BU$3=ROUNDUP('01_MODELO'!$I$37,0), MAX(0, (SUM('30_CASHFLOW'!$19:$19) + SUM('30_CASHFLOW'!$8:$8) - SUM($32:$32))) * '20_FINANCIACION'!$B$16, 0)</f>
        <v>0</v>
      </c>
      <c r="BV38" s="204">
        <f>-IF(BV$3=ROUNDUP('01_MODELO'!$I$37,0), MAX(0, (SUM('30_CASHFLOW'!$19:$19) + SUM('30_CASHFLOW'!$8:$8) - SUM($32:$32))) * '20_FINANCIACION'!$B$16, 0)</f>
        <v>0</v>
      </c>
      <c r="BW38" s="204">
        <f>-IF(BW$3=ROUNDUP('01_MODELO'!$I$37,0), MAX(0, (SUM('30_CASHFLOW'!$19:$19) + SUM('30_CASHFLOW'!$8:$8) - SUM($32:$32))) * '20_FINANCIACION'!$B$16, 0)</f>
        <v>0</v>
      </c>
      <c r="BX38" s="204">
        <f>-IF(BX$3=ROUNDUP('01_MODELO'!$I$37,0), MAX(0, (SUM('30_CASHFLOW'!$19:$19) + SUM('30_CASHFLOW'!$8:$8) - SUM($32:$32))) * '20_FINANCIACION'!$B$16, 0)</f>
        <v>0</v>
      </c>
      <c r="BY38" s="204">
        <f>-IF(BY$3=ROUNDUP('01_MODELO'!$I$37,0), MAX(0, (SUM('30_CASHFLOW'!$19:$19) + SUM('30_CASHFLOW'!$8:$8) - SUM($32:$32))) * '20_FINANCIACION'!$B$16, 0)</f>
        <v>0</v>
      </c>
      <c r="BZ38" s="204">
        <f>-IF(BZ$3=ROUNDUP('01_MODELO'!$I$37,0), MAX(0, (SUM('30_CASHFLOW'!$19:$19) + SUM('30_CASHFLOW'!$8:$8) - SUM($32:$32))) * '20_FINANCIACION'!$B$16, 0)</f>
        <v>0</v>
      </c>
      <c r="CA38" s="204">
        <f>-IF(CA$3=ROUNDUP('01_MODELO'!$I$37,0), MAX(0, (SUM('30_CASHFLOW'!$19:$19) + SUM('30_CASHFLOW'!$8:$8) - SUM($32:$32))) * '20_FINANCIACION'!$B$16, 0)</f>
        <v>0</v>
      </c>
      <c r="CB38" s="204">
        <f>-IF(CB$3=ROUNDUP('01_MODELO'!$I$37,0), MAX(0, (SUM('30_CASHFLOW'!$19:$19) + SUM('30_CASHFLOW'!$8:$8) - SUM($32:$32))) * '20_FINANCIACION'!$B$16, 0)</f>
        <v>0</v>
      </c>
      <c r="CC38" s="204">
        <f>-IF(CC$3=ROUNDUP('01_MODELO'!$I$37,0), MAX(0, (SUM('30_CASHFLOW'!$19:$19) + SUM('30_CASHFLOW'!$8:$8) - SUM($32:$32))) * '20_FINANCIACION'!$B$16, 0)</f>
        <v>0</v>
      </c>
      <c r="CD38" s="204">
        <f>-IF(CD$3=ROUNDUP('01_MODELO'!$I$37,0), MAX(0, (SUM('30_CASHFLOW'!$19:$19) + SUM('30_CASHFLOW'!$8:$8) - SUM($32:$32))) * '20_FINANCIACION'!$B$16, 0)</f>
        <v>0</v>
      </c>
      <c r="CE38" s="204">
        <f>-IF(CE$3=ROUNDUP('01_MODELO'!$I$37,0), MAX(0, (SUM('30_CASHFLOW'!$19:$19) + SUM('30_CASHFLOW'!$8:$8) - SUM($32:$32))) * '20_FINANCIACION'!$B$16, 0)</f>
        <v>0</v>
      </c>
      <c r="CF38" s="204">
        <f>-IF(CF$3=ROUNDUP('01_MODELO'!$I$37,0), MAX(0, (SUM('30_CASHFLOW'!$19:$19) + SUM('30_CASHFLOW'!$8:$8) - SUM($32:$32))) * '20_FINANCIACION'!$B$16, 0)</f>
        <v>0</v>
      </c>
      <c r="CG38" s="204">
        <f>-IF(CG$3=ROUNDUP('01_MODELO'!$I$37,0), MAX(0, (SUM('30_CASHFLOW'!$19:$19) + SUM('30_CASHFLOW'!$8:$8) - SUM($32:$32))) * '20_FINANCIACION'!$B$16, 0)</f>
        <v>0</v>
      </c>
      <c r="CH38" s="204">
        <f>-IF(CH$3=ROUNDUP('01_MODELO'!$I$37,0), MAX(0, (SUM('30_CASHFLOW'!$19:$19) + SUM('30_CASHFLOW'!$8:$8) - SUM($32:$32))) * '20_FINANCIACION'!$B$16, 0)</f>
        <v>0</v>
      </c>
      <c r="CI38" s="204">
        <f>-IF(CI$3=ROUNDUP('01_MODELO'!$I$37,0), MAX(0, (SUM('30_CASHFLOW'!$19:$19) + SUM('30_CASHFLOW'!$8:$8) - SUM($32:$32))) * '20_FINANCIACION'!$B$16, 0)</f>
        <v>0</v>
      </c>
      <c r="CJ38" s="204">
        <f>-IF(CJ$3=ROUNDUP('01_MODELO'!$I$37,0), MAX(0, (SUM('30_CASHFLOW'!$19:$19) + SUM('30_CASHFLOW'!$8:$8) - SUM($32:$32))) * '20_FINANCIACION'!$B$16, 0)</f>
        <v>0</v>
      </c>
      <c r="CK38" s="204">
        <f>-IF(CK$3=ROUNDUP('01_MODELO'!$I$37,0), MAX(0, (SUM('30_CASHFLOW'!$19:$19) + SUM('30_CASHFLOW'!$8:$8) - SUM($32:$32))) * '20_FINANCIACION'!$B$16, 0)</f>
        <v>0</v>
      </c>
      <c r="CL38" s="204">
        <f>-IF(CL$3=ROUNDUP('01_MODELO'!$I$37,0), MAX(0, (SUM('30_CASHFLOW'!$19:$19) + SUM('30_CASHFLOW'!$8:$8) - SUM($32:$32))) * '20_FINANCIACION'!$B$16, 0)</f>
        <v>0</v>
      </c>
      <c r="CM38" s="204">
        <f>-IF(CM$3=ROUNDUP('01_MODELO'!$I$37,0), MAX(0, (SUM('30_CASHFLOW'!$19:$19) + SUM('30_CASHFLOW'!$8:$8) - SUM($32:$32))) * '20_FINANCIACION'!$B$16, 0)</f>
        <v>0</v>
      </c>
      <c r="CN38" s="204">
        <f>-IF(CN$3=ROUNDUP('01_MODELO'!$I$37,0), MAX(0, (SUM('30_CASHFLOW'!$19:$19) + SUM('30_CASHFLOW'!$8:$8) - SUM($32:$32))) * '20_FINANCIACION'!$B$16, 0)</f>
        <v>0</v>
      </c>
      <c r="CO38" s="204">
        <f>-IF(CO$3=ROUNDUP('01_MODELO'!$I$37,0), MAX(0, (SUM('30_CASHFLOW'!$19:$19) + SUM('30_CASHFLOW'!$8:$8) - SUM($32:$32))) * '20_FINANCIACION'!$B$16, 0)</f>
        <v>0</v>
      </c>
      <c r="CP38" s="204">
        <f>-IF(CP$3=ROUNDUP('01_MODELO'!$I$37,0), MAX(0, (SUM('30_CASHFLOW'!$19:$19) + SUM('30_CASHFLOW'!$8:$8) - SUM($32:$32))) * '20_FINANCIACION'!$B$16, 0)</f>
        <v>0</v>
      </c>
      <c r="CQ38" s="204">
        <f>-IF(CQ$3=ROUNDUP('01_MODELO'!$I$37,0), MAX(0, (SUM('30_CASHFLOW'!$19:$19) + SUM('30_CASHFLOW'!$8:$8) - SUM($32:$32))) * '20_FINANCIACION'!$B$16, 0)</f>
        <v>0</v>
      </c>
      <c r="CR38" s="204">
        <f>-IF(CR$3=ROUNDUP('01_MODELO'!$I$37,0), MAX(0, (SUM('30_CASHFLOW'!$19:$19) + SUM('30_CASHFLOW'!$8:$8) - SUM($32:$32))) * '20_FINANCIACION'!$B$16, 0)</f>
        <v>0</v>
      </c>
      <c r="CS38" s="204">
        <f>-IF(CS$3=ROUNDUP('01_MODELO'!$I$37,0), MAX(0, (SUM('30_CASHFLOW'!$19:$19) + SUM('30_CASHFLOW'!$8:$8) - SUM($32:$32))) * '20_FINANCIACION'!$B$16, 0)</f>
        <v>0</v>
      </c>
      <c r="CT38" s="204">
        <f>-IF(CT$3=ROUNDUP('01_MODELO'!$I$37,0), MAX(0, (SUM('30_CASHFLOW'!$19:$19) + SUM('30_CASHFLOW'!$8:$8) - SUM($32:$32))) * '20_FINANCIACION'!$B$16, 0)</f>
        <v>0</v>
      </c>
      <c r="CU38" s="204">
        <f>-IF(CU$3=ROUNDUP('01_MODELO'!$I$37,0), MAX(0, (SUM('30_CASHFLOW'!$19:$19) + SUM('30_CASHFLOW'!$8:$8) - SUM($32:$32))) * '20_FINANCIACION'!$B$16, 0)</f>
        <v>0</v>
      </c>
      <c r="CV38" s="204">
        <f>-IF(CV$3=ROUNDUP('01_MODELO'!$I$37,0), MAX(0, (SUM('30_CASHFLOW'!$19:$19) + SUM('30_CASHFLOW'!$8:$8) - SUM($32:$32))) * '20_FINANCIACION'!$B$16, 0)</f>
        <v>0</v>
      </c>
      <c r="CW38" s="204">
        <f>-IF(CW$3=ROUNDUP('01_MODELO'!$I$37,0), MAX(0, (SUM('30_CASHFLOW'!$19:$19) + SUM('30_CASHFLOW'!$8:$8) - SUM($32:$32))) * '20_FINANCIACION'!$B$16, 0)</f>
        <v>0</v>
      </c>
      <c r="CX38" s="204">
        <f>-IF(CX$3=ROUNDUP('01_MODELO'!$I$37,0), MAX(0, (SUM('30_CASHFLOW'!$19:$19) + SUM('30_CASHFLOW'!$8:$8) - SUM($32:$32))) * '20_FINANCIACION'!$B$16, 0)</f>
        <v>0</v>
      </c>
      <c r="CY38" s="204">
        <f>-IF(CY$3=ROUNDUP('01_MODELO'!$I$37,0), MAX(0, (SUM('30_CASHFLOW'!$19:$19) + SUM('30_CASHFLOW'!$8:$8) - SUM($32:$32))) * '20_FINANCIACION'!$B$16, 0)</f>
        <v>0</v>
      </c>
      <c r="CZ38" s="204">
        <f>-IF(CZ$3=ROUNDUP('01_MODELO'!$I$37,0), MAX(0, (SUM('30_CASHFLOW'!$19:$19) + SUM('30_CASHFLOW'!$8:$8) - SUM($32:$32))) * '20_FINANCIACION'!$B$16, 0)</f>
        <v>0</v>
      </c>
      <c r="DA38" s="204">
        <f>-IF(DA$3=ROUNDUP('01_MODELO'!$I$37,0), MAX(0, (SUM('30_CASHFLOW'!$19:$19) + SUM('30_CASHFLOW'!$8:$8) - SUM($32:$32))) * '20_FINANCIACION'!$B$16, 0)</f>
        <v>0</v>
      </c>
      <c r="DB38" s="204">
        <f>-IF(DB$3=ROUNDUP('01_MODELO'!$I$37,0), MAX(0, (SUM('30_CASHFLOW'!$19:$19) + SUM('30_CASHFLOW'!$8:$8) - SUM($32:$32))) * '20_FINANCIACION'!$B$16, 0)</f>
        <v>0</v>
      </c>
      <c r="DC38" s="204">
        <f>-IF(DC$3=ROUNDUP('01_MODELO'!$I$37,0), MAX(0, (SUM('30_CASHFLOW'!$19:$19) + SUM('30_CASHFLOW'!$8:$8) - SUM($32:$32))) * '20_FINANCIACION'!$B$16, 0)</f>
        <v>0</v>
      </c>
      <c r="DD38" s="204">
        <f>-IF(DD$3=ROUNDUP('01_MODELO'!$I$37,0), MAX(0, (SUM('30_CASHFLOW'!$19:$19) + SUM('30_CASHFLOW'!$8:$8) - SUM($32:$32))) * '20_FINANCIACION'!$B$16, 0)</f>
        <v>0</v>
      </c>
      <c r="DE38" s="204">
        <f>-IF(DE$3=ROUNDUP('01_MODELO'!$I$37,0), MAX(0, (SUM('30_CASHFLOW'!$19:$19) + SUM('30_CASHFLOW'!$8:$8) - SUM($32:$32))) * '20_FINANCIACION'!$B$16, 0)</f>
        <v>0</v>
      </c>
      <c r="DF38" s="204">
        <f>-IF(DF$3=ROUNDUP('01_MODELO'!$I$37,0), MAX(0, (SUM('30_CASHFLOW'!$19:$19) + SUM('30_CASHFLOW'!$8:$8) - SUM($32:$32))) * '20_FINANCIACION'!$B$16, 0)</f>
        <v>0</v>
      </c>
      <c r="DG38" s="204">
        <f>-IF(DG$3=ROUNDUP('01_MODELO'!$I$37,0), MAX(0, (SUM('30_CASHFLOW'!$19:$19) + SUM('30_CASHFLOW'!$8:$8) - SUM($32:$32))) * '20_FINANCIACION'!$B$16, 0)</f>
        <v>0</v>
      </c>
      <c r="DH38" s="204">
        <f>-IF(DH$3=ROUNDUP('01_MODELO'!$I$37,0), MAX(0, (SUM('30_CASHFLOW'!$19:$19) + SUM('30_CASHFLOW'!$8:$8) - SUM($32:$32))) * '20_FINANCIACION'!$B$16, 0)</f>
        <v>0</v>
      </c>
      <c r="DI38" s="204">
        <f>-IF(DI$3=ROUNDUP('01_MODELO'!$I$37,0), MAX(0, (SUM('30_CASHFLOW'!$19:$19) + SUM('30_CASHFLOW'!$8:$8) - SUM($32:$32))) * '20_FINANCIACION'!$B$16, 0)</f>
        <v>0</v>
      </c>
      <c r="DJ38" s="204">
        <f>-IF(DJ$3=ROUNDUP('01_MODELO'!$I$37,0), MAX(0, (SUM('30_CASHFLOW'!$19:$19) + SUM('30_CASHFLOW'!$8:$8) - SUM($32:$32))) * '20_FINANCIACION'!$B$16, 0)</f>
        <v>0</v>
      </c>
      <c r="DK38" s="204">
        <f>-IF(DK$3=ROUNDUP('01_MODELO'!$I$37,0), MAX(0, (SUM('30_CASHFLOW'!$19:$19) + SUM('30_CASHFLOW'!$8:$8) - SUM($32:$32))) * '20_FINANCIACION'!$B$16, 0)</f>
        <v>0</v>
      </c>
      <c r="DL38" s="204">
        <f>-IF(DL$3=ROUNDUP('01_MODELO'!$I$37,0), MAX(0, (SUM('30_CASHFLOW'!$19:$19) + SUM('30_CASHFLOW'!$8:$8) - SUM($32:$32))) * '20_FINANCIACION'!$B$16, 0)</f>
        <v>0</v>
      </c>
      <c r="DM38" s="204">
        <f>-IF(DM$3=ROUNDUP('01_MODELO'!$I$37,0), MAX(0, (SUM('30_CASHFLOW'!$19:$19) + SUM('30_CASHFLOW'!$8:$8) - SUM($32:$32))) * '20_FINANCIACION'!$B$16, 0)</f>
        <v>0</v>
      </c>
      <c r="DN38" s="204">
        <f>-IF(DN$3=ROUNDUP('01_MODELO'!$I$37,0), MAX(0, (SUM('30_CASHFLOW'!$19:$19) + SUM('30_CASHFLOW'!$8:$8) - SUM($32:$32))) * '20_FINANCIACION'!$B$16, 0)</f>
        <v>0</v>
      </c>
      <c r="DO38" s="204">
        <f>-IF(DO$3=ROUNDUP('01_MODELO'!$I$37,0), MAX(0, (SUM('30_CASHFLOW'!$19:$19) + SUM('30_CASHFLOW'!$8:$8) - SUM($32:$32))) * '20_FINANCIACION'!$B$16, 0)</f>
        <v>0</v>
      </c>
      <c r="DP38" s="204">
        <f>-IF(DP$3=ROUNDUP('01_MODELO'!$I$37,0), MAX(0, (SUM('30_CASHFLOW'!$19:$19) + SUM('30_CASHFLOW'!$8:$8) - SUM($32:$32))) * '20_FINANCIACION'!$B$16, 0)</f>
        <v>0</v>
      </c>
      <c r="DQ38" s="204">
        <f>-IF(DQ$3=ROUNDUP('01_MODELO'!$I$37,0), MAX(0, (SUM('30_CASHFLOW'!$19:$19) + SUM('30_CASHFLOW'!$8:$8) - SUM($32:$32))) * '20_FINANCIACION'!$B$16, 0)</f>
        <v>0</v>
      </c>
      <c r="DR38" s="204">
        <f>-IF(DR$3=ROUNDUP('01_MODELO'!$I$37,0), MAX(0, (SUM('30_CASHFLOW'!$19:$19) + SUM('30_CASHFLOW'!$8:$8) - SUM($32:$32))) * '20_FINANCIACION'!$B$16, 0)</f>
        <v>0</v>
      </c>
      <c r="DS38" s="204">
        <f>-IF(DS$3=ROUNDUP('01_MODELO'!$I$37,0), MAX(0, (SUM('30_CASHFLOW'!$19:$19) + SUM('30_CASHFLOW'!$8:$8) - SUM($32:$32))) * '20_FINANCIACION'!$B$16, 0)</f>
        <v>0</v>
      </c>
      <c r="DT38" s="204">
        <f>-IF(DT$3=ROUNDUP('01_MODELO'!$I$37,0), MAX(0, (SUM('30_CASHFLOW'!$19:$19) + SUM('30_CASHFLOW'!$8:$8) - SUM($32:$32))) * '20_FINANCIACION'!$B$16, 0)</f>
        <v>0</v>
      </c>
      <c r="DU38" s="204">
        <f>-IF(DU$3=ROUNDUP('01_MODELO'!$I$37,0), MAX(0, (SUM('30_CASHFLOW'!$19:$19) + SUM('30_CASHFLOW'!$8:$8) - SUM($32:$32))) * '20_FINANCIACION'!$B$16, 0)</f>
        <v>0</v>
      </c>
      <c r="DV38" s="204">
        <f>-IF(DV$3=ROUNDUP('01_MODELO'!$I$37,0), MAX(0, (SUM('30_CASHFLOW'!$19:$19) + SUM('30_CASHFLOW'!$8:$8) - SUM($32:$32))) * '20_FINANCIACION'!$B$16, 0)</f>
        <v>0</v>
      </c>
      <c r="DW38" s="204">
        <f>-IF(DW$3=ROUNDUP('01_MODELO'!$I$37,0), MAX(0, (SUM('30_CASHFLOW'!$19:$19) + SUM('30_CASHFLOW'!$8:$8) - SUM($32:$32))) * '20_FINANCIACION'!$B$16, 0)</f>
        <v>0</v>
      </c>
      <c r="DX38" s="204">
        <f>-IF(DX$3=ROUNDUP('01_MODELO'!$I$37,0), MAX(0, (SUM('30_CASHFLOW'!$19:$19) + SUM('30_CASHFLOW'!$8:$8) - SUM($32:$32))) * '20_FINANCIACION'!$B$16, 0)</f>
        <v>0</v>
      </c>
      <c r="DY38" s="204">
        <f>-IF(DY$3=ROUNDUP('01_MODELO'!$I$37,0), MAX(0, (SUM('30_CASHFLOW'!$19:$19) + SUM('30_CASHFLOW'!$8:$8) - SUM($32:$32))) * '20_FINANCIACION'!$B$16, 0)</f>
        <v>0</v>
      </c>
      <c r="DZ38" s="204">
        <f>-IF(DZ$3=ROUNDUP('01_MODELO'!$I$37,0), MAX(0, (SUM('30_CASHFLOW'!$19:$19) + SUM('30_CASHFLOW'!$8:$8) - SUM($32:$32))) * '20_FINANCIACION'!$B$16, 0)</f>
        <v>0</v>
      </c>
      <c r="EA38" s="204">
        <f>-IF(EA$3=ROUNDUP('01_MODELO'!$I$37,0), MAX(0, (SUM('30_CASHFLOW'!$19:$19) + SUM('30_CASHFLOW'!$8:$8) - SUM($32:$32))) * '20_FINANCIACION'!$B$16, 0)</f>
        <v>0</v>
      </c>
      <c r="EB38" s="204">
        <f>-IF(EB$3=ROUNDUP('01_MODELO'!$I$37,0), MAX(0, (SUM('30_CASHFLOW'!$19:$19) + SUM('30_CASHFLOW'!$8:$8) - SUM($32:$32))) * '20_FINANCIACION'!$B$16, 0)</f>
        <v>0</v>
      </c>
      <c r="EC38" s="204">
        <f>-IF(EC$3=ROUNDUP('01_MODELO'!$I$37,0), MAX(0, (SUM('30_CASHFLOW'!$19:$19) + SUM('30_CASHFLOW'!$8:$8) - SUM($32:$32))) * '20_FINANCIACION'!$B$16, 0)</f>
        <v>0</v>
      </c>
      <c r="ED38" s="204">
        <f>-IF(ED$3=ROUNDUP('01_MODELO'!$I$37,0), MAX(0, (SUM('30_CASHFLOW'!$19:$19) + SUM('30_CASHFLOW'!$8:$8) - SUM($32:$32))) * '20_FINANCIACION'!$B$16, 0)</f>
        <v>0</v>
      </c>
      <c r="EE38" s="204">
        <f>-IF(EE$3=ROUNDUP('01_MODELO'!$I$37,0), MAX(0, (SUM('30_CASHFLOW'!$19:$19) + SUM('30_CASHFLOW'!$8:$8) - SUM($32:$32))) * '20_FINANCIACION'!$B$16, 0)</f>
        <v>0</v>
      </c>
      <c r="EF38" s="204">
        <f>-IF(EF$3=ROUNDUP('01_MODELO'!$I$37,0), MAX(0, (SUM('30_CASHFLOW'!$19:$19) + SUM('30_CASHFLOW'!$8:$8) - SUM($32:$32))) * '20_FINANCIACION'!$B$16, 0)</f>
        <v>0</v>
      </c>
      <c r="EG38" s="204">
        <f>-IF(EG$3=ROUNDUP('01_MODELO'!$I$37,0), MAX(0, (SUM('30_CASHFLOW'!$19:$19) + SUM('30_CASHFLOW'!$8:$8) - SUM($32:$32))) * '20_FINANCIACION'!$B$16, 0)</f>
        <v>0</v>
      </c>
      <c r="EH38" s="204">
        <f>-IF(EH$3=ROUNDUP('01_MODELO'!$I$37,0), MAX(0, (SUM('30_CASHFLOW'!$19:$19) + SUM('30_CASHFLOW'!$8:$8) - SUM($32:$32))) * '20_FINANCIACION'!$B$16, 0)</f>
        <v>0</v>
      </c>
      <c r="EI38" s="204">
        <f>-IF(EI$3=ROUNDUP('01_MODELO'!$I$37,0), MAX(0, (SUM('30_CASHFLOW'!$19:$19) + SUM('30_CASHFLOW'!$8:$8) - SUM($32:$32))) * '20_FINANCIACION'!$B$16, 0)</f>
        <v>0</v>
      </c>
      <c r="EJ38" s="204">
        <f>-IF(EJ$3=ROUNDUP('01_MODELO'!$I$37,0), MAX(0, (SUM('30_CASHFLOW'!$19:$19) + SUM('30_CASHFLOW'!$8:$8) - SUM($32:$32))) * '20_FINANCIACION'!$B$16, 0)</f>
        <v>0</v>
      </c>
      <c r="EK38" s="204">
        <f>-IF(EK$3=ROUNDUP('01_MODELO'!$I$37,0), MAX(0, (SUM('30_CASHFLOW'!$19:$19) + SUM('30_CASHFLOW'!$8:$8) - SUM($32:$32))) * '20_FINANCIACION'!$B$16, 0)</f>
        <v>0</v>
      </c>
      <c r="EL38" s="204">
        <f>-IF(EL$3=ROUNDUP('01_MODELO'!$I$37,0), MAX(0, (SUM('30_CASHFLOW'!$19:$19) + SUM('30_CASHFLOW'!$8:$8) - SUM($32:$32))) * '20_FINANCIACION'!$B$16, 0)</f>
        <v>0</v>
      </c>
      <c r="EM38" s="204">
        <f>-IF(EM$3=ROUNDUP('01_MODELO'!$I$37,0), MAX(0, (SUM('30_CASHFLOW'!$19:$19) + SUM('30_CASHFLOW'!$8:$8) - SUM($32:$32))) * '20_FINANCIACION'!$B$16, 0)</f>
        <v>0</v>
      </c>
      <c r="EN38" s="204">
        <f>-IF(EN$3=ROUNDUP('01_MODELO'!$I$37,0), MAX(0, (SUM('30_CASHFLOW'!$19:$19) + SUM('30_CASHFLOW'!$8:$8) - SUM($32:$32))) * '20_FINANCIACION'!$B$16, 0)</f>
        <v>0</v>
      </c>
      <c r="EO38" s="204">
        <f>-IF(EO$3=ROUNDUP('01_MODELO'!$I$37,0), MAX(0, (SUM('30_CASHFLOW'!$19:$19) + SUM('30_CASHFLOW'!$8:$8) - SUM($32:$32))) * '20_FINANCIACION'!$B$16, 0)</f>
        <v>0</v>
      </c>
      <c r="EP38" s="204">
        <f>-IF(EP$3=ROUNDUP('01_MODELO'!$I$37,0), MAX(0, (SUM('30_CASHFLOW'!$19:$19) + SUM('30_CASHFLOW'!$8:$8) - SUM($32:$32))) * '20_FINANCIACION'!$B$16, 0)</f>
        <v>0</v>
      </c>
      <c r="EQ38" s="204">
        <f>-IF(EQ$3=ROUNDUP('01_MODELO'!$I$37,0), MAX(0, (SUM('30_CASHFLOW'!$19:$19) + SUM('30_CASHFLOW'!$8:$8) - SUM($32:$32))) * '20_FINANCIACION'!$B$16, 0)</f>
        <v>0</v>
      </c>
      <c r="ER38" s="204">
        <f>-IF(ER$3=ROUNDUP('01_MODELO'!$I$37,0), MAX(0, (SUM('30_CASHFLOW'!$19:$19) + SUM('30_CASHFLOW'!$8:$8) - SUM($32:$32))) * '20_FINANCIACION'!$B$16, 0)</f>
        <v>0</v>
      </c>
      <c r="ES38" s="204">
        <f>-IF(ES$3=ROUNDUP('01_MODELO'!$I$37,0), MAX(0, (SUM('30_CASHFLOW'!$19:$19) + SUM('30_CASHFLOW'!$8:$8) - SUM($32:$32))) * '20_FINANCIACION'!$B$16, 0)</f>
        <v>0</v>
      </c>
      <c r="ET38" s="204">
        <f>-IF(ET$3=ROUNDUP('01_MODELO'!$I$37,0), MAX(0, (SUM('30_CASHFLOW'!$19:$19) + SUM('30_CASHFLOW'!$8:$8) - SUM($32:$32))) * '20_FINANCIACION'!$B$16, 0)</f>
        <v>0</v>
      </c>
      <c r="EU38" s="204">
        <f>-IF(EU$3=ROUNDUP('01_MODELO'!$I$37,0), MAX(0, (SUM('30_CASHFLOW'!$19:$19) + SUM('30_CASHFLOW'!$8:$8) - SUM($32:$32))) * '20_FINANCIACION'!$B$16, 0)</f>
        <v>0</v>
      </c>
      <c r="EV38" s="204">
        <f>-IF(EV$3=ROUNDUP('01_MODELO'!$I$37,0), MAX(0, (SUM('30_CASHFLOW'!$19:$19) + SUM('30_CASHFLOW'!$8:$8) - SUM($32:$32))) * '20_FINANCIACION'!$B$16, 0)</f>
        <v>0</v>
      </c>
      <c r="EW38" s="204">
        <f>-IF(EW$3=ROUNDUP('01_MODELO'!$I$37,0), MAX(0, (SUM('30_CASHFLOW'!$19:$19) + SUM('30_CASHFLOW'!$8:$8) - SUM($32:$32))) * '20_FINANCIACION'!$B$16, 0)</f>
        <v>0</v>
      </c>
      <c r="EX38" s="204">
        <f>-IF(EX$3=ROUNDUP('01_MODELO'!$I$37,0), MAX(0, (SUM('30_CASHFLOW'!$19:$19) + SUM('30_CASHFLOW'!$8:$8) - SUM($32:$32))) * '20_FINANCIACION'!$B$16, 0)</f>
        <v>0</v>
      </c>
      <c r="EY38" s="204">
        <f>-IF(EY$3=ROUNDUP('01_MODELO'!$I$37,0), MAX(0, (SUM('30_CASHFLOW'!$19:$19) + SUM('30_CASHFLOW'!$8:$8) - SUM($32:$32))) * '20_FINANCIACION'!$B$16, 0)</f>
        <v>0</v>
      </c>
      <c r="EZ38" s="204">
        <f>-IF(EZ$3=ROUNDUP('01_MODELO'!$I$37,0), MAX(0, (SUM('30_CASHFLOW'!$19:$19) + SUM('30_CASHFLOW'!$8:$8) - SUM($32:$32))) * '20_FINANCIACION'!$B$16, 0)</f>
        <v>0</v>
      </c>
      <c r="FA38" s="204">
        <f>-IF(FA$3=ROUNDUP('01_MODELO'!$I$37,0), MAX(0, (SUM('30_CASHFLOW'!$19:$19) + SUM('30_CASHFLOW'!$8:$8) - SUM($32:$32))) * '20_FINANCIACION'!$B$16, 0)</f>
        <v>0</v>
      </c>
      <c r="FB38" s="204">
        <f>-IF(FB$3=ROUNDUP('01_MODELO'!$I$37,0), MAX(0, (SUM('30_CASHFLOW'!$19:$19) + SUM('30_CASHFLOW'!$8:$8) - SUM($32:$32))) * '20_FINANCIACION'!$B$16, 0)</f>
        <v>0</v>
      </c>
      <c r="FC38" s="204">
        <f>-IF(FC$3=ROUNDUP('01_MODELO'!$I$37,0), MAX(0, (SUM('30_CASHFLOW'!$19:$19) + SUM('30_CASHFLOW'!$8:$8) - SUM($32:$32))) * '20_FINANCIACION'!$B$16, 0)</f>
        <v>0</v>
      </c>
      <c r="FD38" s="204">
        <f>-IF(FD$3=ROUNDUP('01_MODELO'!$I$37,0), MAX(0, (SUM('30_CASHFLOW'!$19:$19) + SUM('30_CASHFLOW'!$8:$8) - SUM($32:$32))) * '20_FINANCIACION'!$B$16, 0)</f>
        <v>0</v>
      </c>
      <c r="FE38" s="204">
        <f>-IF(FE$3=ROUNDUP('01_MODELO'!$I$37,0), MAX(0, (SUM('30_CASHFLOW'!$19:$19) + SUM('30_CASHFLOW'!$8:$8) - SUM($32:$32))) * '20_FINANCIACION'!$B$16, 0)</f>
        <v>0</v>
      </c>
      <c r="FF38" s="204">
        <f>-IF(FF$3=ROUNDUP('01_MODELO'!$I$37,0), MAX(0, (SUM('30_CASHFLOW'!$19:$19) + SUM('30_CASHFLOW'!$8:$8) - SUM($32:$32))) * '20_FINANCIACION'!$B$16, 0)</f>
        <v>0</v>
      </c>
      <c r="FG38" s="204">
        <f>-IF(FG$3=ROUNDUP('01_MODELO'!$I$37,0), MAX(0, (SUM('30_CASHFLOW'!$19:$19) + SUM('30_CASHFLOW'!$8:$8) - SUM($32:$32))) * '20_FINANCIACION'!$B$16, 0)</f>
        <v>0</v>
      </c>
      <c r="FH38" s="204">
        <f>-IF(FH$3=ROUNDUP('01_MODELO'!$I$37,0), MAX(0, (SUM('30_CASHFLOW'!$19:$19) + SUM('30_CASHFLOW'!$8:$8) - SUM($32:$32))) * '20_FINANCIACION'!$B$16, 0)</f>
        <v>0</v>
      </c>
      <c r="FI38" s="204">
        <f>-IF(FI$3=ROUNDUP('01_MODELO'!$I$37,0), MAX(0, (SUM('30_CASHFLOW'!$19:$19) + SUM('30_CASHFLOW'!$8:$8) - SUM($32:$32))) * '20_FINANCIACION'!$B$16, 0)</f>
        <v>0</v>
      </c>
      <c r="FJ38" s="204">
        <f>-IF(FJ$3=ROUNDUP('01_MODELO'!$I$37,0), MAX(0, (SUM('30_CASHFLOW'!$19:$19) + SUM('30_CASHFLOW'!$8:$8) - SUM($32:$32))) * '20_FINANCIACION'!$B$16, 0)</f>
        <v>0</v>
      </c>
      <c r="FK38" s="204">
        <f>-IF(FK$3=ROUNDUP('01_MODELO'!$I$37,0), MAX(0, (SUM('30_CASHFLOW'!$19:$19) + SUM('30_CASHFLOW'!$8:$8) - SUM($32:$32))) * '20_FINANCIACION'!$B$16, 0)</f>
        <v>0</v>
      </c>
      <c r="FL38" s="204">
        <f>-IF(FL$3=ROUNDUP('01_MODELO'!$I$37,0), MAX(0, (SUM('30_CASHFLOW'!$19:$19) + SUM('30_CASHFLOW'!$8:$8) - SUM($32:$32))) * '20_FINANCIACION'!$B$16, 0)</f>
        <v>0</v>
      </c>
      <c r="FM38" s="204">
        <f>-IF(FM$3=ROUNDUP('01_MODELO'!$I$37,0), MAX(0, (SUM('30_CASHFLOW'!$19:$19) + SUM('30_CASHFLOW'!$8:$8) - SUM($32:$32))) * '20_FINANCIACION'!$B$16, 0)</f>
        <v>0</v>
      </c>
      <c r="FN38" s="204">
        <f>-IF(FN$3=ROUNDUP('01_MODELO'!$I$37,0), MAX(0, (SUM('30_CASHFLOW'!$19:$19) + SUM('30_CASHFLOW'!$8:$8) - SUM($32:$32))) * '20_FINANCIACION'!$B$16, 0)</f>
        <v>0</v>
      </c>
      <c r="FO38" s="204">
        <f>-IF(FO$3=ROUNDUP('01_MODELO'!$I$37,0), MAX(0, (SUM('30_CASHFLOW'!$19:$19) + SUM('30_CASHFLOW'!$8:$8) - SUM($32:$32))) * '20_FINANCIACION'!$B$16, 0)</f>
        <v>0</v>
      </c>
      <c r="FP38" s="204">
        <f>-IF(FP$3=ROUNDUP('01_MODELO'!$I$37,0), MAX(0, (SUM('30_CASHFLOW'!$19:$19) + SUM('30_CASHFLOW'!$8:$8) - SUM($32:$32))) * '20_FINANCIACION'!$B$16, 0)</f>
        <v>0</v>
      </c>
      <c r="FQ38" s="204">
        <f>-IF(FQ$3=ROUNDUP('01_MODELO'!$I$37,0), MAX(0, (SUM('30_CASHFLOW'!$19:$19) + SUM('30_CASHFLOW'!$8:$8) - SUM($32:$32))) * '20_FINANCIACION'!$B$16, 0)</f>
        <v>0</v>
      </c>
      <c r="FR38" s="204">
        <f>-IF(FR$3=ROUNDUP('01_MODELO'!$I$37,0), MAX(0, (SUM('30_CASHFLOW'!$19:$19) + SUM('30_CASHFLOW'!$8:$8) - SUM($32:$32))) * '20_FINANCIACION'!$B$16, 0)</f>
        <v>0</v>
      </c>
      <c r="FS38" s="204">
        <f>-IF(FS$3=ROUNDUP('01_MODELO'!$I$37,0), MAX(0, (SUM('30_CASHFLOW'!$19:$19) + SUM('30_CASHFLOW'!$8:$8) - SUM($32:$32))) * '20_FINANCIACION'!$B$16, 0)</f>
        <v>0</v>
      </c>
      <c r="FT38" s="204">
        <f>-IF(FT$3=ROUNDUP('01_MODELO'!$I$37,0), MAX(0, (SUM('30_CASHFLOW'!$19:$19) + SUM('30_CASHFLOW'!$8:$8) - SUM($32:$32))) * '20_FINANCIACION'!$B$16, 0)</f>
        <v>0</v>
      </c>
      <c r="FU38" s="204">
        <f>-IF(FU$3=ROUNDUP('01_MODELO'!$I$37,0), MAX(0, (SUM('30_CASHFLOW'!$19:$19) + SUM('30_CASHFLOW'!$8:$8) - SUM($32:$32))) * '20_FINANCIACION'!$B$16, 0)</f>
        <v>0</v>
      </c>
      <c r="FV38" s="204">
        <f>-IF(FV$3=ROUNDUP('01_MODELO'!$I$37,0), MAX(0, (SUM('30_CASHFLOW'!$19:$19) + SUM('30_CASHFLOW'!$8:$8) - SUM($32:$32))) * '20_FINANCIACION'!$B$16, 0)</f>
        <v>0</v>
      </c>
      <c r="FW38" s="204">
        <f>-IF(FW$3=ROUNDUP('01_MODELO'!$I$37,0), MAX(0, (SUM('30_CASHFLOW'!$19:$19) + SUM('30_CASHFLOW'!$8:$8) - SUM($32:$32))) * '20_FINANCIACION'!$B$16, 0)</f>
        <v>0</v>
      </c>
      <c r="FX38" s="204">
        <f>-IF(FX$3=ROUNDUP('01_MODELO'!$I$37,0), MAX(0, (SUM('30_CASHFLOW'!$19:$19) + SUM('30_CASHFLOW'!$8:$8) - SUM($32:$32))) * '20_FINANCIACION'!$B$16, 0)</f>
        <v>0</v>
      </c>
      <c r="FY38" s="204">
        <f>-IF(FY$3=ROUNDUP('01_MODELO'!$I$37,0), MAX(0, (SUM('30_CASHFLOW'!$19:$19) + SUM('30_CASHFLOW'!$8:$8) - SUM($32:$32))) * '20_FINANCIACION'!$B$16, 0)</f>
        <v>0</v>
      </c>
      <c r="FZ38" s="204">
        <f>-IF(FZ$3=ROUNDUP('01_MODELO'!$I$37,0), MAX(0, (SUM('30_CASHFLOW'!$19:$19) + SUM('30_CASHFLOW'!$8:$8) - SUM($32:$32))) * '20_FINANCIACION'!$B$16, 0)</f>
        <v>0</v>
      </c>
    </row>
    <row r="39" spans="1:182" s="256" customFormat="1" ht="15.75" customHeight="1" thickTop="1" x14ac:dyDescent="0.25">
      <c r="A39" s="250" t="s">
        <v>410</v>
      </c>
      <c r="B39" s="255">
        <f>B20+B29+B37+B38</f>
        <v>-1183546</v>
      </c>
      <c r="C39" s="255">
        <f t="shared" ref="C39:BN39" si="57">C20+C29+C37+C38</f>
        <v>0</v>
      </c>
      <c r="D39" s="255">
        <f t="shared" si="57"/>
        <v>0</v>
      </c>
      <c r="E39" s="255">
        <f t="shared" si="57"/>
        <v>0</v>
      </c>
      <c r="F39" s="255">
        <f t="shared" si="57"/>
        <v>0</v>
      </c>
      <c r="G39" s="255">
        <f t="shared" si="57"/>
        <v>0</v>
      </c>
      <c r="H39" s="255">
        <f t="shared" si="57"/>
        <v>0</v>
      </c>
      <c r="I39" s="255">
        <f t="shared" si="57"/>
        <v>0</v>
      </c>
      <c r="J39" s="255">
        <f t="shared" si="57"/>
        <v>0</v>
      </c>
      <c r="K39" s="255">
        <f t="shared" si="57"/>
        <v>0</v>
      </c>
      <c r="L39" s="255">
        <f t="shared" si="57"/>
        <v>0</v>
      </c>
      <c r="M39" s="255">
        <f t="shared" si="57"/>
        <v>-33305.519520000031</v>
      </c>
      <c r="N39" s="255">
        <f t="shared" si="57"/>
        <v>-1640.5552800000014</v>
      </c>
      <c r="O39" s="255">
        <f t="shared" si="57"/>
        <v>-1528.1884800000014</v>
      </c>
      <c r="P39" s="255">
        <f t="shared" si="57"/>
        <v>-1415.8216800000016</v>
      </c>
      <c r="Q39" s="255">
        <f t="shared" si="57"/>
        <v>-1303.4548800000014</v>
      </c>
      <c r="R39" s="255">
        <f t="shared" si="57"/>
        <v>-1191.0880800000011</v>
      </c>
      <c r="S39" s="255">
        <f t="shared" si="57"/>
        <v>-1078.7212800000013</v>
      </c>
      <c r="T39" s="255">
        <f t="shared" si="57"/>
        <v>-966.35448000000133</v>
      </c>
      <c r="U39" s="255">
        <f t="shared" si="57"/>
        <v>-853.98768000000121</v>
      </c>
      <c r="V39" s="255">
        <f t="shared" si="57"/>
        <v>-741.62088000000108</v>
      </c>
      <c r="W39" s="255">
        <f t="shared" si="57"/>
        <v>-629.25408000000095</v>
      </c>
      <c r="X39" s="255">
        <f t="shared" si="57"/>
        <v>-516.88728000000083</v>
      </c>
      <c r="Y39" s="255">
        <f>Y20+Y29+Y37+Y38</f>
        <v>17470.479520000001</v>
      </c>
      <c r="Z39" s="255">
        <f t="shared" si="57"/>
        <v>17582.846320000001</v>
      </c>
      <c r="AA39" s="255">
        <f t="shared" si="57"/>
        <v>191570.21312</v>
      </c>
      <c r="AB39" s="255">
        <f t="shared" si="57"/>
        <v>83810.451920000676</v>
      </c>
      <c r="AC39" s="255">
        <f>AC20+AC29+AC37+AC38</f>
        <v>-77930.320000000065</v>
      </c>
      <c r="AD39" s="255">
        <f t="shared" si="57"/>
        <v>-77930.320000000065</v>
      </c>
      <c r="AE39" s="255">
        <f t="shared" si="57"/>
        <v>-77930.320000000065</v>
      </c>
      <c r="AF39" s="255">
        <f t="shared" si="57"/>
        <v>-77930.320000000065</v>
      </c>
      <c r="AG39" s="255">
        <f t="shared" si="57"/>
        <v>-77930.320000000065</v>
      </c>
      <c r="AH39" s="255">
        <f t="shared" si="57"/>
        <v>-77930.320000000065</v>
      </c>
      <c r="AI39" s="255">
        <f t="shared" si="57"/>
        <v>-88655.320000000065</v>
      </c>
      <c r="AJ39" s="255">
        <f t="shared" si="57"/>
        <v>-95805.320000000065</v>
      </c>
      <c r="AK39" s="255">
        <f t="shared" si="57"/>
        <v>2285611.9708139263</v>
      </c>
      <c r="AL39" s="255">
        <f t="shared" si="57"/>
        <v>0</v>
      </c>
      <c r="AM39" s="255">
        <f t="shared" si="57"/>
        <v>0</v>
      </c>
      <c r="AN39" s="255">
        <f t="shared" si="57"/>
        <v>0</v>
      </c>
      <c r="AO39" s="255">
        <f t="shared" si="57"/>
        <v>0</v>
      </c>
      <c r="AP39" s="255">
        <f t="shared" si="57"/>
        <v>0</v>
      </c>
      <c r="AQ39" s="255">
        <f t="shared" si="57"/>
        <v>0</v>
      </c>
      <c r="AR39" s="255">
        <f t="shared" si="57"/>
        <v>0</v>
      </c>
      <c r="AS39" s="255">
        <f t="shared" si="57"/>
        <v>0</v>
      </c>
      <c r="AT39" s="255">
        <f t="shared" si="57"/>
        <v>0</v>
      </c>
      <c r="AU39" s="255">
        <f t="shared" si="57"/>
        <v>0</v>
      </c>
      <c r="AV39" s="255">
        <f t="shared" si="57"/>
        <v>0</v>
      </c>
      <c r="AW39" s="255">
        <f t="shared" si="57"/>
        <v>0</v>
      </c>
      <c r="AX39" s="255">
        <f t="shared" si="57"/>
        <v>0</v>
      </c>
      <c r="AY39" s="255">
        <f t="shared" si="57"/>
        <v>0</v>
      </c>
      <c r="AZ39" s="255">
        <f t="shared" si="57"/>
        <v>0</v>
      </c>
      <c r="BA39" s="255">
        <f t="shared" si="57"/>
        <v>0</v>
      </c>
      <c r="BB39" s="255">
        <f t="shared" si="57"/>
        <v>0</v>
      </c>
      <c r="BC39" s="255">
        <f t="shared" si="57"/>
        <v>0</v>
      </c>
      <c r="BD39" s="255">
        <f t="shared" si="57"/>
        <v>0</v>
      </c>
      <c r="BE39" s="255">
        <f t="shared" si="57"/>
        <v>0</v>
      </c>
      <c r="BF39" s="255">
        <f t="shared" si="57"/>
        <v>0</v>
      </c>
      <c r="BG39" s="255">
        <f t="shared" si="57"/>
        <v>0</v>
      </c>
      <c r="BH39" s="255">
        <f t="shared" si="57"/>
        <v>0</v>
      </c>
      <c r="BI39" s="255">
        <f t="shared" si="57"/>
        <v>0</v>
      </c>
      <c r="BJ39" s="255">
        <f t="shared" si="57"/>
        <v>0</v>
      </c>
      <c r="BK39" s="255">
        <f t="shared" si="57"/>
        <v>0</v>
      </c>
      <c r="BL39" s="255">
        <f t="shared" si="57"/>
        <v>0</v>
      </c>
      <c r="BM39" s="255">
        <f t="shared" si="57"/>
        <v>0</v>
      </c>
      <c r="BN39" s="255">
        <f t="shared" si="57"/>
        <v>0</v>
      </c>
      <c r="BO39" s="255">
        <f t="shared" ref="BO39:DZ39" si="58">BO20+BO29+BO37+BO38</f>
        <v>0</v>
      </c>
      <c r="BP39" s="255">
        <f t="shared" si="58"/>
        <v>0</v>
      </c>
      <c r="BQ39" s="255">
        <f t="shared" si="58"/>
        <v>0</v>
      </c>
      <c r="BR39" s="255">
        <f t="shared" si="58"/>
        <v>0</v>
      </c>
      <c r="BS39" s="255">
        <f t="shared" si="58"/>
        <v>0</v>
      </c>
      <c r="BT39" s="255">
        <f t="shared" si="58"/>
        <v>0</v>
      </c>
      <c r="BU39" s="255">
        <f t="shared" si="58"/>
        <v>0</v>
      </c>
      <c r="BV39" s="255">
        <f t="shared" si="58"/>
        <v>0</v>
      </c>
      <c r="BW39" s="255">
        <f t="shared" si="58"/>
        <v>0</v>
      </c>
      <c r="BX39" s="255">
        <f t="shared" si="58"/>
        <v>0</v>
      </c>
      <c r="BY39" s="255">
        <f t="shared" si="58"/>
        <v>0</v>
      </c>
      <c r="BZ39" s="255">
        <f t="shared" si="58"/>
        <v>0</v>
      </c>
      <c r="CA39" s="255">
        <f t="shared" si="58"/>
        <v>0</v>
      </c>
      <c r="CB39" s="255">
        <f t="shared" si="58"/>
        <v>0</v>
      </c>
      <c r="CC39" s="255">
        <f t="shared" si="58"/>
        <v>0</v>
      </c>
      <c r="CD39" s="255">
        <f t="shared" si="58"/>
        <v>0</v>
      </c>
      <c r="CE39" s="255">
        <f t="shared" si="58"/>
        <v>0</v>
      </c>
      <c r="CF39" s="255">
        <f t="shared" si="58"/>
        <v>0</v>
      </c>
      <c r="CG39" s="255">
        <f t="shared" si="58"/>
        <v>0</v>
      </c>
      <c r="CH39" s="255">
        <f t="shared" si="58"/>
        <v>0</v>
      </c>
      <c r="CI39" s="255">
        <f t="shared" si="58"/>
        <v>0</v>
      </c>
      <c r="CJ39" s="255">
        <f t="shared" si="58"/>
        <v>0</v>
      </c>
      <c r="CK39" s="255">
        <f t="shared" si="58"/>
        <v>0</v>
      </c>
      <c r="CL39" s="255">
        <f t="shared" si="58"/>
        <v>0</v>
      </c>
      <c r="CM39" s="255">
        <f t="shared" si="58"/>
        <v>0</v>
      </c>
      <c r="CN39" s="255">
        <f t="shared" si="58"/>
        <v>0</v>
      </c>
      <c r="CO39" s="255">
        <f t="shared" si="58"/>
        <v>0</v>
      </c>
      <c r="CP39" s="255">
        <f t="shared" si="58"/>
        <v>0</v>
      </c>
      <c r="CQ39" s="255">
        <f t="shared" si="58"/>
        <v>0</v>
      </c>
      <c r="CR39" s="255">
        <f t="shared" si="58"/>
        <v>0</v>
      </c>
      <c r="CS39" s="255">
        <f t="shared" si="58"/>
        <v>0</v>
      </c>
      <c r="CT39" s="255">
        <f t="shared" si="58"/>
        <v>0</v>
      </c>
      <c r="CU39" s="255">
        <f t="shared" si="58"/>
        <v>0</v>
      </c>
      <c r="CV39" s="255">
        <f t="shared" si="58"/>
        <v>0</v>
      </c>
      <c r="CW39" s="255">
        <f t="shared" si="58"/>
        <v>0</v>
      </c>
      <c r="CX39" s="255">
        <f t="shared" si="58"/>
        <v>0</v>
      </c>
      <c r="CY39" s="255">
        <f t="shared" si="58"/>
        <v>0</v>
      </c>
      <c r="CZ39" s="255">
        <f t="shared" si="58"/>
        <v>0</v>
      </c>
      <c r="DA39" s="255">
        <f t="shared" si="58"/>
        <v>0</v>
      </c>
      <c r="DB39" s="255">
        <f t="shared" si="58"/>
        <v>0</v>
      </c>
      <c r="DC39" s="255">
        <f t="shared" si="58"/>
        <v>0</v>
      </c>
      <c r="DD39" s="255">
        <f t="shared" si="58"/>
        <v>0</v>
      </c>
      <c r="DE39" s="255">
        <f t="shared" si="58"/>
        <v>0</v>
      </c>
      <c r="DF39" s="255">
        <f t="shared" si="58"/>
        <v>0</v>
      </c>
      <c r="DG39" s="255">
        <f t="shared" si="58"/>
        <v>0</v>
      </c>
      <c r="DH39" s="255">
        <f t="shared" si="58"/>
        <v>0</v>
      </c>
      <c r="DI39" s="255">
        <f t="shared" si="58"/>
        <v>0</v>
      </c>
      <c r="DJ39" s="255">
        <f t="shared" si="58"/>
        <v>0</v>
      </c>
      <c r="DK39" s="255">
        <f t="shared" si="58"/>
        <v>0</v>
      </c>
      <c r="DL39" s="255">
        <f t="shared" si="58"/>
        <v>0</v>
      </c>
      <c r="DM39" s="255">
        <f t="shared" si="58"/>
        <v>0</v>
      </c>
      <c r="DN39" s="255">
        <f t="shared" si="58"/>
        <v>0</v>
      </c>
      <c r="DO39" s="255">
        <f t="shared" si="58"/>
        <v>0</v>
      </c>
      <c r="DP39" s="255">
        <f t="shared" si="58"/>
        <v>0</v>
      </c>
      <c r="DQ39" s="255">
        <f t="shared" si="58"/>
        <v>0</v>
      </c>
      <c r="DR39" s="255">
        <f t="shared" si="58"/>
        <v>0</v>
      </c>
      <c r="DS39" s="255">
        <f t="shared" si="58"/>
        <v>0</v>
      </c>
      <c r="DT39" s="255">
        <f t="shared" si="58"/>
        <v>0</v>
      </c>
      <c r="DU39" s="255">
        <f t="shared" si="58"/>
        <v>0</v>
      </c>
      <c r="DV39" s="255">
        <f t="shared" si="58"/>
        <v>0</v>
      </c>
      <c r="DW39" s="255">
        <f t="shared" si="58"/>
        <v>0</v>
      </c>
      <c r="DX39" s="255">
        <f t="shared" si="58"/>
        <v>0</v>
      </c>
      <c r="DY39" s="255">
        <f t="shared" si="58"/>
        <v>0</v>
      </c>
      <c r="DZ39" s="255">
        <f t="shared" si="58"/>
        <v>0</v>
      </c>
      <c r="EA39" s="255">
        <f t="shared" ref="EA39:FZ39" si="59">EA20+EA29+EA37+EA38</f>
        <v>0</v>
      </c>
      <c r="EB39" s="255">
        <f t="shared" si="59"/>
        <v>0</v>
      </c>
      <c r="EC39" s="255">
        <f t="shared" si="59"/>
        <v>0</v>
      </c>
      <c r="ED39" s="255">
        <f t="shared" si="59"/>
        <v>0</v>
      </c>
      <c r="EE39" s="255">
        <f t="shared" si="59"/>
        <v>0</v>
      </c>
      <c r="EF39" s="255">
        <f t="shared" si="59"/>
        <v>0</v>
      </c>
      <c r="EG39" s="255">
        <f t="shared" si="59"/>
        <v>0</v>
      </c>
      <c r="EH39" s="255">
        <f t="shared" si="59"/>
        <v>0</v>
      </c>
      <c r="EI39" s="255">
        <f t="shared" si="59"/>
        <v>0</v>
      </c>
      <c r="EJ39" s="255">
        <f t="shared" si="59"/>
        <v>0</v>
      </c>
      <c r="EK39" s="255">
        <f t="shared" si="59"/>
        <v>0</v>
      </c>
      <c r="EL39" s="255">
        <f t="shared" si="59"/>
        <v>0</v>
      </c>
      <c r="EM39" s="255">
        <f t="shared" si="59"/>
        <v>0</v>
      </c>
      <c r="EN39" s="255">
        <f t="shared" si="59"/>
        <v>0</v>
      </c>
      <c r="EO39" s="255">
        <f t="shared" si="59"/>
        <v>0</v>
      </c>
      <c r="EP39" s="255">
        <f t="shared" si="59"/>
        <v>0</v>
      </c>
      <c r="EQ39" s="255">
        <f t="shared" si="59"/>
        <v>0</v>
      </c>
      <c r="ER39" s="255">
        <f t="shared" si="59"/>
        <v>0</v>
      </c>
      <c r="ES39" s="255">
        <f t="shared" si="59"/>
        <v>0</v>
      </c>
      <c r="ET39" s="255">
        <f t="shared" si="59"/>
        <v>0</v>
      </c>
      <c r="EU39" s="255">
        <f t="shared" si="59"/>
        <v>0</v>
      </c>
      <c r="EV39" s="255">
        <f t="shared" si="59"/>
        <v>0</v>
      </c>
      <c r="EW39" s="255">
        <f t="shared" si="59"/>
        <v>0</v>
      </c>
      <c r="EX39" s="255">
        <f t="shared" si="59"/>
        <v>0</v>
      </c>
      <c r="EY39" s="255">
        <f t="shared" si="59"/>
        <v>0</v>
      </c>
      <c r="EZ39" s="255">
        <f t="shared" si="59"/>
        <v>0</v>
      </c>
      <c r="FA39" s="255">
        <f t="shared" si="59"/>
        <v>0</v>
      </c>
      <c r="FB39" s="255">
        <f t="shared" si="59"/>
        <v>0</v>
      </c>
      <c r="FC39" s="255">
        <f t="shared" si="59"/>
        <v>0</v>
      </c>
      <c r="FD39" s="255">
        <f t="shared" si="59"/>
        <v>0</v>
      </c>
      <c r="FE39" s="255">
        <f t="shared" si="59"/>
        <v>0</v>
      </c>
      <c r="FF39" s="255">
        <f t="shared" si="59"/>
        <v>0</v>
      </c>
      <c r="FG39" s="255">
        <f t="shared" si="59"/>
        <v>0</v>
      </c>
      <c r="FH39" s="255">
        <f t="shared" si="59"/>
        <v>0</v>
      </c>
      <c r="FI39" s="255">
        <f t="shared" si="59"/>
        <v>0</v>
      </c>
      <c r="FJ39" s="255">
        <f t="shared" si="59"/>
        <v>0</v>
      </c>
      <c r="FK39" s="255">
        <f t="shared" si="59"/>
        <v>0</v>
      </c>
      <c r="FL39" s="255">
        <f t="shared" si="59"/>
        <v>0</v>
      </c>
      <c r="FM39" s="255">
        <f t="shared" si="59"/>
        <v>0</v>
      </c>
      <c r="FN39" s="255">
        <f t="shared" si="59"/>
        <v>0</v>
      </c>
      <c r="FO39" s="255">
        <f t="shared" si="59"/>
        <v>0</v>
      </c>
      <c r="FP39" s="255">
        <f t="shared" si="59"/>
        <v>0</v>
      </c>
      <c r="FQ39" s="255">
        <f t="shared" si="59"/>
        <v>0</v>
      </c>
      <c r="FR39" s="255">
        <f t="shared" si="59"/>
        <v>0</v>
      </c>
      <c r="FS39" s="255">
        <f t="shared" si="59"/>
        <v>0</v>
      </c>
      <c r="FT39" s="255">
        <f t="shared" si="59"/>
        <v>0</v>
      </c>
      <c r="FU39" s="255">
        <f t="shared" si="59"/>
        <v>0</v>
      </c>
      <c r="FV39" s="255">
        <f t="shared" si="59"/>
        <v>0</v>
      </c>
      <c r="FW39" s="255">
        <f t="shared" si="59"/>
        <v>0</v>
      </c>
      <c r="FX39" s="255">
        <f t="shared" si="59"/>
        <v>0</v>
      </c>
      <c r="FY39" s="255">
        <f t="shared" si="59"/>
        <v>0</v>
      </c>
      <c r="FZ39" s="255">
        <f t="shared" si="59"/>
        <v>0</v>
      </c>
    </row>
    <row r="40" spans="1:182" x14ac:dyDescent="0.25">
      <c r="A40" s="205" t="s">
        <v>294</v>
      </c>
      <c r="B40" s="204">
        <f>B29+B33-B35</f>
        <v>0</v>
      </c>
      <c r="C40" s="204">
        <f t="shared" ref="C40:AH40" si="60">B40+C29+C33-C35</f>
        <v>0</v>
      </c>
      <c r="D40" s="204">
        <f t="shared" si="60"/>
        <v>0</v>
      </c>
      <c r="E40" s="204">
        <f t="shared" si="60"/>
        <v>0</v>
      </c>
      <c r="F40" s="204">
        <f t="shared" si="60"/>
        <v>0</v>
      </c>
      <c r="G40" s="204">
        <f t="shared" si="60"/>
        <v>0</v>
      </c>
      <c r="H40" s="204">
        <f t="shared" si="60"/>
        <v>0</v>
      </c>
      <c r="I40" s="204">
        <f t="shared" si="60"/>
        <v>0</v>
      </c>
      <c r="J40" s="204">
        <f t="shared" si="60"/>
        <v>0</v>
      </c>
      <c r="K40" s="204">
        <f t="shared" si="60"/>
        <v>0</v>
      </c>
      <c r="L40" s="204">
        <f t="shared" si="60"/>
        <v>0</v>
      </c>
      <c r="M40" s="204">
        <f t="shared" si="60"/>
        <v>270298.33740000008</v>
      </c>
      <c r="N40" s="204">
        <f t="shared" si="60"/>
        <v>541835.54217975016</v>
      </c>
      <c r="O40" s="204">
        <f t="shared" si="60"/>
        <v>814617.29248140741</v>
      </c>
      <c r="P40" s="204">
        <f t="shared" si="60"/>
        <v>1088649.2924719471</v>
      </c>
      <c r="Q40" s="204">
        <f t="shared" si="60"/>
        <v>1363937.2724624437</v>
      </c>
      <c r="R40" s="204">
        <f t="shared" si="60"/>
        <v>1640486.9890278967</v>
      </c>
      <c r="S40" s="204">
        <f t="shared" si="60"/>
        <v>1918304.2251276078</v>
      </c>
      <c r="T40" s="204">
        <f t="shared" si="60"/>
        <v>2197394.7902261093</v>
      </c>
      <c r="U40" s="204">
        <f t="shared" si="60"/>
        <v>2477764.5204146458</v>
      </c>
      <c r="V40" s="204">
        <f t="shared" si="60"/>
        <v>2759419.2785332133</v>
      </c>
      <c r="W40" s="204">
        <f t="shared" si="60"/>
        <v>3042364.954293157</v>
      </c>
      <c r="X40" s="204">
        <f t="shared" si="60"/>
        <v>3326607.4644003343</v>
      </c>
      <c r="Y40" s="204">
        <f t="shared" si="60"/>
        <v>3612152.7526788362</v>
      </c>
      <c r="Z40" s="204">
        <f t="shared" si="60"/>
        <v>3899006.7901952807</v>
      </c>
      <c r="AA40" s="204">
        <f t="shared" si="60"/>
        <v>4187175.5753836762</v>
      </c>
      <c r="AB40" s="204">
        <f t="shared" si="60"/>
        <v>4368545.799210852</v>
      </c>
      <c r="AC40" s="204">
        <f t="shared" si="60"/>
        <v>4388568.3007905688</v>
      </c>
      <c r="AD40" s="204">
        <f t="shared" si="60"/>
        <v>4408682.5721691921</v>
      </c>
      <c r="AE40" s="204">
        <f t="shared" si="60"/>
        <v>4428889.0339583009</v>
      </c>
      <c r="AF40" s="204">
        <f t="shared" si="60"/>
        <v>4449188.1086972766</v>
      </c>
      <c r="AG40" s="204">
        <f t="shared" si="60"/>
        <v>4469580.220862139</v>
      </c>
      <c r="AH40" s="204">
        <f t="shared" si="60"/>
        <v>4490065.7968744235</v>
      </c>
      <c r="AI40" s="204">
        <f t="shared" ref="AI40:BN40" si="61">AH40+AI29+AI33-AI35</f>
        <v>4510645.2651100978</v>
      </c>
      <c r="AJ40" s="204">
        <f t="shared" si="61"/>
        <v>4531319.0559085188</v>
      </c>
      <c r="AK40" s="204">
        <f t="shared" si="61"/>
        <v>0</v>
      </c>
      <c r="AL40" s="204">
        <f t="shared" si="61"/>
        <v>0</v>
      </c>
      <c r="AM40" s="204">
        <f t="shared" si="61"/>
        <v>0</v>
      </c>
      <c r="AN40" s="204">
        <f t="shared" si="61"/>
        <v>0</v>
      </c>
      <c r="AO40" s="204">
        <f t="shared" si="61"/>
        <v>0</v>
      </c>
      <c r="AP40" s="204">
        <f t="shared" si="61"/>
        <v>0</v>
      </c>
      <c r="AQ40" s="204">
        <f t="shared" si="61"/>
        <v>0</v>
      </c>
      <c r="AR40" s="204">
        <f t="shared" si="61"/>
        <v>0</v>
      </c>
      <c r="AS40" s="204">
        <f t="shared" si="61"/>
        <v>0</v>
      </c>
      <c r="AT40" s="204">
        <f t="shared" si="61"/>
        <v>0</v>
      </c>
      <c r="AU40" s="204">
        <f t="shared" si="61"/>
        <v>0</v>
      </c>
      <c r="AV40" s="204">
        <f t="shared" si="61"/>
        <v>0</v>
      </c>
      <c r="AW40" s="204">
        <f t="shared" si="61"/>
        <v>0</v>
      </c>
      <c r="AX40" s="204">
        <f t="shared" si="61"/>
        <v>0</v>
      </c>
      <c r="AY40" s="204">
        <f t="shared" si="61"/>
        <v>0</v>
      </c>
      <c r="AZ40" s="204">
        <f t="shared" si="61"/>
        <v>0</v>
      </c>
      <c r="BA40" s="204">
        <f t="shared" si="61"/>
        <v>0</v>
      </c>
      <c r="BB40" s="204">
        <f t="shared" si="61"/>
        <v>0</v>
      </c>
      <c r="BC40" s="204">
        <f t="shared" si="61"/>
        <v>0</v>
      </c>
      <c r="BD40" s="204">
        <f t="shared" si="61"/>
        <v>0</v>
      </c>
      <c r="BE40" s="204">
        <f t="shared" si="61"/>
        <v>0</v>
      </c>
      <c r="BF40" s="204">
        <f t="shared" si="61"/>
        <v>0</v>
      </c>
      <c r="BG40" s="204">
        <f t="shared" si="61"/>
        <v>0</v>
      </c>
      <c r="BH40" s="204">
        <f t="shared" si="61"/>
        <v>0</v>
      </c>
      <c r="BI40" s="204">
        <f t="shared" si="61"/>
        <v>0</v>
      </c>
      <c r="BJ40" s="204">
        <f t="shared" si="61"/>
        <v>0</v>
      </c>
      <c r="BK40" s="204">
        <f t="shared" si="61"/>
        <v>0</v>
      </c>
      <c r="BL40" s="204">
        <f t="shared" si="61"/>
        <v>0</v>
      </c>
      <c r="BM40" s="204">
        <f t="shared" si="61"/>
        <v>0</v>
      </c>
      <c r="BN40" s="204">
        <f t="shared" si="61"/>
        <v>0</v>
      </c>
      <c r="BO40" s="204">
        <f t="shared" ref="BO40:CT40" si="62">BN40+BO29+BO33-BO35</f>
        <v>0</v>
      </c>
      <c r="BP40" s="204">
        <f t="shared" si="62"/>
        <v>0</v>
      </c>
      <c r="BQ40" s="204">
        <f t="shared" si="62"/>
        <v>0</v>
      </c>
      <c r="BR40" s="204">
        <f t="shared" si="62"/>
        <v>0</v>
      </c>
      <c r="BS40" s="204">
        <f t="shared" si="62"/>
        <v>0</v>
      </c>
      <c r="BT40" s="204">
        <f t="shared" si="62"/>
        <v>0</v>
      </c>
      <c r="BU40" s="204">
        <f t="shared" si="62"/>
        <v>0</v>
      </c>
      <c r="BV40" s="204">
        <f t="shared" si="62"/>
        <v>0</v>
      </c>
      <c r="BW40" s="204">
        <f t="shared" si="62"/>
        <v>0</v>
      </c>
      <c r="BX40" s="204">
        <f t="shared" si="62"/>
        <v>0</v>
      </c>
      <c r="BY40" s="204">
        <f t="shared" si="62"/>
        <v>0</v>
      </c>
      <c r="BZ40" s="204">
        <f t="shared" si="62"/>
        <v>0</v>
      </c>
      <c r="CA40" s="204">
        <f t="shared" si="62"/>
        <v>0</v>
      </c>
      <c r="CB40" s="204">
        <f t="shared" si="62"/>
        <v>0</v>
      </c>
      <c r="CC40" s="204">
        <f t="shared" si="62"/>
        <v>0</v>
      </c>
      <c r="CD40" s="204">
        <f t="shared" si="62"/>
        <v>0</v>
      </c>
      <c r="CE40" s="204">
        <f t="shared" si="62"/>
        <v>0</v>
      </c>
      <c r="CF40" s="204">
        <f t="shared" si="62"/>
        <v>0</v>
      </c>
      <c r="CG40" s="204">
        <f t="shared" si="62"/>
        <v>0</v>
      </c>
      <c r="CH40" s="204">
        <f t="shared" si="62"/>
        <v>0</v>
      </c>
      <c r="CI40" s="204">
        <f t="shared" si="62"/>
        <v>0</v>
      </c>
      <c r="CJ40" s="204">
        <f t="shared" si="62"/>
        <v>0</v>
      </c>
      <c r="CK40" s="204">
        <f t="shared" si="62"/>
        <v>0</v>
      </c>
      <c r="CL40" s="204">
        <f t="shared" si="62"/>
        <v>0</v>
      </c>
      <c r="CM40" s="204">
        <f t="shared" si="62"/>
        <v>0</v>
      </c>
      <c r="CN40" s="204">
        <f t="shared" si="62"/>
        <v>0</v>
      </c>
      <c r="CO40" s="204">
        <f t="shared" si="62"/>
        <v>0</v>
      </c>
      <c r="CP40" s="204">
        <f t="shared" si="62"/>
        <v>0</v>
      </c>
      <c r="CQ40" s="204">
        <f t="shared" si="62"/>
        <v>0</v>
      </c>
      <c r="CR40" s="204">
        <f t="shared" si="62"/>
        <v>0</v>
      </c>
      <c r="CS40" s="204">
        <f t="shared" si="62"/>
        <v>0</v>
      </c>
      <c r="CT40" s="204">
        <f t="shared" si="62"/>
        <v>0</v>
      </c>
      <c r="CU40" s="204">
        <f t="shared" ref="CU40:DZ40" si="63">CT40+CU29+CU33-CU35</f>
        <v>0</v>
      </c>
      <c r="CV40" s="204">
        <f t="shared" si="63"/>
        <v>0</v>
      </c>
      <c r="CW40" s="204">
        <f t="shared" si="63"/>
        <v>0</v>
      </c>
      <c r="CX40" s="204">
        <f t="shared" si="63"/>
        <v>0</v>
      </c>
      <c r="CY40" s="204">
        <f t="shared" si="63"/>
        <v>0</v>
      </c>
      <c r="CZ40" s="204">
        <f t="shared" si="63"/>
        <v>0</v>
      </c>
      <c r="DA40" s="204">
        <f t="shared" si="63"/>
        <v>0</v>
      </c>
      <c r="DB40" s="204">
        <f t="shared" si="63"/>
        <v>0</v>
      </c>
      <c r="DC40" s="204">
        <f t="shared" si="63"/>
        <v>0</v>
      </c>
      <c r="DD40" s="204">
        <f t="shared" si="63"/>
        <v>0</v>
      </c>
      <c r="DE40" s="204">
        <f t="shared" si="63"/>
        <v>0</v>
      </c>
      <c r="DF40" s="204">
        <f t="shared" si="63"/>
        <v>0</v>
      </c>
      <c r="DG40" s="204">
        <f t="shared" si="63"/>
        <v>0</v>
      </c>
      <c r="DH40" s="204">
        <f t="shared" si="63"/>
        <v>0</v>
      </c>
      <c r="DI40" s="204">
        <f t="shared" si="63"/>
        <v>0</v>
      </c>
      <c r="DJ40" s="204">
        <f t="shared" si="63"/>
        <v>0</v>
      </c>
      <c r="DK40" s="204">
        <f t="shared" si="63"/>
        <v>0</v>
      </c>
      <c r="DL40" s="204">
        <f t="shared" si="63"/>
        <v>0</v>
      </c>
      <c r="DM40" s="204">
        <f t="shared" si="63"/>
        <v>0</v>
      </c>
      <c r="DN40" s="204">
        <f t="shared" si="63"/>
        <v>0</v>
      </c>
      <c r="DO40" s="204">
        <f t="shared" si="63"/>
        <v>0</v>
      </c>
      <c r="DP40" s="204">
        <f t="shared" si="63"/>
        <v>0</v>
      </c>
      <c r="DQ40" s="204">
        <f t="shared" si="63"/>
        <v>0</v>
      </c>
      <c r="DR40" s="204">
        <f t="shared" si="63"/>
        <v>0</v>
      </c>
      <c r="DS40" s="204">
        <f t="shared" si="63"/>
        <v>0</v>
      </c>
      <c r="DT40" s="204">
        <f t="shared" si="63"/>
        <v>0</v>
      </c>
      <c r="DU40" s="204">
        <f t="shared" si="63"/>
        <v>0</v>
      </c>
      <c r="DV40" s="204">
        <f t="shared" si="63"/>
        <v>0</v>
      </c>
      <c r="DW40" s="204">
        <f t="shared" si="63"/>
        <v>0</v>
      </c>
      <c r="DX40" s="204">
        <f t="shared" si="63"/>
        <v>0</v>
      </c>
      <c r="DY40" s="204">
        <f t="shared" si="63"/>
        <v>0</v>
      </c>
      <c r="DZ40" s="204">
        <f t="shared" si="63"/>
        <v>0</v>
      </c>
      <c r="EA40" s="204">
        <f t="shared" ref="EA40:FF40" si="64">DZ40+EA29+EA33-EA35</f>
        <v>0</v>
      </c>
      <c r="EB40" s="204">
        <f t="shared" si="64"/>
        <v>0</v>
      </c>
      <c r="EC40" s="204">
        <f t="shared" si="64"/>
        <v>0</v>
      </c>
      <c r="ED40" s="204">
        <f t="shared" si="64"/>
        <v>0</v>
      </c>
      <c r="EE40" s="204">
        <f t="shared" si="64"/>
        <v>0</v>
      </c>
      <c r="EF40" s="204">
        <f t="shared" si="64"/>
        <v>0</v>
      </c>
      <c r="EG40" s="204">
        <f t="shared" si="64"/>
        <v>0</v>
      </c>
      <c r="EH40" s="204">
        <f t="shared" si="64"/>
        <v>0</v>
      </c>
      <c r="EI40" s="204">
        <f t="shared" si="64"/>
        <v>0</v>
      </c>
      <c r="EJ40" s="204">
        <f t="shared" si="64"/>
        <v>0</v>
      </c>
      <c r="EK40" s="204">
        <f t="shared" si="64"/>
        <v>0</v>
      </c>
      <c r="EL40" s="204">
        <f t="shared" si="64"/>
        <v>0</v>
      </c>
      <c r="EM40" s="204">
        <f t="shared" si="64"/>
        <v>0</v>
      </c>
      <c r="EN40" s="204">
        <f t="shared" si="64"/>
        <v>0</v>
      </c>
      <c r="EO40" s="204">
        <f t="shared" si="64"/>
        <v>0</v>
      </c>
      <c r="EP40" s="204">
        <f t="shared" si="64"/>
        <v>0</v>
      </c>
      <c r="EQ40" s="204">
        <f t="shared" si="64"/>
        <v>0</v>
      </c>
      <c r="ER40" s="204">
        <f t="shared" si="64"/>
        <v>0</v>
      </c>
      <c r="ES40" s="204">
        <f t="shared" si="64"/>
        <v>0</v>
      </c>
      <c r="ET40" s="204">
        <f t="shared" si="64"/>
        <v>0</v>
      </c>
      <c r="EU40" s="204">
        <f t="shared" si="64"/>
        <v>0</v>
      </c>
      <c r="EV40" s="204">
        <f t="shared" si="64"/>
        <v>0</v>
      </c>
      <c r="EW40" s="204">
        <f t="shared" si="64"/>
        <v>0</v>
      </c>
      <c r="EX40" s="204">
        <f t="shared" si="64"/>
        <v>0</v>
      </c>
      <c r="EY40" s="204">
        <f t="shared" si="64"/>
        <v>0</v>
      </c>
      <c r="EZ40" s="204">
        <f t="shared" si="64"/>
        <v>0</v>
      </c>
      <c r="FA40" s="204">
        <f t="shared" si="64"/>
        <v>0</v>
      </c>
      <c r="FB40" s="204">
        <f t="shared" si="64"/>
        <v>0</v>
      </c>
      <c r="FC40" s="204">
        <f t="shared" si="64"/>
        <v>0</v>
      </c>
      <c r="FD40" s="204">
        <f t="shared" si="64"/>
        <v>0</v>
      </c>
      <c r="FE40" s="204">
        <f t="shared" si="64"/>
        <v>0</v>
      </c>
      <c r="FF40" s="204">
        <f t="shared" si="64"/>
        <v>0</v>
      </c>
      <c r="FG40" s="204">
        <f t="shared" ref="FG40:FZ40" si="65">FF40+FG29+FG33-FG35</f>
        <v>0</v>
      </c>
      <c r="FH40" s="204">
        <f t="shared" si="65"/>
        <v>0</v>
      </c>
      <c r="FI40" s="204">
        <f t="shared" si="65"/>
        <v>0</v>
      </c>
      <c r="FJ40" s="204">
        <f t="shared" si="65"/>
        <v>0</v>
      </c>
      <c r="FK40" s="204">
        <f t="shared" si="65"/>
        <v>0</v>
      </c>
      <c r="FL40" s="204">
        <f t="shared" si="65"/>
        <v>0</v>
      </c>
      <c r="FM40" s="204">
        <f t="shared" si="65"/>
        <v>0</v>
      </c>
      <c r="FN40" s="204">
        <f t="shared" si="65"/>
        <v>0</v>
      </c>
      <c r="FO40" s="204">
        <f t="shared" si="65"/>
        <v>0</v>
      </c>
      <c r="FP40" s="204">
        <f t="shared" si="65"/>
        <v>0</v>
      </c>
      <c r="FQ40" s="204">
        <f t="shared" si="65"/>
        <v>0</v>
      </c>
      <c r="FR40" s="204">
        <f t="shared" si="65"/>
        <v>0</v>
      </c>
      <c r="FS40" s="204">
        <f t="shared" si="65"/>
        <v>0</v>
      </c>
      <c r="FT40" s="204">
        <f t="shared" si="65"/>
        <v>0</v>
      </c>
      <c r="FU40" s="204">
        <f t="shared" si="65"/>
        <v>0</v>
      </c>
      <c r="FV40" s="204">
        <f t="shared" si="65"/>
        <v>0</v>
      </c>
      <c r="FW40" s="204">
        <f t="shared" si="65"/>
        <v>0</v>
      </c>
      <c r="FX40" s="204">
        <f t="shared" si="65"/>
        <v>0</v>
      </c>
      <c r="FY40" s="204">
        <f t="shared" si="65"/>
        <v>0</v>
      </c>
      <c r="FZ40" s="204">
        <f t="shared" si="65"/>
        <v>0</v>
      </c>
    </row>
    <row r="41" spans="1:182" x14ac:dyDescent="0.25">
      <c r="A41" s="205" t="s">
        <v>295</v>
      </c>
      <c r="B41" s="204">
        <f>B39</f>
        <v>-1183546</v>
      </c>
      <c r="C41" s="204">
        <f t="shared" ref="C41:AH41" si="66">B41+C39</f>
        <v>-1183546</v>
      </c>
      <c r="D41" s="204">
        <f t="shared" si="66"/>
        <v>-1183546</v>
      </c>
      <c r="E41" s="204">
        <f t="shared" si="66"/>
        <v>-1183546</v>
      </c>
      <c r="F41" s="204">
        <f t="shared" si="66"/>
        <v>-1183546</v>
      </c>
      <c r="G41" s="204">
        <f t="shared" si="66"/>
        <v>-1183546</v>
      </c>
      <c r="H41" s="204">
        <f t="shared" si="66"/>
        <v>-1183546</v>
      </c>
      <c r="I41" s="204">
        <f t="shared" si="66"/>
        <v>-1183546</v>
      </c>
      <c r="J41" s="204">
        <f t="shared" si="66"/>
        <v>-1183546</v>
      </c>
      <c r="K41" s="204">
        <f t="shared" si="66"/>
        <v>-1183546</v>
      </c>
      <c r="L41" s="204">
        <f t="shared" si="66"/>
        <v>-1183546</v>
      </c>
      <c r="M41" s="204">
        <f t="shared" si="66"/>
        <v>-1216851.5195200001</v>
      </c>
      <c r="N41" s="204">
        <f t="shared" si="66"/>
        <v>-1218492.0748000001</v>
      </c>
      <c r="O41" s="204">
        <f t="shared" si="66"/>
        <v>-1220020.2632800001</v>
      </c>
      <c r="P41" s="204">
        <f t="shared" si="66"/>
        <v>-1221436.0849600001</v>
      </c>
      <c r="Q41" s="204">
        <f t="shared" si="66"/>
        <v>-1222739.5398400002</v>
      </c>
      <c r="R41" s="204">
        <f t="shared" si="66"/>
        <v>-1223930.6279200001</v>
      </c>
      <c r="S41" s="204">
        <f t="shared" si="66"/>
        <v>-1225009.3492000001</v>
      </c>
      <c r="T41" s="204">
        <f t="shared" si="66"/>
        <v>-1225975.70368</v>
      </c>
      <c r="U41" s="204">
        <f t="shared" si="66"/>
        <v>-1226829.6913600001</v>
      </c>
      <c r="V41" s="204">
        <f t="shared" si="66"/>
        <v>-1227571.3122400001</v>
      </c>
      <c r="W41" s="204">
        <f t="shared" si="66"/>
        <v>-1228200.5663200002</v>
      </c>
      <c r="X41" s="204">
        <f t="shared" si="66"/>
        <v>-1228717.4536000001</v>
      </c>
      <c r="Y41" s="204">
        <f t="shared" si="66"/>
        <v>-1211246.9740800001</v>
      </c>
      <c r="Z41" s="204">
        <f t="shared" si="66"/>
        <v>-1193664.1277600001</v>
      </c>
      <c r="AA41" s="204">
        <f t="shared" si="66"/>
        <v>-1002093.9146400001</v>
      </c>
      <c r="AB41" s="204">
        <f t="shared" si="66"/>
        <v>-918283.46271999937</v>
      </c>
      <c r="AC41" s="204">
        <f t="shared" si="66"/>
        <v>-996213.78271999944</v>
      </c>
      <c r="AD41" s="204">
        <f t="shared" si="66"/>
        <v>-1074144.1027199994</v>
      </c>
      <c r="AE41" s="204">
        <f t="shared" si="66"/>
        <v>-1152074.4227199994</v>
      </c>
      <c r="AF41" s="204">
        <f t="shared" si="66"/>
        <v>-1230004.7427199995</v>
      </c>
      <c r="AG41" s="204">
        <f t="shared" si="66"/>
        <v>-1307935.0627199996</v>
      </c>
      <c r="AH41" s="204">
        <f t="shared" si="66"/>
        <v>-1385865.3827199996</v>
      </c>
      <c r="AI41" s="204">
        <f t="shared" ref="AI41:BN41" si="67">AH41+AI39</f>
        <v>-1474520.7027199997</v>
      </c>
      <c r="AJ41" s="204">
        <f t="shared" si="67"/>
        <v>-1570326.0227199998</v>
      </c>
      <c r="AK41" s="204">
        <f t="shared" si="67"/>
        <v>715285.94809392653</v>
      </c>
      <c r="AL41" s="204">
        <f t="shared" si="67"/>
        <v>715285.94809392653</v>
      </c>
      <c r="AM41" s="204">
        <f t="shared" si="67"/>
        <v>715285.94809392653</v>
      </c>
      <c r="AN41" s="204">
        <f t="shared" si="67"/>
        <v>715285.94809392653</v>
      </c>
      <c r="AO41" s="204">
        <f t="shared" si="67"/>
        <v>715285.94809392653</v>
      </c>
      <c r="AP41" s="204">
        <f t="shared" si="67"/>
        <v>715285.94809392653</v>
      </c>
      <c r="AQ41" s="204">
        <f t="shared" si="67"/>
        <v>715285.94809392653</v>
      </c>
      <c r="AR41" s="204">
        <f t="shared" si="67"/>
        <v>715285.94809392653</v>
      </c>
      <c r="AS41" s="204">
        <f t="shared" si="67"/>
        <v>715285.94809392653</v>
      </c>
      <c r="AT41" s="204">
        <f t="shared" si="67"/>
        <v>715285.94809392653</v>
      </c>
      <c r="AU41" s="204">
        <f t="shared" si="67"/>
        <v>715285.94809392653</v>
      </c>
      <c r="AV41" s="204">
        <f t="shared" si="67"/>
        <v>715285.94809392653</v>
      </c>
      <c r="AW41" s="204">
        <f t="shared" si="67"/>
        <v>715285.94809392653</v>
      </c>
      <c r="AX41" s="204">
        <f t="shared" si="67"/>
        <v>715285.94809392653</v>
      </c>
      <c r="AY41" s="204">
        <f t="shared" si="67"/>
        <v>715285.94809392653</v>
      </c>
      <c r="AZ41" s="204">
        <f t="shared" si="67"/>
        <v>715285.94809392653</v>
      </c>
      <c r="BA41" s="204">
        <f t="shared" si="67"/>
        <v>715285.94809392653</v>
      </c>
      <c r="BB41" s="204">
        <f t="shared" si="67"/>
        <v>715285.94809392653</v>
      </c>
      <c r="BC41" s="204">
        <f t="shared" si="67"/>
        <v>715285.94809392653</v>
      </c>
      <c r="BD41" s="204">
        <f t="shared" si="67"/>
        <v>715285.94809392653</v>
      </c>
      <c r="BE41" s="204">
        <f t="shared" si="67"/>
        <v>715285.94809392653</v>
      </c>
      <c r="BF41" s="204">
        <f t="shared" si="67"/>
        <v>715285.94809392653</v>
      </c>
      <c r="BG41" s="204">
        <f t="shared" si="67"/>
        <v>715285.94809392653</v>
      </c>
      <c r="BH41" s="204">
        <f t="shared" si="67"/>
        <v>715285.94809392653</v>
      </c>
      <c r="BI41" s="204">
        <f t="shared" si="67"/>
        <v>715285.94809392653</v>
      </c>
      <c r="BJ41" s="204">
        <f t="shared" si="67"/>
        <v>715285.94809392653</v>
      </c>
      <c r="BK41" s="204">
        <f t="shared" si="67"/>
        <v>715285.94809392653</v>
      </c>
      <c r="BL41" s="204">
        <f t="shared" si="67"/>
        <v>715285.94809392653</v>
      </c>
      <c r="BM41" s="204">
        <f t="shared" si="67"/>
        <v>715285.94809392653</v>
      </c>
      <c r="BN41" s="204">
        <f t="shared" si="67"/>
        <v>715285.94809392653</v>
      </c>
      <c r="BO41" s="204">
        <f t="shared" ref="BO41:CT41" si="68">BN41+BO39</f>
        <v>715285.94809392653</v>
      </c>
      <c r="BP41" s="204">
        <f t="shared" si="68"/>
        <v>715285.94809392653</v>
      </c>
      <c r="BQ41" s="204">
        <f t="shared" si="68"/>
        <v>715285.94809392653</v>
      </c>
      <c r="BR41" s="204">
        <f t="shared" si="68"/>
        <v>715285.94809392653</v>
      </c>
      <c r="BS41" s="204">
        <f t="shared" si="68"/>
        <v>715285.94809392653</v>
      </c>
      <c r="BT41" s="204">
        <f t="shared" si="68"/>
        <v>715285.94809392653</v>
      </c>
      <c r="BU41" s="204">
        <f t="shared" si="68"/>
        <v>715285.94809392653</v>
      </c>
      <c r="BV41" s="204">
        <f t="shared" si="68"/>
        <v>715285.94809392653</v>
      </c>
      <c r="BW41" s="204">
        <f t="shared" si="68"/>
        <v>715285.94809392653</v>
      </c>
      <c r="BX41" s="204">
        <f t="shared" si="68"/>
        <v>715285.94809392653</v>
      </c>
      <c r="BY41" s="204">
        <f t="shared" si="68"/>
        <v>715285.94809392653</v>
      </c>
      <c r="BZ41" s="204">
        <f t="shared" si="68"/>
        <v>715285.94809392653</v>
      </c>
      <c r="CA41" s="204">
        <f t="shared" si="68"/>
        <v>715285.94809392653</v>
      </c>
      <c r="CB41" s="204">
        <f t="shared" si="68"/>
        <v>715285.94809392653</v>
      </c>
      <c r="CC41" s="204">
        <f t="shared" si="68"/>
        <v>715285.94809392653</v>
      </c>
      <c r="CD41" s="204">
        <f t="shared" si="68"/>
        <v>715285.94809392653</v>
      </c>
      <c r="CE41" s="204">
        <f t="shared" si="68"/>
        <v>715285.94809392653</v>
      </c>
      <c r="CF41" s="204">
        <f t="shared" si="68"/>
        <v>715285.94809392653</v>
      </c>
      <c r="CG41" s="204">
        <f t="shared" si="68"/>
        <v>715285.94809392653</v>
      </c>
      <c r="CH41" s="204">
        <f t="shared" si="68"/>
        <v>715285.94809392653</v>
      </c>
      <c r="CI41" s="204">
        <f t="shared" si="68"/>
        <v>715285.94809392653</v>
      </c>
      <c r="CJ41" s="204">
        <f t="shared" si="68"/>
        <v>715285.94809392653</v>
      </c>
      <c r="CK41" s="204">
        <f t="shared" si="68"/>
        <v>715285.94809392653</v>
      </c>
      <c r="CL41" s="204">
        <f t="shared" si="68"/>
        <v>715285.94809392653</v>
      </c>
      <c r="CM41" s="204">
        <f t="shared" si="68"/>
        <v>715285.94809392653</v>
      </c>
      <c r="CN41" s="204">
        <f t="shared" si="68"/>
        <v>715285.94809392653</v>
      </c>
      <c r="CO41" s="204">
        <f t="shared" si="68"/>
        <v>715285.94809392653</v>
      </c>
      <c r="CP41" s="204">
        <f t="shared" si="68"/>
        <v>715285.94809392653</v>
      </c>
      <c r="CQ41" s="204">
        <f t="shared" si="68"/>
        <v>715285.94809392653</v>
      </c>
      <c r="CR41" s="204">
        <f t="shared" si="68"/>
        <v>715285.94809392653</v>
      </c>
      <c r="CS41" s="204">
        <f t="shared" si="68"/>
        <v>715285.94809392653</v>
      </c>
      <c r="CT41" s="204">
        <f t="shared" si="68"/>
        <v>715285.94809392653</v>
      </c>
      <c r="CU41" s="204">
        <f t="shared" ref="CU41:DZ41" si="69">CT41+CU39</f>
        <v>715285.94809392653</v>
      </c>
      <c r="CV41" s="204">
        <f t="shared" si="69"/>
        <v>715285.94809392653</v>
      </c>
      <c r="CW41" s="204">
        <f t="shared" si="69"/>
        <v>715285.94809392653</v>
      </c>
      <c r="CX41" s="204">
        <f t="shared" si="69"/>
        <v>715285.94809392653</v>
      </c>
      <c r="CY41" s="204">
        <f t="shared" si="69"/>
        <v>715285.94809392653</v>
      </c>
      <c r="CZ41" s="204">
        <f t="shared" si="69"/>
        <v>715285.94809392653</v>
      </c>
      <c r="DA41" s="204">
        <f t="shared" si="69"/>
        <v>715285.94809392653</v>
      </c>
      <c r="DB41" s="204">
        <f t="shared" si="69"/>
        <v>715285.94809392653</v>
      </c>
      <c r="DC41" s="204">
        <f t="shared" si="69"/>
        <v>715285.94809392653</v>
      </c>
      <c r="DD41" s="204">
        <f t="shared" si="69"/>
        <v>715285.94809392653</v>
      </c>
      <c r="DE41" s="204">
        <f t="shared" si="69"/>
        <v>715285.94809392653</v>
      </c>
      <c r="DF41" s="204">
        <f t="shared" si="69"/>
        <v>715285.94809392653</v>
      </c>
      <c r="DG41" s="204">
        <f t="shared" si="69"/>
        <v>715285.94809392653</v>
      </c>
      <c r="DH41" s="204">
        <f t="shared" si="69"/>
        <v>715285.94809392653</v>
      </c>
      <c r="DI41" s="204">
        <f t="shared" si="69"/>
        <v>715285.94809392653</v>
      </c>
      <c r="DJ41" s="204">
        <f t="shared" si="69"/>
        <v>715285.94809392653</v>
      </c>
      <c r="DK41" s="204">
        <f t="shared" si="69"/>
        <v>715285.94809392653</v>
      </c>
      <c r="DL41" s="204">
        <f t="shared" si="69"/>
        <v>715285.94809392653</v>
      </c>
      <c r="DM41" s="204">
        <f t="shared" si="69"/>
        <v>715285.94809392653</v>
      </c>
      <c r="DN41" s="204">
        <f t="shared" si="69"/>
        <v>715285.94809392653</v>
      </c>
      <c r="DO41" s="204">
        <f t="shared" si="69"/>
        <v>715285.94809392653</v>
      </c>
      <c r="DP41" s="204">
        <f t="shared" si="69"/>
        <v>715285.94809392653</v>
      </c>
      <c r="DQ41" s="204">
        <f t="shared" si="69"/>
        <v>715285.94809392653</v>
      </c>
      <c r="DR41" s="204">
        <f t="shared" si="69"/>
        <v>715285.94809392653</v>
      </c>
      <c r="DS41" s="204">
        <f t="shared" si="69"/>
        <v>715285.94809392653</v>
      </c>
      <c r="DT41" s="204">
        <f t="shared" si="69"/>
        <v>715285.94809392653</v>
      </c>
      <c r="DU41" s="204">
        <f t="shared" si="69"/>
        <v>715285.94809392653</v>
      </c>
      <c r="DV41" s="204">
        <f t="shared" si="69"/>
        <v>715285.94809392653</v>
      </c>
      <c r="DW41" s="204">
        <f t="shared" si="69"/>
        <v>715285.94809392653</v>
      </c>
      <c r="DX41" s="204">
        <f t="shared" si="69"/>
        <v>715285.94809392653</v>
      </c>
      <c r="DY41" s="204">
        <f t="shared" si="69"/>
        <v>715285.94809392653</v>
      </c>
      <c r="DZ41" s="204">
        <f t="shared" si="69"/>
        <v>715285.94809392653</v>
      </c>
      <c r="EA41" s="204">
        <f t="shared" ref="EA41:FF41" si="70">DZ41+EA39</f>
        <v>715285.94809392653</v>
      </c>
      <c r="EB41" s="204">
        <f t="shared" si="70"/>
        <v>715285.94809392653</v>
      </c>
      <c r="EC41" s="204">
        <f t="shared" si="70"/>
        <v>715285.94809392653</v>
      </c>
      <c r="ED41" s="204">
        <f t="shared" si="70"/>
        <v>715285.94809392653</v>
      </c>
      <c r="EE41" s="204">
        <f t="shared" si="70"/>
        <v>715285.94809392653</v>
      </c>
      <c r="EF41" s="204">
        <f t="shared" si="70"/>
        <v>715285.94809392653</v>
      </c>
      <c r="EG41" s="204">
        <f t="shared" si="70"/>
        <v>715285.94809392653</v>
      </c>
      <c r="EH41" s="204">
        <f t="shared" si="70"/>
        <v>715285.94809392653</v>
      </c>
      <c r="EI41" s="204">
        <f t="shared" si="70"/>
        <v>715285.94809392653</v>
      </c>
      <c r="EJ41" s="204">
        <f t="shared" si="70"/>
        <v>715285.94809392653</v>
      </c>
      <c r="EK41" s="204">
        <f t="shared" si="70"/>
        <v>715285.94809392653</v>
      </c>
      <c r="EL41" s="204">
        <f t="shared" si="70"/>
        <v>715285.94809392653</v>
      </c>
      <c r="EM41" s="204">
        <f t="shared" si="70"/>
        <v>715285.94809392653</v>
      </c>
      <c r="EN41" s="204">
        <f t="shared" si="70"/>
        <v>715285.94809392653</v>
      </c>
      <c r="EO41" s="204">
        <f t="shared" si="70"/>
        <v>715285.94809392653</v>
      </c>
      <c r="EP41" s="204">
        <f t="shared" si="70"/>
        <v>715285.94809392653</v>
      </c>
      <c r="EQ41" s="204">
        <f t="shared" si="70"/>
        <v>715285.94809392653</v>
      </c>
      <c r="ER41" s="204">
        <f t="shared" si="70"/>
        <v>715285.94809392653</v>
      </c>
      <c r="ES41" s="204">
        <f t="shared" si="70"/>
        <v>715285.94809392653</v>
      </c>
      <c r="ET41" s="204">
        <f t="shared" si="70"/>
        <v>715285.94809392653</v>
      </c>
      <c r="EU41" s="204">
        <f t="shared" si="70"/>
        <v>715285.94809392653</v>
      </c>
      <c r="EV41" s="204">
        <f t="shared" si="70"/>
        <v>715285.94809392653</v>
      </c>
      <c r="EW41" s="204">
        <f t="shared" si="70"/>
        <v>715285.94809392653</v>
      </c>
      <c r="EX41" s="204">
        <f t="shared" si="70"/>
        <v>715285.94809392653</v>
      </c>
      <c r="EY41" s="204">
        <f t="shared" si="70"/>
        <v>715285.94809392653</v>
      </c>
      <c r="EZ41" s="204">
        <f t="shared" si="70"/>
        <v>715285.94809392653</v>
      </c>
      <c r="FA41" s="204">
        <f t="shared" si="70"/>
        <v>715285.94809392653</v>
      </c>
      <c r="FB41" s="204">
        <f t="shared" si="70"/>
        <v>715285.94809392653</v>
      </c>
      <c r="FC41" s="204">
        <f t="shared" si="70"/>
        <v>715285.94809392653</v>
      </c>
      <c r="FD41" s="204">
        <f t="shared" si="70"/>
        <v>715285.94809392653</v>
      </c>
      <c r="FE41" s="204">
        <f t="shared" si="70"/>
        <v>715285.94809392653</v>
      </c>
      <c r="FF41" s="204">
        <f t="shared" si="70"/>
        <v>715285.94809392653</v>
      </c>
      <c r="FG41" s="204">
        <f t="shared" ref="FG41:FZ41" si="71">FF41+FG39</f>
        <v>715285.94809392653</v>
      </c>
      <c r="FH41" s="204">
        <f t="shared" si="71"/>
        <v>715285.94809392653</v>
      </c>
      <c r="FI41" s="204">
        <f t="shared" si="71"/>
        <v>715285.94809392653</v>
      </c>
      <c r="FJ41" s="204">
        <f t="shared" si="71"/>
        <v>715285.94809392653</v>
      </c>
      <c r="FK41" s="204">
        <f t="shared" si="71"/>
        <v>715285.94809392653</v>
      </c>
      <c r="FL41" s="204">
        <f t="shared" si="71"/>
        <v>715285.94809392653</v>
      </c>
      <c r="FM41" s="204">
        <f t="shared" si="71"/>
        <v>715285.94809392653</v>
      </c>
      <c r="FN41" s="204">
        <f t="shared" si="71"/>
        <v>715285.94809392653</v>
      </c>
      <c r="FO41" s="204">
        <f t="shared" si="71"/>
        <v>715285.94809392653</v>
      </c>
      <c r="FP41" s="204">
        <f t="shared" si="71"/>
        <v>715285.94809392653</v>
      </c>
      <c r="FQ41" s="204">
        <f t="shared" si="71"/>
        <v>715285.94809392653</v>
      </c>
      <c r="FR41" s="204">
        <f t="shared" si="71"/>
        <v>715285.94809392653</v>
      </c>
      <c r="FS41" s="204">
        <f t="shared" si="71"/>
        <v>715285.94809392653</v>
      </c>
      <c r="FT41" s="204">
        <f t="shared" si="71"/>
        <v>715285.94809392653</v>
      </c>
      <c r="FU41" s="204">
        <f t="shared" si="71"/>
        <v>715285.94809392653</v>
      </c>
      <c r="FV41" s="204">
        <f t="shared" si="71"/>
        <v>715285.94809392653</v>
      </c>
      <c r="FW41" s="204">
        <f t="shared" si="71"/>
        <v>715285.94809392653</v>
      </c>
      <c r="FX41" s="204">
        <f t="shared" si="71"/>
        <v>715285.94809392653</v>
      </c>
      <c r="FY41" s="204">
        <f t="shared" si="71"/>
        <v>715285.94809392653</v>
      </c>
      <c r="FZ41" s="204">
        <f t="shared" si="71"/>
        <v>715285.94809392653</v>
      </c>
    </row>
    <row r="42" spans="1:182" x14ac:dyDescent="0.25">
      <c r="H42" s="157"/>
    </row>
    <row r="43" spans="1:182" x14ac:dyDescent="0.25">
      <c r="A43" s="272" t="s">
        <v>408</v>
      </c>
      <c r="B43" s="273"/>
      <c r="C43" s="274"/>
    </row>
    <row r="44" spans="1:182" x14ac:dyDescent="0.25">
      <c r="A44" s="242" t="s">
        <v>409</v>
      </c>
      <c r="B44" s="243" t="s">
        <v>5</v>
      </c>
      <c r="C44" s="244" t="s">
        <v>6</v>
      </c>
      <c r="H44" s="113"/>
    </row>
    <row r="45" spans="1:182" x14ac:dyDescent="0.25">
      <c r="A45" s="153" t="s">
        <v>23</v>
      </c>
      <c r="B45" s="245">
        <f>IFERROR((1+IRR(B20:FZ20,0.05))^12-1,IFERROR((1+IRR(B20:FZ20,-0.5))^12-1,IFERROR((1+IRR(B20:FZ20,-0.9))^12-1,IFERROR((1+MIRR(B20:FZ20,B47/12,B47/12))^12-1,0))))</f>
        <v>0.13677590361730174</v>
      </c>
      <c r="C45" s="158">
        <f>IFERROR((1+IRR(B26:FZ26,0.05))^12-1,IFERROR((1+IRR(B26:FZ26,-0.5))^12-1,IFERROR((1+IRR(B26:FZ26,-0.9))^12-1,IFERROR((1+MIRR(B26:FZ26,C47/12,C47/12))^12-1,0))))</f>
        <v>8.6677881324679351E-3</v>
      </c>
      <c r="E45" s="130"/>
      <c r="O45" s="13"/>
      <c r="AK45" s="113"/>
    </row>
    <row r="46" spans="1:182" x14ac:dyDescent="0.25">
      <c r="A46" s="153" t="s">
        <v>13</v>
      </c>
      <c r="B46" s="113">
        <f>NPV((1+B47)^(1/12)-1,C20:FZ20)+B20</f>
        <v>468930.73248158069</v>
      </c>
      <c r="C46" s="115">
        <f>NPV((1+C47)^(1/12)-1,C26:FZ26)+B26</f>
        <v>-2949614.8512065578</v>
      </c>
    </row>
    <row r="47" spans="1:182" x14ac:dyDescent="0.25">
      <c r="A47" s="155" t="s">
        <v>280</v>
      </c>
      <c r="B47" s="218">
        <f>'00_ESTRATEGIA'!E5</f>
        <v>0.08</v>
      </c>
      <c r="C47" s="217">
        <f>'00_ESTRATEGIA'!F5</f>
        <v>0.06</v>
      </c>
    </row>
    <row r="48" spans="1:182" x14ac:dyDescent="0.25">
      <c r="A48" s="242" t="s">
        <v>296</v>
      </c>
      <c r="B48" s="243" t="s">
        <v>297</v>
      </c>
      <c r="C48" s="257"/>
    </row>
    <row r="49" spans="1:3" x14ac:dyDescent="0.25">
      <c r="A49" s="246" t="s">
        <v>298</v>
      </c>
      <c r="B49" s="207">
        <f>IFERROR((1+IRR(B39:BI39,0.05))^12-1,IFERROR((1+IRR(B39:BI39,-0.3))^12-1,IFERROR((1+IRR(B39:BI39,-0.7))^12-1,IFERROR((1+IRR(B39:BI39,-0.95))^12-1,0))))</f>
        <v>0.17348833941755659</v>
      </c>
      <c r="C49" s="129"/>
    </row>
    <row r="50" spans="1:3" x14ac:dyDescent="0.25">
      <c r="A50" s="246" t="s">
        <v>299</v>
      </c>
      <c r="B50" s="247">
        <f>NPV((1+'20_FINANCIACION'!$B$17)^(1/12)-1,C39:BI39)+B39</f>
        <v>157181.39162826678</v>
      </c>
      <c r="C50" s="129"/>
    </row>
    <row r="51" spans="1:3" x14ac:dyDescent="0.25">
      <c r="A51" s="246" t="s">
        <v>300</v>
      </c>
      <c r="B51" s="247">
        <f>-MIN(B41:BI41)</f>
        <v>1570326.0227199998</v>
      </c>
      <c r="C51" s="129"/>
    </row>
    <row r="52" spans="1:3" x14ac:dyDescent="0.25">
      <c r="A52" s="248" t="s">
        <v>26</v>
      </c>
      <c r="B52" s="249">
        <f>IFERROR((SUMIF(B39:BI39,"&gt;0")) / -SUMIF(B39:BI39,"&lt;0"),0)</f>
        <v>1.3803175008622091</v>
      </c>
      <c r="C52" s="136"/>
    </row>
  </sheetData>
  <mergeCells count="1">
    <mergeCell ref="A43:C4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79998168889431442"/>
  </sheetPr>
  <dimension ref="A1:BI3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F20" sqref="F20"/>
    </sheetView>
  </sheetViews>
  <sheetFormatPr baseColWidth="10" defaultColWidth="9.140625" defaultRowHeight="15" x14ac:dyDescent="0.25"/>
  <cols>
    <col min="1" max="1" width="58" customWidth="1"/>
    <col min="2" max="182" width="11.42578125" customWidth="1"/>
  </cols>
  <sheetData>
    <row r="1" spans="1:61" ht="26.25" x14ac:dyDescent="0.4">
      <c r="A1" s="199" t="s">
        <v>373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172"/>
      <c r="BG1" s="172"/>
      <c r="BH1" s="172"/>
      <c r="BI1" s="172"/>
    </row>
    <row r="2" spans="1:61" x14ac:dyDescent="0.25">
      <c r="A2" s="163" t="s">
        <v>301</v>
      </c>
      <c r="B2" s="162" t="str">
        <f>'00_ESTRATEGIA'!B3</f>
        <v>Unifamiliar seg.</v>
      </c>
      <c r="C2" s="162"/>
      <c r="D2" s="162" t="s">
        <v>302</v>
      </c>
      <c r="E2" s="162" t="str">
        <f>'00_ESTRATEGIA'!B4</f>
        <v>Base</v>
      </c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</row>
    <row r="3" spans="1:61" x14ac:dyDescent="0.25">
      <c r="A3" s="184" t="s">
        <v>281</v>
      </c>
      <c r="B3" s="140">
        <v>0</v>
      </c>
      <c r="C3" s="140">
        <v>1</v>
      </c>
      <c r="D3" s="140">
        <v>2</v>
      </c>
      <c r="E3" s="140">
        <v>3</v>
      </c>
      <c r="F3" s="140">
        <v>4</v>
      </c>
      <c r="G3" s="140">
        <v>5</v>
      </c>
      <c r="H3" s="140">
        <v>6</v>
      </c>
      <c r="I3" s="140">
        <v>7</v>
      </c>
      <c r="J3" s="140">
        <v>8</v>
      </c>
      <c r="K3" s="140">
        <v>9</v>
      </c>
      <c r="L3" s="140">
        <v>10</v>
      </c>
      <c r="M3" s="140">
        <v>11</v>
      </c>
      <c r="N3" s="140">
        <v>12</v>
      </c>
      <c r="O3" s="140">
        <v>13</v>
      </c>
      <c r="P3" s="140">
        <v>14</v>
      </c>
      <c r="Q3" s="140">
        <v>15</v>
      </c>
      <c r="R3" s="140">
        <v>16</v>
      </c>
      <c r="S3" s="140">
        <v>17</v>
      </c>
      <c r="T3" s="140">
        <v>18</v>
      </c>
      <c r="U3" s="140">
        <v>19</v>
      </c>
      <c r="V3" s="140">
        <v>20</v>
      </c>
      <c r="W3" s="140">
        <v>21</v>
      </c>
      <c r="X3" s="140">
        <v>22</v>
      </c>
      <c r="Y3" s="140">
        <v>23</v>
      </c>
      <c r="Z3" s="140">
        <v>24</v>
      </c>
      <c r="AA3" s="140">
        <v>25</v>
      </c>
      <c r="AB3" s="140">
        <v>26</v>
      </c>
      <c r="AC3" s="140">
        <v>27</v>
      </c>
      <c r="AD3" s="140">
        <v>28</v>
      </c>
      <c r="AE3" s="140">
        <v>29</v>
      </c>
      <c r="AF3" s="140">
        <v>30</v>
      </c>
      <c r="AG3" s="140">
        <v>31</v>
      </c>
      <c r="AH3" s="140">
        <v>32</v>
      </c>
      <c r="AI3" s="140">
        <v>33</v>
      </c>
      <c r="AJ3" s="140">
        <v>34</v>
      </c>
      <c r="AK3" s="140">
        <v>35</v>
      </c>
      <c r="AL3" s="140">
        <v>36</v>
      </c>
      <c r="AM3" s="140">
        <v>37</v>
      </c>
      <c r="AN3" s="140">
        <v>38</v>
      </c>
      <c r="AO3" s="140">
        <v>39</v>
      </c>
      <c r="AP3" s="140">
        <v>40</v>
      </c>
      <c r="AQ3" s="140">
        <v>41</v>
      </c>
      <c r="AR3" s="140">
        <v>42</v>
      </c>
      <c r="AS3" s="140">
        <v>43</v>
      </c>
      <c r="AT3" s="140">
        <v>44</v>
      </c>
      <c r="AU3" s="140">
        <v>45</v>
      </c>
      <c r="AV3" s="140">
        <v>46</v>
      </c>
      <c r="AW3" s="140">
        <v>47</v>
      </c>
      <c r="AX3" s="140">
        <v>48</v>
      </c>
      <c r="AY3" s="140">
        <v>49</v>
      </c>
      <c r="AZ3" s="140">
        <v>50</v>
      </c>
      <c r="BA3" s="140">
        <v>51</v>
      </c>
      <c r="BB3" s="140">
        <v>52</v>
      </c>
      <c r="BC3" s="140">
        <v>53</v>
      </c>
      <c r="BD3" s="140">
        <v>54</v>
      </c>
      <c r="BE3" s="140">
        <v>55</v>
      </c>
      <c r="BF3" s="140">
        <v>56</v>
      </c>
      <c r="BG3" s="140">
        <v>57</v>
      </c>
      <c r="BH3" s="140">
        <v>58</v>
      </c>
      <c r="BI3" s="140">
        <v>59</v>
      </c>
    </row>
    <row r="4" spans="1:61" ht="15.75" customHeight="1" thickBot="1" x14ac:dyDescent="0.3">
      <c r="A4" s="185" t="s">
        <v>184</v>
      </c>
      <c r="B4" s="142" t="s">
        <v>185</v>
      </c>
      <c r="C4" s="142" t="s">
        <v>185</v>
      </c>
      <c r="D4" s="142" t="s">
        <v>185</v>
      </c>
      <c r="E4" s="142" t="s">
        <v>185</v>
      </c>
      <c r="F4" s="142" t="s">
        <v>185</v>
      </c>
      <c r="G4" s="142" t="s">
        <v>185</v>
      </c>
      <c r="H4" s="142" t="s">
        <v>185</v>
      </c>
      <c r="I4" s="142" t="s">
        <v>185</v>
      </c>
      <c r="J4" s="142" t="s">
        <v>185</v>
      </c>
      <c r="K4" s="142" t="s">
        <v>185</v>
      </c>
      <c r="L4" s="142" t="s">
        <v>185</v>
      </c>
      <c r="M4" s="142" t="s">
        <v>185</v>
      </c>
      <c r="N4" s="142" t="s">
        <v>186</v>
      </c>
      <c r="O4" s="142" t="s">
        <v>186</v>
      </c>
      <c r="P4" s="142" t="s">
        <v>186</v>
      </c>
      <c r="Q4" s="142" t="s">
        <v>186</v>
      </c>
      <c r="R4" s="142" t="s">
        <v>186</v>
      </c>
      <c r="S4" s="142" t="s">
        <v>186</v>
      </c>
      <c r="T4" s="142" t="s">
        <v>186</v>
      </c>
      <c r="U4" s="142" t="s">
        <v>186</v>
      </c>
      <c r="V4" s="142" t="s">
        <v>186</v>
      </c>
      <c r="W4" s="142" t="s">
        <v>186</v>
      </c>
      <c r="X4" s="142" t="s">
        <v>186</v>
      </c>
      <c r="Y4" s="142" t="s">
        <v>186</v>
      </c>
      <c r="Z4" s="142" t="s">
        <v>187</v>
      </c>
      <c r="AA4" s="142" t="s">
        <v>187</v>
      </c>
      <c r="AB4" s="142" t="s">
        <v>187</v>
      </c>
      <c r="AC4" s="142" t="s">
        <v>187</v>
      </c>
      <c r="AD4" s="142" t="s">
        <v>187</v>
      </c>
      <c r="AE4" s="142" t="s">
        <v>187</v>
      </c>
      <c r="AF4" s="142" t="s">
        <v>187</v>
      </c>
      <c r="AG4" s="142" t="s">
        <v>187</v>
      </c>
      <c r="AH4" s="142" t="s">
        <v>187</v>
      </c>
      <c r="AI4" s="142" t="s">
        <v>187</v>
      </c>
      <c r="AJ4" s="142" t="s">
        <v>187</v>
      </c>
      <c r="AK4" s="142" t="s">
        <v>187</v>
      </c>
      <c r="AL4" s="142" t="s">
        <v>188</v>
      </c>
      <c r="AM4" s="142" t="s">
        <v>188</v>
      </c>
      <c r="AN4" s="142" t="s">
        <v>188</v>
      </c>
      <c r="AO4" s="142" t="s">
        <v>188</v>
      </c>
      <c r="AP4" s="142" t="s">
        <v>188</v>
      </c>
      <c r="AQ4" s="142" t="s">
        <v>188</v>
      </c>
      <c r="AR4" s="142" t="s">
        <v>188</v>
      </c>
      <c r="AS4" s="142" t="s">
        <v>188</v>
      </c>
      <c r="AT4" s="142" t="s">
        <v>188</v>
      </c>
      <c r="AU4" s="142" t="s">
        <v>188</v>
      </c>
      <c r="AV4" s="142" t="s">
        <v>188</v>
      </c>
      <c r="AW4" s="142" t="s">
        <v>188</v>
      </c>
      <c r="AX4" s="142" t="s">
        <v>189</v>
      </c>
      <c r="AY4" s="142" t="s">
        <v>189</v>
      </c>
      <c r="AZ4" s="142" t="s">
        <v>189</v>
      </c>
      <c r="BA4" s="142" t="s">
        <v>189</v>
      </c>
      <c r="BB4" s="142" t="s">
        <v>189</v>
      </c>
      <c r="BC4" s="142" t="s">
        <v>189</v>
      </c>
      <c r="BD4" s="142" t="s">
        <v>189</v>
      </c>
      <c r="BE4" s="142" t="s">
        <v>189</v>
      </c>
      <c r="BF4" s="142" t="s">
        <v>189</v>
      </c>
      <c r="BG4" s="142" t="s">
        <v>189</v>
      </c>
      <c r="BH4" s="142" t="s">
        <v>189</v>
      </c>
      <c r="BI4" s="142" t="s">
        <v>189</v>
      </c>
    </row>
    <row r="5" spans="1:61" x14ac:dyDescent="0.25">
      <c r="A5" s="164" t="s">
        <v>137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5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165"/>
      <c r="AZ5" s="165"/>
      <c r="BA5" s="165"/>
      <c r="BB5" s="165"/>
      <c r="BC5" s="165"/>
      <c r="BD5" s="165"/>
      <c r="BE5" s="165"/>
      <c r="BF5" s="165"/>
      <c r="BG5" s="165"/>
      <c r="BH5" s="165"/>
      <c r="BI5" s="165"/>
    </row>
    <row r="6" spans="1:61" ht="15.75" thickBot="1" x14ac:dyDescent="0.3">
      <c r="A6" s="33" t="s">
        <v>304</v>
      </c>
      <c r="B6" s="204">
        <f>IFERROR('30_CASHFLOW'!B15/'10_CAPEX-INGRESOS-PAGOS'!$H$48,0)+IFERROR('30_CASHFLOW'!B16/'10_CAPEX-INGRESOS-PAGOS'!$H$50,0)</f>
        <v>0</v>
      </c>
      <c r="C6" s="204">
        <f>IFERROR('30_CASHFLOW'!C15/'10_CAPEX-INGRESOS-PAGOS'!$H$48,0)+IFERROR('30_CASHFLOW'!C16/'10_CAPEX-INGRESOS-PAGOS'!$H$50,0)</f>
        <v>0</v>
      </c>
      <c r="D6" s="204">
        <f>IFERROR('30_CASHFLOW'!D15/'10_CAPEX-INGRESOS-PAGOS'!$H$48,0)+IFERROR('30_CASHFLOW'!D16/'10_CAPEX-INGRESOS-PAGOS'!$H$50,0)</f>
        <v>0</v>
      </c>
      <c r="E6" s="204">
        <f>IFERROR('30_CASHFLOW'!E15/'10_CAPEX-INGRESOS-PAGOS'!$H$48,0)+IFERROR('30_CASHFLOW'!E16/'10_CAPEX-INGRESOS-PAGOS'!$H$50,0)</f>
        <v>0</v>
      </c>
      <c r="F6" s="204">
        <f>IFERROR('30_CASHFLOW'!F15/'10_CAPEX-INGRESOS-PAGOS'!$H$48,0)+IFERROR('30_CASHFLOW'!F16/'10_CAPEX-INGRESOS-PAGOS'!$H$50,0)</f>
        <v>0</v>
      </c>
      <c r="G6" s="204">
        <f>IFERROR('30_CASHFLOW'!G15/'10_CAPEX-INGRESOS-PAGOS'!$H$48,0)+IFERROR('30_CASHFLOW'!G16/'10_CAPEX-INGRESOS-PAGOS'!$H$50,0)</f>
        <v>0</v>
      </c>
      <c r="H6" s="204">
        <f>IFERROR('30_CASHFLOW'!H15/'10_CAPEX-INGRESOS-PAGOS'!$H$48,0)+IFERROR('30_CASHFLOW'!H16/'10_CAPEX-INGRESOS-PAGOS'!$H$50,0)</f>
        <v>0</v>
      </c>
      <c r="I6" s="204">
        <f>IFERROR('30_CASHFLOW'!I15/'10_CAPEX-INGRESOS-PAGOS'!$H$48,0)+IFERROR('30_CASHFLOW'!I16/'10_CAPEX-INGRESOS-PAGOS'!$H$50,0)</f>
        <v>0</v>
      </c>
      <c r="J6" s="204">
        <f>IFERROR('30_CASHFLOW'!J15/'10_CAPEX-INGRESOS-PAGOS'!$H$48,0)+IFERROR('30_CASHFLOW'!J16/'10_CAPEX-INGRESOS-PAGOS'!$H$50,0)</f>
        <v>0</v>
      </c>
      <c r="K6" s="204">
        <f>IFERROR('30_CASHFLOW'!K15/'10_CAPEX-INGRESOS-PAGOS'!$H$48,0)+IFERROR('30_CASHFLOW'!K16/'10_CAPEX-INGRESOS-PAGOS'!$H$50,0)</f>
        <v>0</v>
      </c>
      <c r="L6" s="204">
        <f>IFERROR('30_CASHFLOW'!L15/'10_CAPEX-INGRESOS-PAGOS'!$H$48,0)+IFERROR('30_CASHFLOW'!L16/'10_CAPEX-INGRESOS-PAGOS'!$H$50,0)</f>
        <v>0</v>
      </c>
      <c r="M6" s="204">
        <f>IFERROR('30_CASHFLOW'!M15/'10_CAPEX-INGRESOS-PAGOS'!$H$48,0)+IFERROR('30_CASHFLOW'!M16/'10_CAPEX-INGRESOS-PAGOS'!$H$50,0)</f>
        <v>0</v>
      </c>
      <c r="N6" s="204">
        <f>IFERROR('30_CASHFLOW'!N15/'10_CAPEX-INGRESOS-PAGOS'!$H$48,0)+IFERROR('30_CASHFLOW'!N16/'10_CAPEX-INGRESOS-PAGOS'!$H$50,0)</f>
        <v>0</v>
      </c>
      <c r="O6" s="204">
        <f>IFERROR('30_CASHFLOW'!O15/'10_CAPEX-INGRESOS-PAGOS'!$H$48,0)+IFERROR('30_CASHFLOW'!O16/'10_CAPEX-INGRESOS-PAGOS'!$H$50,0)</f>
        <v>0</v>
      </c>
      <c r="P6" s="204">
        <f>IFERROR('30_CASHFLOW'!P15/'10_CAPEX-INGRESOS-PAGOS'!$H$48,0)+IFERROR('30_CASHFLOW'!P16/'10_CAPEX-INGRESOS-PAGOS'!$H$50,0)</f>
        <v>0</v>
      </c>
      <c r="Q6" s="204">
        <f>IFERROR('30_CASHFLOW'!Q15/'10_CAPEX-INGRESOS-PAGOS'!$H$48,0)+IFERROR('30_CASHFLOW'!Q16/'10_CAPEX-INGRESOS-PAGOS'!$H$50,0)</f>
        <v>0</v>
      </c>
      <c r="R6" s="204">
        <f>IFERROR('30_CASHFLOW'!R15/'10_CAPEX-INGRESOS-PAGOS'!$H$48,0)+IFERROR('30_CASHFLOW'!R16/'10_CAPEX-INGRESOS-PAGOS'!$H$50,0)</f>
        <v>0</v>
      </c>
      <c r="S6" s="204">
        <f>IFERROR('30_CASHFLOW'!S15/'10_CAPEX-INGRESOS-PAGOS'!$H$48,0)+IFERROR('30_CASHFLOW'!S16/'10_CAPEX-INGRESOS-PAGOS'!$H$50,0)</f>
        <v>0</v>
      </c>
      <c r="T6" s="204">
        <f>IFERROR('30_CASHFLOW'!T15/'10_CAPEX-INGRESOS-PAGOS'!$H$48,0)+IFERROR('30_CASHFLOW'!T16/'10_CAPEX-INGRESOS-PAGOS'!$H$50,0)</f>
        <v>0</v>
      </c>
      <c r="U6" s="204">
        <f>IFERROR('30_CASHFLOW'!U15/'10_CAPEX-INGRESOS-PAGOS'!$H$48,0)+IFERROR('30_CASHFLOW'!U16/'10_CAPEX-INGRESOS-PAGOS'!$H$50,0)</f>
        <v>0</v>
      </c>
      <c r="V6" s="204">
        <f>IFERROR('30_CASHFLOW'!V15/'10_CAPEX-INGRESOS-PAGOS'!$H$48,0)+IFERROR('30_CASHFLOW'!V16/'10_CAPEX-INGRESOS-PAGOS'!$H$50,0)</f>
        <v>0</v>
      </c>
      <c r="W6" s="204">
        <f>IFERROR('30_CASHFLOW'!W15/'10_CAPEX-INGRESOS-PAGOS'!$H$48,0)+IFERROR('30_CASHFLOW'!W16/'10_CAPEX-INGRESOS-PAGOS'!$H$50,0)</f>
        <v>0</v>
      </c>
      <c r="X6" s="204">
        <f>IFERROR('30_CASHFLOW'!X15/'10_CAPEX-INGRESOS-PAGOS'!$H$48,0)+IFERROR('30_CASHFLOW'!X16/'10_CAPEX-INGRESOS-PAGOS'!$H$50,0)</f>
        <v>0</v>
      </c>
      <c r="Y6" s="204">
        <f>IFERROR('30_CASHFLOW'!Y15/'10_CAPEX-INGRESOS-PAGOS'!$H$48,0)+IFERROR('30_CASHFLOW'!Y16/'10_CAPEX-INGRESOS-PAGOS'!$H$50,0)</f>
        <v>0</v>
      </c>
      <c r="Z6" s="204">
        <f>IFERROR('30_CASHFLOW'!Z15/'10_CAPEX-INGRESOS-PAGOS'!$H$48,0)+IFERROR('30_CASHFLOW'!Z16/'10_CAPEX-INGRESOS-PAGOS'!$H$50,0)</f>
        <v>0</v>
      </c>
      <c r="AA6" s="204">
        <f>IFERROR('30_CASHFLOW'!AA15/'10_CAPEX-INGRESOS-PAGOS'!$H$48,0)+IFERROR('30_CASHFLOW'!AA16/'10_CAPEX-INGRESOS-PAGOS'!$H$50,0)</f>
        <v>0</v>
      </c>
      <c r="AB6" s="204">
        <f>IFERROR('30_CASHFLOW'!AB15/'10_CAPEX-INGRESOS-PAGOS'!$H$48,0)+IFERROR('30_CASHFLOW'!AB16/'10_CAPEX-INGRESOS-PAGOS'!$H$50,0)</f>
        <v>0</v>
      </c>
      <c r="AC6" s="204">
        <f>IFERROR('30_CASHFLOW'!AC15/'10_CAPEX-INGRESOS-PAGOS'!$H$48,0)+IFERROR('30_CASHFLOW'!AC16/'10_CAPEX-INGRESOS-PAGOS'!$H$50,0)</f>
        <v>0</v>
      </c>
      <c r="AD6" s="204">
        <f>IFERROR('30_CASHFLOW'!AD15/'10_CAPEX-INGRESOS-PAGOS'!$H$48,0)+IFERROR('30_CASHFLOW'!AD16/'10_CAPEX-INGRESOS-PAGOS'!$H$50,0)</f>
        <v>0</v>
      </c>
      <c r="AE6" s="204">
        <f>IFERROR('30_CASHFLOW'!AE15/'10_CAPEX-INGRESOS-PAGOS'!$H$48,0)+IFERROR('30_CASHFLOW'!AE16/'10_CAPEX-INGRESOS-PAGOS'!$H$50,0)</f>
        <v>0</v>
      </c>
      <c r="AF6" s="204">
        <f>IFERROR('30_CASHFLOW'!AF15/'10_CAPEX-INGRESOS-PAGOS'!$H$48,0)+IFERROR('30_CASHFLOW'!AF16/'10_CAPEX-INGRESOS-PAGOS'!$H$50,0)</f>
        <v>0</v>
      </c>
      <c r="AG6" s="204">
        <f>IFERROR('30_CASHFLOW'!AG15/'10_CAPEX-INGRESOS-PAGOS'!$H$48,0)+IFERROR('30_CASHFLOW'!AG16/'10_CAPEX-INGRESOS-PAGOS'!$H$50,0)</f>
        <v>0</v>
      </c>
      <c r="AH6" s="204">
        <f>IFERROR('30_CASHFLOW'!AH15/'10_CAPEX-INGRESOS-PAGOS'!$H$48,0)+IFERROR('30_CASHFLOW'!AH16/'10_CAPEX-INGRESOS-PAGOS'!$H$50,0)</f>
        <v>0</v>
      </c>
      <c r="AI6" s="204">
        <f>IFERROR('30_CASHFLOW'!AI15/'10_CAPEX-INGRESOS-PAGOS'!$H$48,0)+IFERROR('30_CASHFLOW'!AI16/'10_CAPEX-INGRESOS-PAGOS'!$H$50,0)</f>
        <v>0</v>
      </c>
      <c r="AJ6" s="204">
        <f>IFERROR('30_CASHFLOW'!AJ15/'10_CAPEX-INGRESOS-PAGOS'!$H$48,0)+IFERROR('30_CASHFLOW'!AJ16/'10_CAPEX-INGRESOS-PAGOS'!$H$50,0)</f>
        <v>0</v>
      </c>
      <c r="AK6" s="204">
        <f>IFERROR('30_CASHFLOW'!AK15/'10_CAPEX-INGRESOS-PAGOS'!$H$48,0)+IFERROR('30_CASHFLOW'!AK16/'10_CAPEX-INGRESOS-PAGOS'!$H$50,0)</f>
        <v>9295000</v>
      </c>
      <c r="AL6" s="204">
        <f>IFERROR('30_CASHFLOW'!AL15/'10_CAPEX-INGRESOS-PAGOS'!$H$48,0)+IFERROR('30_CASHFLOW'!AL16/'10_CAPEX-INGRESOS-PAGOS'!$H$50,0)</f>
        <v>0</v>
      </c>
      <c r="AM6" s="204">
        <f>IFERROR('30_CASHFLOW'!AM15/'10_CAPEX-INGRESOS-PAGOS'!$H$48,0)+IFERROR('30_CASHFLOW'!AM16/'10_CAPEX-INGRESOS-PAGOS'!$H$50,0)</f>
        <v>0</v>
      </c>
      <c r="AN6" s="204">
        <f>IFERROR('30_CASHFLOW'!AN15/'10_CAPEX-INGRESOS-PAGOS'!$H$48,0)+IFERROR('30_CASHFLOW'!AN16/'10_CAPEX-INGRESOS-PAGOS'!$H$50,0)</f>
        <v>0</v>
      </c>
      <c r="AO6" s="204">
        <f>IFERROR('30_CASHFLOW'!AO15/'10_CAPEX-INGRESOS-PAGOS'!$H$48,0)+IFERROR('30_CASHFLOW'!AO16/'10_CAPEX-INGRESOS-PAGOS'!$H$50,0)</f>
        <v>0</v>
      </c>
      <c r="AP6" s="204">
        <f>IFERROR('30_CASHFLOW'!AP15/'10_CAPEX-INGRESOS-PAGOS'!$H$48,0)+IFERROR('30_CASHFLOW'!AP16/'10_CAPEX-INGRESOS-PAGOS'!$H$50,0)</f>
        <v>0</v>
      </c>
      <c r="AQ6" s="204">
        <f>IFERROR('30_CASHFLOW'!AQ15/'10_CAPEX-INGRESOS-PAGOS'!$H$48,0)+IFERROR('30_CASHFLOW'!AQ16/'10_CAPEX-INGRESOS-PAGOS'!$H$50,0)</f>
        <v>0</v>
      </c>
      <c r="AR6" s="204">
        <f>IFERROR('30_CASHFLOW'!AR15/'10_CAPEX-INGRESOS-PAGOS'!$H$48,0)+IFERROR('30_CASHFLOW'!AR16/'10_CAPEX-INGRESOS-PAGOS'!$H$50,0)</f>
        <v>0</v>
      </c>
      <c r="AS6" s="204">
        <f>IFERROR('30_CASHFLOW'!AS15/'10_CAPEX-INGRESOS-PAGOS'!$H$48,0)+IFERROR('30_CASHFLOW'!AS16/'10_CAPEX-INGRESOS-PAGOS'!$H$50,0)</f>
        <v>0</v>
      </c>
      <c r="AT6" s="204">
        <f>IFERROR('30_CASHFLOW'!AT15/'10_CAPEX-INGRESOS-PAGOS'!$H$48,0)+IFERROR('30_CASHFLOW'!AT16/'10_CAPEX-INGRESOS-PAGOS'!$H$50,0)</f>
        <v>0</v>
      </c>
      <c r="AU6" s="204">
        <f>IFERROR('30_CASHFLOW'!AU15/'10_CAPEX-INGRESOS-PAGOS'!$H$48,0)+IFERROR('30_CASHFLOW'!AU16/'10_CAPEX-INGRESOS-PAGOS'!$H$50,0)</f>
        <v>0</v>
      </c>
      <c r="AV6" s="204">
        <f>IFERROR('30_CASHFLOW'!AV15/'10_CAPEX-INGRESOS-PAGOS'!$H$48,0)+IFERROR('30_CASHFLOW'!AV16/'10_CAPEX-INGRESOS-PAGOS'!$H$50,0)</f>
        <v>0</v>
      </c>
      <c r="AW6" s="204">
        <f>IFERROR('30_CASHFLOW'!AW15/'10_CAPEX-INGRESOS-PAGOS'!$H$48,0)+IFERROR('30_CASHFLOW'!AW16/'10_CAPEX-INGRESOS-PAGOS'!$H$50,0)</f>
        <v>0</v>
      </c>
      <c r="AX6" s="204">
        <f>IFERROR('30_CASHFLOW'!AX15/'10_CAPEX-INGRESOS-PAGOS'!$H$48,0)+IFERROR('30_CASHFLOW'!AX16/'10_CAPEX-INGRESOS-PAGOS'!$H$50,0)</f>
        <v>0</v>
      </c>
      <c r="AY6" s="204">
        <f>IFERROR('30_CASHFLOW'!AY15/'10_CAPEX-INGRESOS-PAGOS'!$H$48,0)+IFERROR('30_CASHFLOW'!AY16/'10_CAPEX-INGRESOS-PAGOS'!$H$50,0)</f>
        <v>0</v>
      </c>
      <c r="AZ6" s="204">
        <f>IFERROR('30_CASHFLOW'!AZ15/'10_CAPEX-INGRESOS-PAGOS'!$H$48,0)+IFERROR('30_CASHFLOW'!AZ16/'10_CAPEX-INGRESOS-PAGOS'!$H$50,0)</f>
        <v>0</v>
      </c>
      <c r="BA6" s="204">
        <f>IFERROR('30_CASHFLOW'!BA15/'10_CAPEX-INGRESOS-PAGOS'!$H$48,0)+IFERROR('30_CASHFLOW'!BA16/'10_CAPEX-INGRESOS-PAGOS'!$H$50,0)</f>
        <v>0</v>
      </c>
      <c r="BB6" s="204">
        <f>IFERROR('30_CASHFLOW'!BB15/'10_CAPEX-INGRESOS-PAGOS'!$H$48,0)+IFERROR('30_CASHFLOW'!BB16/'10_CAPEX-INGRESOS-PAGOS'!$H$50,0)</f>
        <v>0</v>
      </c>
      <c r="BC6" s="204">
        <f>IFERROR('30_CASHFLOW'!BC15/'10_CAPEX-INGRESOS-PAGOS'!$H$48,0)+IFERROR('30_CASHFLOW'!BC16/'10_CAPEX-INGRESOS-PAGOS'!$H$50,0)</f>
        <v>0</v>
      </c>
      <c r="BD6" s="204">
        <f>IFERROR('30_CASHFLOW'!BD15/'10_CAPEX-INGRESOS-PAGOS'!$H$48,0)+IFERROR('30_CASHFLOW'!BD16/'10_CAPEX-INGRESOS-PAGOS'!$H$50,0)</f>
        <v>0</v>
      </c>
      <c r="BE6" s="204">
        <f>IFERROR('30_CASHFLOW'!BE15/'10_CAPEX-INGRESOS-PAGOS'!$H$48,0)+IFERROR('30_CASHFLOW'!BE16/'10_CAPEX-INGRESOS-PAGOS'!$H$50,0)</f>
        <v>0</v>
      </c>
      <c r="BF6" s="204">
        <f>IFERROR('30_CASHFLOW'!BF15/'10_CAPEX-INGRESOS-PAGOS'!$H$48,0)+IFERROR('30_CASHFLOW'!BF16/'10_CAPEX-INGRESOS-PAGOS'!$H$50,0)</f>
        <v>0</v>
      </c>
      <c r="BG6" s="204">
        <f>IFERROR('30_CASHFLOW'!BG15/'10_CAPEX-INGRESOS-PAGOS'!$H$48,0)+IFERROR('30_CASHFLOW'!BG16/'10_CAPEX-INGRESOS-PAGOS'!$H$50,0)</f>
        <v>0</v>
      </c>
      <c r="BH6" s="204">
        <f>IFERROR('30_CASHFLOW'!BH15/'10_CAPEX-INGRESOS-PAGOS'!$H$48,0)+IFERROR('30_CASHFLOW'!BH16/'10_CAPEX-INGRESOS-PAGOS'!$H$50,0)</f>
        <v>0</v>
      </c>
      <c r="BI6" s="204">
        <f>IFERROR('30_CASHFLOW'!BI15/'10_CAPEX-INGRESOS-PAGOS'!$H$48,0)+IFERROR('30_CASHFLOW'!BI16/'10_CAPEX-INGRESOS-PAGOS'!$H$50,0)</f>
        <v>0</v>
      </c>
    </row>
    <row r="7" spans="1:61" x14ac:dyDescent="0.25">
      <c r="A7" s="153" t="s">
        <v>305</v>
      </c>
      <c r="B7" s="166">
        <f t="shared" ref="B7:AG7" si="0">SUM(B6:B6)</f>
        <v>0</v>
      </c>
      <c r="C7" s="166">
        <f t="shared" si="0"/>
        <v>0</v>
      </c>
      <c r="D7" s="166">
        <f t="shared" si="0"/>
        <v>0</v>
      </c>
      <c r="E7" s="166">
        <f t="shared" si="0"/>
        <v>0</v>
      </c>
      <c r="F7" s="166">
        <f t="shared" si="0"/>
        <v>0</v>
      </c>
      <c r="G7" s="166">
        <f t="shared" si="0"/>
        <v>0</v>
      </c>
      <c r="H7" s="166">
        <f t="shared" si="0"/>
        <v>0</v>
      </c>
      <c r="I7" s="166">
        <f t="shared" si="0"/>
        <v>0</v>
      </c>
      <c r="J7" s="166">
        <f t="shared" si="0"/>
        <v>0</v>
      </c>
      <c r="K7" s="166">
        <f t="shared" si="0"/>
        <v>0</v>
      </c>
      <c r="L7" s="166">
        <f t="shared" si="0"/>
        <v>0</v>
      </c>
      <c r="M7" s="166">
        <f t="shared" si="0"/>
        <v>0</v>
      </c>
      <c r="N7" s="166">
        <f t="shared" si="0"/>
        <v>0</v>
      </c>
      <c r="O7" s="166">
        <f t="shared" si="0"/>
        <v>0</v>
      </c>
      <c r="P7" s="166">
        <f t="shared" si="0"/>
        <v>0</v>
      </c>
      <c r="Q7" s="166">
        <f t="shared" si="0"/>
        <v>0</v>
      </c>
      <c r="R7" s="166">
        <f t="shared" si="0"/>
        <v>0</v>
      </c>
      <c r="S7" s="166">
        <f t="shared" si="0"/>
        <v>0</v>
      </c>
      <c r="T7" s="166">
        <f t="shared" si="0"/>
        <v>0</v>
      </c>
      <c r="U7" s="166">
        <f t="shared" si="0"/>
        <v>0</v>
      </c>
      <c r="V7" s="166">
        <f t="shared" si="0"/>
        <v>0</v>
      </c>
      <c r="W7" s="166">
        <f t="shared" si="0"/>
        <v>0</v>
      </c>
      <c r="X7" s="166">
        <f t="shared" si="0"/>
        <v>0</v>
      </c>
      <c r="Y7" s="166">
        <f t="shared" si="0"/>
        <v>0</v>
      </c>
      <c r="Z7" s="166">
        <f t="shared" si="0"/>
        <v>0</v>
      </c>
      <c r="AA7" s="166">
        <f t="shared" si="0"/>
        <v>0</v>
      </c>
      <c r="AB7" s="166">
        <f t="shared" si="0"/>
        <v>0</v>
      </c>
      <c r="AC7" s="166">
        <f t="shared" si="0"/>
        <v>0</v>
      </c>
      <c r="AD7" s="166">
        <f t="shared" si="0"/>
        <v>0</v>
      </c>
      <c r="AE7" s="166">
        <f t="shared" si="0"/>
        <v>0</v>
      </c>
      <c r="AF7" s="166">
        <f t="shared" si="0"/>
        <v>0</v>
      </c>
      <c r="AG7" s="166">
        <f t="shared" si="0"/>
        <v>0</v>
      </c>
      <c r="AH7" s="166">
        <f t="shared" ref="AH7:BI7" si="1">SUM(AH6:AH6)</f>
        <v>0</v>
      </c>
      <c r="AI7" s="166">
        <f t="shared" si="1"/>
        <v>0</v>
      </c>
      <c r="AJ7" s="166">
        <f t="shared" si="1"/>
        <v>0</v>
      </c>
      <c r="AK7" s="166">
        <f t="shared" si="1"/>
        <v>9295000</v>
      </c>
      <c r="AL7" s="166">
        <f t="shared" si="1"/>
        <v>0</v>
      </c>
      <c r="AM7" s="166">
        <f t="shared" si="1"/>
        <v>0</v>
      </c>
      <c r="AN7" s="166">
        <f t="shared" si="1"/>
        <v>0</v>
      </c>
      <c r="AO7" s="166">
        <f t="shared" si="1"/>
        <v>0</v>
      </c>
      <c r="AP7" s="166">
        <f t="shared" si="1"/>
        <v>0</v>
      </c>
      <c r="AQ7" s="166">
        <f t="shared" si="1"/>
        <v>0</v>
      </c>
      <c r="AR7" s="166">
        <f t="shared" si="1"/>
        <v>0</v>
      </c>
      <c r="AS7" s="166">
        <f t="shared" si="1"/>
        <v>0</v>
      </c>
      <c r="AT7" s="166">
        <f t="shared" si="1"/>
        <v>0</v>
      </c>
      <c r="AU7" s="166">
        <f t="shared" si="1"/>
        <v>0</v>
      </c>
      <c r="AV7" s="166">
        <f t="shared" si="1"/>
        <v>0</v>
      </c>
      <c r="AW7" s="166">
        <f t="shared" si="1"/>
        <v>0</v>
      </c>
      <c r="AX7" s="166">
        <f t="shared" si="1"/>
        <v>0</v>
      </c>
      <c r="AY7" s="166">
        <f t="shared" si="1"/>
        <v>0</v>
      </c>
      <c r="AZ7" s="166">
        <f t="shared" si="1"/>
        <v>0</v>
      </c>
      <c r="BA7" s="166">
        <f t="shared" si="1"/>
        <v>0</v>
      </c>
      <c r="BB7" s="166">
        <f t="shared" si="1"/>
        <v>0</v>
      </c>
      <c r="BC7" s="166">
        <f t="shared" si="1"/>
        <v>0</v>
      </c>
      <c r="BD7" s="166">
        <f t="shared" si="1"/>
        <v>0</v>
      </c>
      <c r="BE7" s="166">
        <f t="shared" si="1"/>
        <v>0</v>
      </c>
      <c r="BF7" s="166">
        <f t="shared" si="1"/>
        <v>0</v>
      </c>
      <c r="BG7" s="166">
        <f t="shared" si="1"/>
        <v>0</v>
      </c>
      <c r="BH7" s="166">
        <f t="shared" si="1"/>
        <v>0</v>
      </c>
      <c r="BI7" s="166">
        <f t="shared" si="1"/>
        <v>0</v>
      </c>
    </row>
    <row r="8" spans="1:61" ht="15.75" customHeight="1" thickBot="1" x14ac:dyDescent="0.3">
      <c r="B8" s="204"/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  <c r="AG8" s="204"/>
      <c r="AH8" s="204"/>
      <c r="AI8" s="204"/>
      <c r="AJ8" s="204"/>
      <c r="AK8" s="204"/>
      <c r="AL8" s="204"/>
      <c r="AM8" s="204"/>
      <c r="AN8" s="204"/>
      <c r="AO8" s="204"/>
      <c r="AP8" s="204"/>
      <c r="AQ8" s="204"/>
      <c r="AR8" s="204"/>
      <c r="AS8" s="204"/>
      <c r="AT8" s="204"/>
      <c r="AU8" s="204"/>
      <c r="AV8" s="204"/>
      <c r="AW8" s="204"/>
      <c r="AX8" s="204"/>
      <c r="AY8" s="204"/>
      <c r="AZ8" s="204"/>
      <c r="BA8" s="204"/>
      <c r="BB8" s="204"/>
      <c r="BC8" s="204"/>
      <c r="BD8" s="204"/>
      <c r="BE8" s="204"/>
      <c r="BF8" s="204"/>
      <c r="BG8" s="204"/>
      <c r="BH8" s="204"/>
      <c r="BI8" s="204"/>
    </row>
    <row r="9" spans="1:61" x14ac:dyDescent="0.25">
      <c r="A9" s="164" t="s">
        <v>306</v>
      </c>
      <c r="B9" s="165"/>
      <c r="C9" s="165"/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/>
      <c r="BE9" s="165"/>
      <c r="BF9" s="165"/>
      <c r="BG9" s="165"/>
      <c r="BH9" s="165"/>
      <c r="BI9" s="165"/>
    </row>
    <row r="10" spans="1:61" x14ac:dyDescent="0.25">
      <c r="A10" s="203" t="s">
        <v>307</v>
      </c>
      <c r="B10" s="204">
        <f>ABS(SUM('30_CASHFLOW'!$B$6:$FZ$6))*IFERROR(B7/'10_CAPEX-INGRESOS-PAGOS'!$H$28,0)</f>
        <v>0</v>
      </c>
      <c r="C10" s="204">
        <f>ABS(SUM('30_CASHFLOW'!$B$6:$FZ$6))*IFERROR(C7/'10_CAPEX-INGRESOS-PAGOS'!$H$28,0)</f>
        <v>0</v>
      </c>
      <c r="D10" s="204">
        <f>ABS(SUM('30_CASHFLOW'!$B$6:$FZ$6))*IFERROR(D7/'10_CAPEX-INGRESOS-PAGOS'!$H$28,0)</f>
        <v>0</v>
      </c>
      <c r="E10" s="204">
        <f>ABS(SUM('30_CASHFLOW'!$B$6:$FZ$6))*IFERROR(E7/'10_CAPEX-INGRESOS-PAGOS'!$H$28,0)</f>
        <v>0</v>
      </c>
      <c r="F10" s="204">
        <f>ABS(SUM('30_CASHFLOW'!$B$6:$FZ$6))*IFERROR(F7/'10_CAPEX-INGRESOS-PAGOS'!$H$28,0)</f>
        <v>0</v>
      </c>
      <c r="G10" s="204">
        <f>ABS(SUM('30_CASHFLOW'!$B$6:$FZ$6))*IFERROR(G7/'10_CAPEX-INGRESOS-PAGOS'!$H$28,0)</f>
        <v>0</v>
      </c>
      <c r="H10" s="204">
        <f>ABS(SUM('30_CASHFLOW'!$B$6:$FZ$6))*IFERROR(H7/'10_CAPEX-INGRESOS-PAGOS'!$H$28,0)</f>
        <v>0</v>
      </c>
      <c r="I10" s="204">
        <f>ABS(SUM('30_CASHFLOW'!$B$6:$FZ$6))*IFERROR(I7/'10_CAPEX-INGRESOS-PAGOS'!$H$28,0)</f>
        <v>0</v>
      </c>
      <c r="J10" s="204">
        <f>ABS(SUM('30_CASHFLOW'!$B$6:$FZ$6))*IFERROR(J7/'10_CAPEX-INGRESOS-PAGOS'!$H$28,0)</f>
        <v>0</v>
      </c>
      <c r="K10" s="204">
        <f>ABS(SUM('30_CASHFLOW'!$B$6:$FZ$6))*IFERROR(K7/'10_CAPEX-INGRESOS-PAGOS'!$H$28,0)</f>
        <v>0</v>
      </c>
      <c r="L10" s="204">
        <f>ABS(SUM('30_CASHFLOW'!$B$6:$FZ$6))*IFERROR(L7/'10_CAPEX-INGRESOS-PAGOS'!$H$28,0)</f>
        <v>0</v>
      </c>
      <c r="M10" s="204">
        <f>ABS(SUM('30_CASHFLOW'!$B$6:$FZ$6))*IFERROR(M7/'10_CAPEX-INGRESOS-PAGOS'!$H$28,0)</f>
        <v>0</v>
      </c>
      <c r="N10" s="204">
        <f>ABS(SUM('30_CASHFLOW'!$B$6:$FZ$6))*IFERROR(N7/'10_CAPEX-INGRESOS-PAGOS'!$H$28,0)</f>
        <v>0</v>
      </c>
      <c r="O10" s="204">
        <f>ABS(SUM('30_CASHFLOW'!$B$6:$FZ$6))*IFERROR(O7/'10_CAPEX-INGRESOS-PAGOS'!$H$28,0)</f>
        <v>0</v>
      </c>
      <c r="P10" s="204">
        <f>ABS(SUM('30_CASHFLOW'!$B$6:$FZ$6))*IFERROR(P7/'10_CAPEX-INGRESOS-PAGOS'!$H$28,0)</f>
        <v>0</v>
      </c>
      <c r="Q10" s="204">
        <f>ABS(SUM('30_CASHFLOW'!$B$6:$FZ$6))*IFERROR(Q7/'10_CAPEX-INGRESOS-PAGOS'!$H$28,0)</f>
        <v>0</v>
      </c>
      <c r="R10" s="204">
        <f>ABS(SUM('30_CASHFLOW'!$B$6:$FZ$6))*IFERROR(R7/'10_CAPEX-INGRESOS-PAGOS'!$H$28,0)</f>
        <v>0</v>
      </c>
      <c r="S10" s="204">
        <f>ABS(SUM('30_CASHFLOW'!$B$6:$FZ$6))*IFERROR(S7/'10_CAPEX-INGRESOS-PAGOS'!$H$28,0)</f>
        <v>0</v>
      </c>
      <c r="T10" s="204">
        <f>ABS(SUM('30_CASHFLOW'!$B$6:$FZ$6))*IFERROR(T7/'10_CAPEX-INGRESOS-PAGOS'!$H$28,0)</f>
        <v>0</v>
      </c>
      <c r="U10" s="204">
        <f>ABS(SUM('30_CASHFLOW'!$B$6:$FZ$6))*IFERROR(U7/'10_CAPEX-INGRESOS-PAGOS'!$H$28,0)</f>
        <v>0</v>
      </c>
      <c r="V10" s="204">
        <f>ABS(SUM('30_CASHFLOW'!$B$6:$FZ$6))*IFERROR(V7/'10_CAPEX-INGRESOS-PAGOS'!$H$28,0)</f>
        <v>0</v>
      </c>
      <c r="W10" s="204">
        <f>ABS(SUM('30_CASHFLOW'!$B$6:$FZ$6))*IFERROR(W7/'10_CAPEX-INGRESOS-PAGOS'!$H$28,0)</f>
        <v>0</v>
      </c>
      <c r="X10" s="204">
        <f>ABS(SUM('30_CASHFLOW'!$B$6:$FZ$6))*IFERROR(X7/'10_CAPEX-INGRESOS-PAGOS'!$H$28,0)</f>
        <v>0</v>
      </c>
      <c r="Y10" s="204">
        <f>ABS(SUM('30_CASHFLOW'!$B$6:$FZ$6))*IFERROR(Y7/'10_CAPEX-INGRESOS-PAGOS'!$H$28,0)</f>
        <v>0</v>
      </c>
      <c r="Z10" s="204">
        <f>ABS(SUM('30_CASHFLOW'!$B$6:$FZ$6))*IFERROR(Z7/'10_CAPEX-INGRESOS-PAGOS'!$H$28,0)</f>
        <v>0</v>
      </c>
      <c r="AA10" s="204">
        <f>ABS(SUM('30_CASHFLOW'!$B$6:$FZ$6))*IFERROR(AA7/'10_CAPEX-INGRESOS-PAGOS'!$H$28,0)</f>
        <v>0</v>
      </c>
      <c r="AB10" s="204">
        <f>ABS(SUM('30_CASHFLOW'!$B$6:$FZ$6))*IFERROR(AB7/'10_CAPEX-INGRESOS-PAGOS'!$H$28,0)</f>
        <v>0</v>
      </c>
      <c r="AC10" s="204">
        <f>ABS(SUM('30_CASHFLOW'!$B$6:$FZ$6))*IFERROR(AC7/'10_CAPEX-INGRESOS-PAGOS'!$H$28,0)</f>
        <v>0</v>
      </c>
      <c r="AD10" s="204">
        <f>ABS(SUM('30_CASHFLOW'!$B$6:$FZ$6))*IFERROR(AD7/'10_CAPEX-INGRESOS-PAGOS'!$H$28,0)</f>
        <v>0</v>
      </c>
      <c r="AE10" s="204">
        <f>ABS(SUM('30_CASHFLOW'!$B$6:$FZ$6))*IFERROR(AE7/'10_CAPEX-INGRESOS-PAGOS'!$H$28,0)</f>
        <v>0</v>
      </c>
      <c r="AF10" s="204">
        <f>ABS(SUM('30_CASHFLOW'!$B$6:$FZ$6))*IFERROR(AF7/'10_CAPEX-INGRESOS-PAGOS'!$H$28,0)</f>
        <v>0</v>
      </c>
      <c r="AG10" s="204">
        <f>ABS(SUM('30_CASHFLOW'!$B$6:$FZ$6))*IFERROR(AG7/'10_CAPEX-INGRESOS-PAGOS'!$H$28,0)</f>
        <v>0</v>
      </c>
      <c r="AH10" s="204">
        <f>ABS(SUM('30_CASHFLOW'!$B$6:$FZ$6))*IFERROR(AH7/'10_CAPEX-INGRESOS-PAGOS'!$H$28,0)</f>
        <v>0</v>
      </c>
      <c r="AI10" s="204">
        <f>ABS(SUM('30_CASHFLOW'!$B$6:$FZ$6))*IFERROR(AI7/'10_CAPEX-INGRESOS-PAGOS'!$H$28,0)</f>
        <v>0</v>
      </c>
      <c r="AJ10" s="204">
        <f>ABS(SUM('30_CASHFLOW'!$B$6:$FZ$6))*IFERROR(AJ7/'10_CAPEX-INGRESOS-PAGOS'!$H$28,0)</f>
        <v>0</v>
      </c>
      <c r="AK10" s="204">
        <f>ABS(SUM('30_CASHFLOW'!$B$6:$FZ$6))*IFERROR(AK7/'10_CAPEX-INGRESOS-PAGOS'!$H$28,0)</f>
        <v>1183546</v>
      </c>
      <c r="AL10" s="204">
        <f>ABS(SUM('30_CASHFLOW'!$B$6:$FZ$6))*IFERROR(AL7/'10_CAPEX-INGRESOS-PAGOS'!$H$28,0)</f>
        <v>0</v>
      </c>
      <c r="AM10" s="204">
        <f>ABS(SUM('30_CASHFLOW'!$B$6:$FZ$6))*IFERROR(AM7/'10_CAPEX-INGRESOS-PAGOS'!$H$28,0)</f>
        <v>0</v>
      </c>
      <c r="AN10" s="204">
        <f>ABS(SUM('30_CASHFLOW'!$B$6:$FZ$6))*IFERROR(AN7/'10_CAPEX-INGRESOS-PAGOS'!$H$28,0)</f>
        <v>0</v>
      </c>
      <c r="AO10" s="204">
        <f>ABS(SUM('30_CASHFLOW'!$B$6:$FZ$6))*IFERROR(AO7/'10_CAPEX-INGRESOS-PAGOS'!$H$28,0)</f>
        <v>0</v>
      </c>
      <c r="AP10" s="204">
        <f>ABS(SUM('30_CASHFLOW'!$B$6:$FZ$6))*IFERROR(AP7/'10_CAPEX-INGRESOS-PAGOS'!$H$28,0)</f>
        <v>0</v>
      </c>
      <c r="AQ10" s="204">
        <f>ABS(SUM('30_CASHFLOW'!$B$6:$FZ$6))*IFERROR(AQ7/'10_CAPEX-INGRESOS-PAGOS'!$H$28,0)</f>
        <v>0</v>
      </c>
      <c r="AR10" s="204">
        <f>ABS(SUM('30_CASHFLOW'!$B$6:$FZ$6))*IFERROR(AR7/'10_CAPEX-INGRESOS-PAGOS'!$H$28,0)</f>
        <v>0</v>
      </c>
      <c r="AS10" s="204">
        <f>ABS(SUM('30_CASHFLOW'!$B$6:$FZ$6))*IFERROR(AS7/'10_CAPEX-INGRESOS-PAGOS'!$H$28,0)</f>
        <v>0</v>
      </c>
      <c r="AT10" s="204">
        <f>ABS(SUM('30_CASHFLOW'!$B$6:$FZ$6))*IFERROR(AT7/'10_CAPEX-INGRESOS-PAGOS'!$H$28,0)</f>
        <v>0</v>
      </c>
      <c r="AU10" s="204">
        <f>ABS(SUM('30_CASHFLOW'!$B$6:$FZ$6))*IFERROR(AU7/'10_CAPEX-INGRESOS-PAGOS'!$H$28,0)</f>
        <v>0</v>
      </c>
      <c r="AV10" s="204">
        <f>ABS(SUM('30_CASHFLOW'!$B$6:$FZ$6))*IFERROR(AV7/'10_CAPEX-INGRESOS-PAGOS'!$H$28,0)</f>
        <v>0</v>
      </c>
      <c r="AW10" s="204">
        <f>ABS(SUM('30_CASHFLOW'!$B$6:$FZ$6))*IFERROR(AW7/'10_CAPEX-INGRESOS-PAGOS'!$H$28,0)</f>
        <v>0</v>
      </c>
      <c r="AX10" s="204">
        <f>ABS(SUM('30_CASHFLOW'!$B$6:$FZ$6))*IFERROR(AX7/'10_CAPEX-INGRESOS-PAGOS'!$H$28,0)</f>
        <v>0</v>
      </c>
      <c r="AY10" s="204">
        <f>ABS(SUM('30_CASHFLOW'!$B$6:$FZ$6))*IFERROR(AY7/'10_CAPEX-INGRESOS-PAGOS'!$H$28,0)</f>
        <v>0</v>
      </c>
      <c r="AZ10" s="204">
        <f>ABS(SUM('30_CASHFLOW'!$B$6:$FZ$6))*IFERROR(AZ7/'10_CAPEX-INGRESOS-PAGOS'!$H$28,0)</f>
        <v>0</v>
      </c>
      <c r="BA10" s="204">
        <f>ABS(SUM('30_CASHFLOW'!$B$6:$FZ$6))*IFERROR(BA7/'10_CAPEX-INGRESOS-PAGOS'!$H$28,0)</f>
        <v>0</v>
      </c>
      <c r="BB10" s="204">
        <f>ABS(SUM('30_CASHFLOW'!$B$6:$FZ$6))*IFERROR(BB7/'10_CAPEX-INGRESOS-PAGOS'!$H$28,0)</f>
        <v>0</v>
      </c>
      <c r="BC10" s="204">
        <f>ABS(SUM('30_CASHFLOW'!$B$6:$FZ$6))*IFERROR(BC7/'10_CAPEX-INGRESOS-PAGOS'!$H$28,0)</f>
        <v>0</v>
      </c>
      <c r="BD10" s="204">
        <f>ABS(SUM('30_CASHFLOW'!$B$6:$FZ$6))*IFERROR(BD7/'10_CAPEX-INGRESOS-PAGOS'!$H$28,0)</f>
        <v>0</v>
      </c>
      <c r="BE10" s="204">
        <f>ABS(SUM('30_CASHFLOW'!$B$6:$FZ$6))*IFERROR(BE7/'10_CAPEX-INGRESOS-PAGOS'!$H$28,0)</f>
        <v>0</v>
      </c>
      <c r="BF10" s="204">
        <f>ABS(SUM('30_CASHFLOW'!$B$6:$FZ$6))*IFERROR(BF7/'10_CAPEX-INGRESOS-PAGOS'!$H$28,0)</f>
        <v>0</v>
      </c>
      <c r="BG10" s="204">
        <f>ABS(SUM('30_CASHFLOW'!$B$6:$FZ$6))*IFERROR(BG7/'10_CAPEX-INGRESOS-PAGOS'!$H$28,0)</f>
        <v>0</v>
      </c>
      <c r="BH10" s="204">
        <f>ABS(SUM('30_CASHFLOW'!$B$6:$FZ$6))*IFERROR(BH7/'10_CAPEX-INGRESOS-PAGOS'!$H$28,0)</f>
        <v>0</v>
      </c>
      <c r="BI10" s="204">
        <f>ABS(SUM('30_CASHFLOW'!$B$6:$FZ$6))*IFERROR(BI7/'10_CAPEX-INGRESOS-PAGOS'!$H$28,0)</f>
        <v>0</v>
      </c>
    </row>
    <row r="11" spans="1:61" ht="15.75" customHeight="1" x14ac:dyDescent="0.25">
      <c r="A11" s="203" t="s">
        <v>378</v>
      </c>
      <c r="B11" s="204">
        <f>ABS(SUM('30_CASHFLOW'!$B$7:$FZ$7))*IFERROR(B$7/'10_CAPEX-INGRESOS-PAGOS'!$H$28,0)</f>
        <v>0</v>
      </c>
      <c r="C11" s="204">
        <f>ABS(SUM('30_CASHFLOW'!$B$7:$FZ$7))*IFERROR(C$7/'10_CAPEX-INGRESOS-PAGOS'!$H$28,0)</f>
        <v>0</v>
      </c>
      <c r="D11" s="204">
        <f>ABS(SUM('30_CASHFLOW'!$B$7:$FZ$7))*IFERROR(D$7/'10_CAPEX-INGRESOS-PAGOS'!$H$28,0)</f>
        <v>0</v>
      </c>
      <c r="E11" s="204">
        <f>ABS(SUM('30_CASHFLOW'!$B$7:$FZ$7))*IFERROR(E$7/'10_CAPEX-INGRESOS-PAGOS'!$H$28,0)</f>
        <v>0</v>
      </c>
      <c r="F11" s="204">
        <f>ABS(SUM('30_CASHFLOW'!$B$7:$FZ$7))*IFERROR(F$7/'10_CAPEX-INGRESOS-PAGOS'!$H$28,0)</f>
        <v>0</v>
      </c>
      <c r="G11" s="204">
        <f>ABS(SUM('30_CASHFLOW'!$B$7:$FZ$7))*IFERROR(G$7/'10_CAPEX-INGRESOS-PAGOS'!$H$28,0)</f>
        <v>0</v>
      </c>
      <c r="H11" s="204">
        <f>ABS(SUM('30_CASHFLOW'!$B$7:$FZ$7))*IFERROR(H$7/'10_CAPEX-INGRESOS-PAGOS'!$H$28,0)</f>
        <v>0</v>
      </c>
      <c r="I11" s="204">
        <f>ABS(SUM('30_CASHFLOW'!$B$7:$FZ$7))*IFERROR(I$7/'10_CAPEX-INGRESOS-PAGOS'!$H$28,0)</f>
        <v>0</v>
      </c>
      <c r="J11" s="204">
        <f>ABS(SUM('30_CASHFLOW'!$B$7:$FZ$7))*IFERROR(J$7/'10_CAPEX-INGRESOS-PAGOS'!$H$28,0)</f>
        <v>0</v>
      </c>
      <c r="K11" s="204">
        <f>ABS(SUM('30_CASHFLOW'!$B$7:$FZ$7))*IFERROR(K$7/'10_CAPEX-INGRESOS-PAGOS'!$H$28,0)</f>
        <v>0</v>
      </c>
      <c r="L11" s="204">
        <f>ABS(SUM('30_CASHFLOW'!$B$7:$FZ$7))*IFERROR(L$7/'10_CAPEX-INGRESOS-PAGOS'!$H$28,0)</f>
        <v>0</v>
      </c>
      <c r="M11" s="204">
        <f>ABS(SUM('30_CASHFLOW'!$B$7:$FZ$7))*IFERROR(M$7/'10_CAPEX-INGRESOS-PAGOS'!$H$28,0)</f>
        <v>0</v>
      </c>
      <c r="N11" s="204">
        <f>ABS(SUM('30_CASHFLOW'!$B$7:$FZ$7))*IFERROR(N$7/'10_CAPEX-INGRESOS-PAGOS'!$H$28,0)</f>
        <v>0</v>
      </c>
      <c r="O11" s="204">
        <f>ABS(SUM('30_CASHFLOW'!$B$7:$FZ$7))*IFERROR(O$7/'10_CAPEX-INGRESOS-PAGOS'!$H$28,0)</f>
        <v>0</v>
      </c>
      <c r="P11" s="204">
        <f>ABS(SUM('30_CASHFLOW'!$B$7:$FZ$7))*IFERROR(P$7/'10_CAPEX-INGRESOS-PAGOS'!$H$28,0)</f>
        <v>0</v>
      </c>
      <c r="Q11" s="204">
        <f>ABS(SUM('30_CASHFLOW'!$B$7:$FZ$7))*IFERROR(Q$7/'10_CAPEX-INGRESOS-PAGOS'!$H$28,0)</f>
        <v>0</v>
      </c>
      <c r="R11" s="204">
        <f>ABS(SUM('30_CASHFLOW'!$B$7:$FZ$7))*IFERROR(R$7/'10_CAPEX-INGRESOS-PAGOS'!$H$28,0)</f>
        <v>0</v>
      </c>
      <c r="S11" s="204">
        <f>ABS(SUM('30_CASHFLOW'!$B$7:$FZ$7))*IFERROR(S$7/'10_CAPEX-INGRESOS-PAGOS'!$H$28,0)</f>
        <v>0</v>
      </c>
      <c r="T11" s="204">
        <f>ABS(SUM('30_CASHFLOW'!$B$7:$FZ$7))*IFERROR(T$7/'10_CAPEX-INGRESOS-PAGOS'!$H$28,0)</f>
        <v>0</v>
      </c>
      <c r="U11" s="204">
        <f>ABS(SUM('30_CASHFLOW'!$B$7:$FZ$7))*IFERROR(U$7/'10_CAPEX-INGRESOS-PAGOS'!$H$28,0)</f>
        <v>0</v>
      </c>
      <c r="V11" s="204">
        <f>ABS(SUM('30_CASHFLOW'!$B$7:$FZ$7))*IFERROR(V$7/'10_CAPEX-INGRESOS-PAGOS'!$H$28,0)</f>
        <v>0</v>
      </c>
      <c r="W11" s="204">
        <f>ABS(SUM('30_CASHFLOW'!$B$7:$FZ$7))*IFERROR(W$7/'10_CAPEX-INGRESOS-PAGOS'!$H$28,0)</f>
        <v>0</v>
      </c>
      <c r="X11" s="204">
        <f>ABS(SUM('30_CASHFLOW'!$B$7:$FZ$7))*IFERROR(X$7/'10_CAPEX-INGRESOS-PAGOS'!$H$28,0)</f>
        <v>0</v>
      </c>
      <c r="Y11" s="204">
        <f>ABS(SUM('30_CASHFLOW'!$B$7:$FZ$7))*IFERROR(Y$7/'10_CAPEX-INGRESOS-PAGOS'!$H$28,0)</f>
        <v>0</v>
      </c>
      <c r="Z11" s="204">
        <f>ABS(SUM('30_CASHFLOW'!$B$7:$FZ$7))*IFERROR(Z$7/'10_CAPEX-INGRESOS-PAGOS'!$H$28,0)</f>
        <v>0</v>
      </c>
      <c r="AA11" s="204">
        <f>ABS(SUM('30_CASHFLOW'!$B$7:$FZ$7))*IFERROR(AA$7/'10_CAPEX-INGRESOS-PAGOS'!$H$28,0)</f>
        <v>0</v>
      </c>
      <c r="AB11" s="204">
        <f>ABS(SUM('30_CASHFLOW'!$B$7:$FZ$7))*IFERROR(AB$7/'10_CAPEX-INGRESOS-PAGOS'!$H$28,0)</f>
        <v>0</v>
      </c>
      <c r="AC11" s="204">
        <f>ABS(SUM('30_CASHFLOW'!$B$7:$FZ$7))*IFERROR(AC$7/'10_CAPEX-INGRESOS-PAGOS'!$H$28,0)</f>
        <v>0</v>
      </c>
      <c r="AD11" s="204">
        <f>ABS(SUM('30_CASHFLOW'!$B$7:$FZ$7))*IFERROR(AD$7/'10_CAPEX-INGRESOS-PAGOS'!$H$28,0)</f>
        <v>0</v>
      </c>
      <c r="AE11" s="204">
        <f>ABS(SUM('30_CASHFLOW'!$B$7:$FZ$7))*IFERROR(AE$7/'10_CAPEX-INGRESOS-PAGOS'!$H$28,0)</f>
        <v>0</v>
      </c>
      <c r="AF11" s="204">
        <f>ABS(SUM('30_CASHFLOW'!$B$7:$FZ$7))*IFERROR(AF$7/'10_CAPEX-INGRESOS-PAGOS'!$H$28,0)</f>
        <v>0</v>
      </c>
      <c r="AG11" s="204">
        <f>ABS(SUM('30_CASHFLOW'!$B$7:$FZ$7))*IFERROR(AG$7/'10_CAPEX-INGRESOS-PAGOS'!$H$28,0)</f>
        <v>0</v>
      </c>
      <c r="AH11" s="204">
        <f>ABS(SUM('30_CASHFLOW'!$B$7:$FZ$7))*IFERROR(AH$7/'10_CAPEX-INGRESOS-PAGOS'!$H$28,0)</f>
        <v>0</v>
      </c>
      <c r="AI11" s="204">
        <f>ABS(SUM('30_CASHFLOW'!$B$7:$FZ$7))*IFERROR(AI$7/'10_CAPEX-INGRESOS-PAGOS'!$H$28,0)</f>
        <v>0</v>
      </c>
      <c r="AJ11" s="204">
        <f>ABS(SUM('30_CASHFLOW'!$B$7:$FZ$7))*IFERROR(AJ$7/'10_CAPEX-INGRESOS-PAGOS'!$H$28,0)</f>
        <v>0</v>
      </c>
      <c r="AK11" s="204">
        <f>ABS(SUM('30_CASHFLOW'!$B$7:$FZ$7))*IFERROR(AK$7/'10_CAPEX-INGRESOS-PAGOS'!$H$28,0)</f>
        <v>6472327.6800000053</v>
      </c>
      <c r="AL11" s="204">
        <f>ABS(SUM('30_CASHFLOW'!$B$7:$FZ$7))*IFERROR(AL$7/'10_CAPEX-INGRESOS-PAGOS'!$H$28,0)</f>
        <v>0</v>
      </c>
      <c r="AM11" s="204">
        <f>ABS(SUM('30_CASHFLOW'!$B$7:$FZ$7))*IFERROR(AM$7/'10_CAPEX-INGRESOS-PAGOS'!$H$28,0)</f>
        <v>0</v>
      </c>
      <c r="AN11" s="204">
        <f>ABS(SUM('30_CASHFLOW'!$B$7:$FZ$7))*IFERROR(AN$7/'10_CAPEX-INGRESOS-PAGOS'!$H$28,0)</f>
        <v>0</v>
      </c>
      <c r="AO11" s="204">
        <f>ABS(SUM('30_CASHFLOW'!$B$7:$FZ$7))*IFERROR(AO$7/'10_CAPEX-INGRESOS-PAGOS'!$H$28,0)</f>
        <v>0</v>
      </c>
      <c r="AP11" s="204">
        <f>ABS(SUM('30_CASHFLOW'!$B$7:$FZ$7))*IFERROR(AP$7/'10_CAPEX-INGRESOS-PAGOS'!$H$28,0)</f>
        <v>0</v>
      </c>
      <c r="AQ11" s="204">
        <f>ABS(SUM('30_CASHFLOW'!$B$7:$FZ$7))*IFERROR(AQ$7/'10_CAPEX-INGRESOS-PAGOS'!$H$28,0)</f>
        <v>0</v>
      </c>
      <c r="AR11" s="204">
        <f>ABS(SUM('30_CASHFLOW'!$B$7:$FZ$7))*IFERROR(AR$7/'10_CAPEX-INGRESOS-PAGOS'!$H$28,0)</f>
        <v>0</v>
      </c>
      <c r="AS11" s="204">
        <f>ABS(SUM('30_CASHFLOW'!$B$7:$FZ$7))*IFERROR(AS$7/'10_CAPEX-INGRESOS-PAGOS'!$H$28,0)</f>
        <v>0</v>
      </c>
      <c r="AT11" s="204">
        <f>ABS(SUM('30_CASHFLOW'!$B$7:$FZ$7))*IFERROR(AT$7/'10_CAPEX-INGRESOS-PAGOS'!$H$28,0)</f>
        <v>0</v>
      </c>
      <c r="AU11" s="204">
        <f>ABS(SUM('30_CASHFLOW'!$B$7:$FZ$7))*IFERROR(AU$7/'10_CAPEX-INGRESOS-PAGOS'!$H$28,0)</f>
        <v>0</v>
      </c>
      <c r="AV11" s="204">
        <f>ABS(SUM('30_CASHFLOW'!$B$7:$FZ$7))*IFERROR(AV$7/'10_CAPEX-INGRESOS-PAGOS'!$H$28,0)</f>
        <v>0</v>
      </c>
      <c r="AW11" s="204">
        <f>ABS(SUM('30_CASHFLOW'!$B$7:$FZ$7))*IFERROR(AW$7/'10_CAPEX-INGRESOS-PAGOS'!$H$28,0)</f>
        <v>0</v>
      </c>
      <c r="AX11" s="204">
        <f>ABS(SUM('30_CASHFLOW'!$B$7:$FZ$7))*IFERROR(AX$7/'10_CAPEX-INGRESOS-PAGOS'!$H$28,0)</f>
        <v>0</v>
      </c>
      <c r="AY11" s="204">
        <f>ABS(SUM('30_CASHFLOW'!$B$7:$FZ$7))*IFERROR(AY$7/'10_CAPEX-INGRESOS-PAGOS'!$H$28,0)</f>
        <v>0</v>
      </c>
      <c r="AZ11" s="204">
        <f>ABS(SUM('30_CASHFLOW'!$B$7:$FZ$7))*IFERROR(AZ$7/'10_CAPEX-INGRESOS-PAGOS'!$H$28,0)</f>
        <v>0</v>
      </c>
      <c r="BA11" s="204">
        <f>ABS(SUM('30_CASHFLOW'!$B$7:$FZ$7))*IFERROR(BA$7/'10_CAPEX-INGRESOS-PAGOS'!$H$28,0)</f>
        <v>0</v>
      </c>
      <c r="BB11" s="204">
        <f>ABS(SUM('30_CASHFLOW'!$B$7:$FZ$7))*IFERROR(BB$7/'10_CAPEX-INGRESOS-PAGOS'!$H$28,0)</f>
        <v>0</v>
      </c>
      <c r="BC11" s="204">
        <f>ABS(SUM('30_CASHFLOW'!$B$7:$FZ$7))*IFERROR(BC$7/'10_CAPEX-INGRESOS-PAGOS'!$H$28,0)</f>
        <v>0</v>
      </c>
      <c r="BD11" s="204">
        <f>ABS(SUM('30_CASHFLOW'!$B$7:$FZ$7))*IFERROR(BD$7/'10_CAPEX-INGRESOS-PAGOS'!$H$28,0)</f>
        <v>0</v>
      </c>
      <c r="BE11" s="204">
        <f>ABS(SUM('30_CASHFLOW'!$B$7:$FZ$7))*IFERROR(BE$7/'10_CAPEX-INGRESOS-PAGOS'!$H$28,0)</f>
        <v>0</v>
      </c>
      <c r="BF11" s="204">
        <f>ABS(SUM('30_CASHFLOW'!$B$7:$FZ$7))*IFERROR(BF$7/'10_CAPEX-INGRESOS-PAGOS'!$H$28,0)</f>
        <v>0</v>
      </c>
      <c r="BG11" s="204">
        <f>ABS(SUM('30_CASHFLOW'!$B$7:$FZ$7))*IFERROR(BG$7/'10_CAPEX-INGRESOS-PAGOS'!$H$28,0)</f>
        <v>0</v>
      </c>
      <c r="BH11" s="204">
        <f>ABS(SUM('30_CASHFLOW'!$B$7:$FZ$7))*IFERROR(BH$7/'10_CAPEX-INGRESOS-PAGOS'!$H$28,0)</f>
        <v>0</v>
      </c>
      <c r="BI11" s="204">
        <f>ABS(SUM('30_CASHFLOW'!$B$7:$FZ$7))*IFERROR(BI$7/'10_CAPEX-INGRESOS-PAGOS'!$H$28,0)</f>
        <v>0</v>
      </c>
    </row>
    <row r="12" spans="1:61" ht="15.75" customHeight="1" x14ac:dyDescent="0.25">
      <c r="A12" s="203" t="s">
        <v>379</v>
      </c>
      <c r="B12" s="204">
        <f>SUM('30_CASHFLOW'!$B$33:$FZ$33)*IFERROR(B$7/'10_CAPEX-INGRESOS-PAGOS'!$H$28,0)</f>
        <v>0</v>
      </c>
      <c r="C12" s="204">
        <f>SUM('30_CASHFLOW'!$B$33:$FZ$33)*IFERROR(C$7/'10_CAPEX-INGRESOS-PAGOS'!$H$28,0)</f>
        <v>0</v>
      </c>
      <c r="D12" s="204">
        <f>SUM('30_CASHFLOW'!$B$33:$FZ$33)*IFERROR(D$7/'10_CAPEX-INGRESOS-PAGOS'!$H$28,0)</f>
        <v>0</v>
      </c>
      <c r="E12" s="204">
        <f>SUM('30_CASHFLOW'!$B$33:$FZ$33)*IFERROR(E$7/'10_CAPEX-INGRESOS-PAGOS'!$H$28,0)</f>
        <v>0</v>
      </c>
      <c r="F12" s="204">
        <f>SUM('30_CASHFLOW'!$B$33:$FZ$33)*IFERROR(F$7/'10_CAPEX-INGRESOS-PAGOS'!$H$28,0)</f>
        <v>0</v>
      </c>
      <c r="G12" s="204">
        <f>SUM('30_CASHFLOW'!$B$33:$FZ$33)*IFERROR(G$7/'10_CAPEX-INGRESOS-PAGOS'!$H$28,0)</f>
        <v>0</v>
      </c>
      <c r="H12" s="204">
        <f>SUM('30_CASHFLOW'!$B$33:$FZ$33)*IFERROR(H$7/'10_CAPEX-INGRESOS-PAGOS'!$H$28,0)</f>
        <v>0</v>
      </c>
      <c r="I12" s="204">
        <f>SUM('30_CASHFLOW'!$B$33:$FZ$33)*IFERROR(I$7/'10_CAPEX-INGRESOS-PAGOS'!$H$28,0)</f>
        <v>0</v>
      </c>
      <c r="J12" s="204">
        <f>SUM('30_CASHFLOW'!$B$33:$FZ$33)*IFERROR(J$7/'10_CAPEX-INGRESOS-PAGOS'!$H$28,0)</f>
        <v>0</v>
      </c>
      <c r="K12" s="204">
        <f>SUM('30_CASHFLOW'!$B$33:$FZ$33)*IFERROR(K$7/'10_CAPEX-INGRESOS-PAGOS'!$H$28,0)</f>
        <v>0</v>
      </c>
      <c r="L12" s="204">
        <f>SUM('30_CASHFLOW'!$B$33:$FZ$33)*IFERROR(L$7/'10_CAPEX-INGRESOS-PAGOS'!$H$28,0)</f>
        <v>0</v>
      </c>
      <c r="M12" s="204">
        <f>SUM('30_CASHFLOW'!$B$33:$FZ$33)*IFERROR(M$7/'10_CAPEX-INGRESOS-PAGOS'!$H$28,0)</f>
        <v>0</v>
      </c>
      <c r="N12" s="204">
        <f>SUM('30_CASHFLOW'!$B$33:$FZ$33)*IFERROR(N$7/'10_CAPEX-INGRESOS-PAGOS'!$H$28,0)</f>
        <v>0</v>
      </c>
      <c r="O12" s="204">
        <f>SUM('30_CASHFLOW'!$B$33:$FZ$33)*IFERROR(O$7/'10_CAPEX-INGRESOS-PAGOS'!$H$28,0)</f>
        <v>0</v>
      </c>
      <c r="P12" s="204">
        <f>SUM('30_CASHFLOW'!$B$33:$FZ$33)*IFERROR(P$7/'10_CAPEX-INGRESOS-PAGOS'!$H$28,0)</f>
        <v>0</v>
      </c>
      <c r="Q12" s="204">
        <f>SUM('30_CASHFLOW'!$B$33:$FZ$33)*IFERROR(Q$7/'10_CAPEX-INGRESOS-PAGOS'!$H$28,0)</f>
        <v>0</v>
      </c>
      <c r="R12" s="204">
        <f>SUM('30_CASHFLOW'!$B$33:$FZ$33)*IFERROR(R$7/'10_CAPEX-INGRESOS-PAGOS'!$H$28,0)</f>
        <v>0</v>
      </c>
      <c r="S12" s="204">
        <f>SUM('30_CASHFLOW'!$B$33:$FZ$33)*IFERROR(S$7/'10_CAPEX-INGRESOS-PAGOS'!$H$28,0)</f>
        <v>0</v>
      </c>
      <c r="T12" s="204">
        <f>SUM('30_CASHFLOW'!$B$33:$FZ$33)*IFERROR(T$7/'10_CAPEX-INGRESOS-PAGOS'!$H$28,0)</f>
        <v>0</v>
      </c>
      <c r="U12" s="204">
        <f>SUM('30_CASHFLOW'!$B$33:$FZ$33)*IFERROR(U$7/'10_CAPEX-INGRESOS-PAGOS'!$H$28,0)</f>
        <v>0</v>
      </c>
      <c r="V12" s="204">
        <f>SUM('30_CASHFLOW'!$B$33:$FZ$33)*IFERROR(V$7/'10_CAPEX-INGRESOS-PAGOS'!$H$28,0)</f>
        <v>0</v>
      </c>
      <c r="W12" s="204">
        <f>SUM('30_CASHFLOW'!$B$33:$FZ$33)*IFERROR(W$7/'10_CAPEX-INGRESOS-PAGOS'!$H$28,0)</f>
        <v>0</v>
      </c>
      <c r="X12" s="204">
        <f>SUM('30_CASHFLOW'!$B$33:$FZ$33)*IFERROR(X$7/'10_CAPEX-INGRESOS-PAGOS'!$H$28,0)</f>
        <v>0</v>
      </c>
      <c r="Y12" s="204">
        <f>SUM('30_CASHFLOW'!$B$33:$FZ$33)*IFERROR(Y$7/'10_CAPEX-INGRESOS-PAGOS'!$H$28,0)</f>
        <v>0</v>
      </c>
      <c r="Z12" s="204">
        <f>SUM('30_CASHFLOW'!$B$33:$FZ$33)*IFERROR(Z$7/'10_CAPEX-INGRESOS-PAGOS'!$H$28,0)</f>
        <v>0</v>
      </c>
      <c r="AA12" s="204">
        <f>SUM('30_CASHFLOW'!$B$33:$FZ$33)*IFERROR(AA$7/'10_CAPEX-INGRESOS-PAGOS'!$H$28,0)</f>
        <v>0</v>
      </c>
      <c r="AB12" s="204">
        <f>SUM('30_CASHFLOW'!$B$33:$FZ$33)*IFERROR(AB$7/'10_CAPEX-INGRESOS-PAGOS'!$H$28,0)</f>
        <v>0</v>
      </c>
      <c r="AC12" s="204">
        <f>SUM('30_CASHFLOW'!$B$33:$FZ$33)*IFERROR(AC$7/'10_CAPEX-INGRESOS-PAGOS'!$H$28,0)</f>
        <v>0</v>
      </c>
      <c r="AD12" s="204">
        <f>SUM('30_CASHFLOW'!$B$33:$FZ$33)*IFERROR(AD$7/'10_CAPEX-INGRESOS-PAGOS'!$H$28,0)</f>
        <v>0</v>
      </c>
      <c r="AE12" s="204">
        <f>SUM('30_CASHFLOW'!$B$33:$FZ$33)*IFERROR(AE$7/'10_CAPEX-INGRESOS-PAGOS'!$H$28,0)</f>
        <v>0</v>
      </c>
      <c r="AF12" s="204">
        <f>SUM('30_CASHFLOW'!$B$33:$FZ$33)*IFERROR(AF$7/'10_CAPEX-INGRESOS-PAGOS'!$H$28,0)</f>
        <v>0</v>
      </c>
      <c r="AG12" s="204">
        <f>SUM('30_CASHFLOW'!$B$33:$FZ$33)*IFERROR(AG$7/'10_CAPEX-INGRESOS-PAGOS'!$H$28,0)</f>
        <v>0</v>
      </c>
      <c r="AH12" s="204">
        <f>SUM('30_CASHFLOW'!$B$33:$FZ$33)*IFERROR(AH$7/'10_CAPEX-INGRESOS-PAGOS'!$H$28,0)</f>
        <v>0</v>
      </c>
      <c r="AI12" s="204">
        <f>SUM('30_CASHFLOW'!$B$33:$FZ$33)*IFERROR(AI$7/'10_CAPEX-INGRESOS-PAGOS'!$H$28,0)</f>
        <v>0</v>
      </c>
      <c r="AJ12" s="204">
        <f>SUM('30_CASHFLOW'!$B$33:$FZ$33)*IFERROR(AJ$7/'10_CAPEX-INGRESOS-PAGOS'!$H$28,0)</f>
        <v>0</v>
      </c>
      <c r="AK12" s="204">
        <f>SUM('30_CASHFLOW'!$B$33:$FZ$33)*IFERROR(AK$7/'10_CAPEX-INGRESOS-PAGOS'!$H$28,0)</f>
        <v>324306.06390851695</v>
      </c>
      <c r="AL12" s="204">
        <f>SUM('30_CASHFLOW'!$B$33:$FZ$33)*IFERROR(AL$7/'10_CAPEX-INGRESOS-PAGOS'!$H$28,0)</f>
        <v>0</v>
      </c>
      <c r="AM12" s="204">
        <f>SUM('30_CASHFLOW'!$B$33:$FZ$33)*IFERROR(AM$7/'10_CAPEX-INGRESOS-PAGOS'!$H$28,0)</f>
        <v>0</v>
      </c>
      <c r="AN12" s="204">
        <f>SUM('30_CASHFLOW'!$B$33:$FZ$33)*IFERROR(AN$7/'10_CAPEX-INGRESOS-PAGOS'!$H$28,0)</f>
        <v>0</v>
      </c>
      <c r="AO12" s="204">
        <f>SUM('30_CASHFLOW'!$B$33:$FZ$33)*IFERROR(AO$7/'10_CAPEX-INGRESOS-PAGOS'!$H$28,0)</f>
        <v>0</v>
      </c>
      <c r="AP12" s="204">
        <f>SUM('30_CASHFLOW'!$B$33:$FZ$33)*IFERROR(AP$7/'10_CAPEX-INGRESOS-PAGOS'!$H$28,0)</f>
        <v>0</v>
      </c>
      <c r="AQ12" s="204">
        <f>SUM('30_CASHFLOW'!$B$33:$FZ$33)*IFERROR(AQ$7/'10_CAPEX-INGRESOS-PAGOS'!$H$28,0)</f>
        <v>0</v>
      </c>
      <c r="AR12" s="204">
        <f>SUM('30_CASHFLOW'!$B$33:$FZ$33)*IFERROR(AR$7/'10_CAPEX-INGRESOS-PAGOS'!$H$28,0)</f>
        <v>0</v>
      </c>
      <c r="AS12" s="204">
        <f>SUM('30_CASHFLOW'!$B$33:$FZ$33)*IFERROR(AS$7/'10_CAPEX-INGRESOS-PAGOS'!$H$28,0)</f>
        <v>0</v>
      </c>
      <c r="AT12" s="204">
        <f>SUM('30_CASHFLOW'!$B$33:$FZ$33)*IFERROR(AT$7/'10_CAPEX-INGRESOS-PAGOS'!$H$28,0)</f>
        <v>0</v>
      </c>
      <c r="AU12" s="204">
        <f>SUM('30_CASHFLOW'!$B$33:$FZ$33)*IFERROR(AU$7/'10_CAPEX-INGRESOS-PAGOS'!$H$28,0)</f>
        <v>0</v>
      </c>
      <c r="AV12" s="204">
        <f>SUM('30_CASHFLOW'!$B$33:$FZ$33)*IFERROR(AV$7/'10_CAPEX-INGRESOS-PAGOS'!$H$28,0)</f>
        <v>0</v>
      </c>
      <c r="AW12" s="204">
        <f>SUM('30_CASHFLOW'!$B$33:$FZ$33)*IFERROR(AW$7/'10_CAPEX-INGRESOS-PAGOS'!$H$28,0)</f>
        <v>0</v>
      </c>
      <c r="AX12" s="204">
        <f>SUM('30_CASHFLOW'!$B$33:$FZ$33)*IFERROR(AX$7/'10_CAPEX-INGRESOS-PAGOS'!$H$28,0)</f>
        <v>0</v>
      </c>
      <c r="AY12" s="204">
        <f>SUM('30_CASHFLOW'!$B$33:$FZ$33)*IFERROR(AY$7/'10_CAPEX-INGRESOS-PAGOS'!$H$28,0)</f>
        <v>0</v>
      </c>
      <c r="AZ12" s="204">
        <f>SUM('30_CASHFLOW'!$B$33:$FZ$33)*IFERROR(AZ$7/'10_CAPEX-INGRESOS-PAGOS'!$H$28,0)</f>
        <v>0</v>
      </c>
      <c r="BA12" s="204">
        <f>SUM('30_CASHFLOW'!$B$33:$FZ$33)*IFERROR(BA$7/'10_CAPEX-INGRESOS-PAGOS'!$H$28,0)</f>
        <v>0</v>
      </c>
      <c r="BB12" s="204">
        <f>SUM('30_CASHFLOW'!$B$33:$FZ$33)*IFERROR(BB$7/'10_CAPEX-INGRESOS-PAGOS'!$H$28,0)</f>
        <v>0</v>
      </c>
      <c r="BC12" s="204">
        <f>SUM('30_CASHFLOW'!$B$33:$FZ$33)*IFERROR(BC$7/'10_CAPEX-INGRESOS-PAGOS'!$H$28,0)</f>
        <v>0</v>
      </c>
      <c r="BD12" s="204">
        <f>SUM('30_CASHFLOW'!$B$33:$FZ$33)*IFERROR(BD$7/'10_CAPEX-INGRESOS-PAGOS'!$H$28,0)</f>
        <v>0</v>
      </c>
      <c r="BE12" s="204">
        <f>SUM('30_CASHFLOW'!$B$33:$FZ$33)*IFERROR(BE$7/'10_CAPEX-INGRESOS-PAGOS'!$H$28,0)</f>
        <v>0</v>
      </c>
      <c r="BF12" s="204">
        <f>SUM('30_CASHFLOW'!$B$33:$FZ$33)*IFERROR(BF$7/'10_CAPEX-INGRESOS-PAGOS'!$H$28,0)</f>
        <v>0</v>
      </c>
      <c r="BG12" s="204">
        <f>SUM('30_CASHFLOW'!$B$33:$FZ$33)*IFERROR(BG$7/'10_CAPEX-INGRESOS-PAGOS'!$H$28,0)</f>
        <v>0</v>
      </c>
      <c r="BH12" s="204">
        <f>SUM('30_CASHFLOW'!$B$33:$FZ$33)*IFERROR(BH$7/'10_CAPEX-INGRESOS-PAGOS'!$H$28,0)</f>
        <v>0</v>
      </c>
      <c r="BI12" s="204">
        <f>SUM('30_CASHFLOW'!$B$33:$FZ$33)*IFERROR(BI$7/'10_CAPEX-INGRESOS-PAGOS'!$H$28,0)</f>
        <v>0</v>
      </c>
    </row>
    <row r="13" spans="1:61" ht="15.75" thickBot="1" x14ac:dyDescent="0.3">
      <c r="A13" s="203" t="s">
        <v>272</v>
      </c>
      <c r="B13" s="204">
        <f>ABS('30_CASHFLOW'!B18)</f>
        <v>0</v>
      </c>
      <c r="C13" s="204">
        <f>ABS('30_CASHFLOW'!C18)</f>
        <v>0</v>
      </c>
      <c r="D13" s="204">
        <f>ABS('30_CASHFLOW'!D18)</f>
        <v>0</v>
      </c>
      <c r="E13" s="204">
        <f>ABS('30_CASHFLOW'!E18)</f>
        <v>0</v>
      </c>
      <c r="F13" s="204">
        <f>ABS('30_CASHFLOW'!F18)</f>
        <v>0</v>
      </c>
      <c r="G13" s="204">
        <f>ABS('30_CASHFLOW'!G18)</f>
        <v>0</v>
      </c>
      <c r="H13" s="204">
        <f>ABS('30_CASHFLOW'!H18)</f>
        <v>0</v>
      </c>
      <c r="I13" s="204">
        <f>ABS('30_CASHFLOW'!I18)</f>
        <v>0</v>
      </c>
      <c r="J13" s="204">
        <f>ABS('30_CASHFLOW'!J18)</f>
        <v>0</v>
      </c>
      <c r="K13" s="204">
        <f>ABS('30_CASHFLOW'!K18)</f>
        <v>0</v>
      </c>
      <c r="L13" s="204">
        <f>ABS('30_CASHFLOW'!L18)</f>
        <v>0</v>
      </c>
      <c r="M13" s="204">
        <f>ABS('30_CASHFLOW'!M18)</f>
        <v>0</v>
      </c>
      <c r="N13" s="204">
        <f>ABS('30_CASHFLOW'!N18)</f>
        <v>0</v>
      </c>
      <c r="O13" s="204">
        <f>ABS('30_CASHFLOW'!O18)</f>
        <v>0</v>
      </c>
      <c r="P13" s="204">
        <f>ABS('30_CASHFLOW'!P18)</f>
        <v>0</v>
      </c>
      <c r="Q13" s="204">
        <f>ABS('30_CASHFLOW'!Q18)</f>
        <v>0</v>
      </c>
      <c r="R13" s="204">
        <f>ABS('30_CASHFLOW'!R18)</f>
        <v>0</v>
      </c>
      <c r="S13" s="204">
        <f>ABS('30_CASHFLOW'!S18)</f>
        <v>0</v>
      </c>
      <c r="T13" s="204">
        <f>ABS('30_CASHFLOW'!T18)</f>
        <v>0</v>
      </c>
      <c r="U13" s="204">
        <f>ABS('30_CASHFLOW'!U18)</f>
        <v>0</v>
      </c>
      <c r="V13" s="204">
        <f>ABS('30_CASHFLOW'!V18)</f>
        <v>0</v>
      </c>
      <c r="W13" s="204">
        <f>ABS('30_CASHFLOW'!W18)</f>
        <v>0</v>
      </c>
      <c r="X13" s="204">
        <f>ABS('30_CASHFLOW'!X18)</f>
        <v>0</v>
      </c>
      <c r="Y13" s="204">
        <f>ABS('30_CASHFLOW'!Y18)</f>
        <v>26812.5</v>
      </c>
      <c r="Z13" s="204">
        <f>ABS('30_CASHFLOW'!Z18)</f>
        <v>26812.5</v>
      </c>
      <c r="AA13" s="204">
        <f>ABS('30_CASHFLOW'!AA18)</f>
        <v>26812.5</v>
      </c>
      <c r="AB13" s="204">
        <f>ABS('30_CASHFLOW'!AB18)</f>
        <v>26812.5</v>
      </c>
      <c r="AC13" s="204">
        <f>ABS('30_CASHFLOW'!AC18)</f>
        <v>26812.5</v>
      </c>
      <c r="AD13" s="204">
        <f>ABS('30_CASHFLOW'!AD18)</f>
        <v>26812.5</v>
      </c>
      <c r="AE13" s="204">
        <f>ABS('30_CASHFLOW'!AE18)</f>
        <v>26812.5</v>
      </c>
      <c r="AF13" s="204">
        <f>ABS('30_CASHFLOW'!AF18)</f>
        <v>26812.5</v>
      </c>
      <c r="AG13" s="204">
        <f>ABS('30_CASHFLOW'!AG18)</f>
        <v>26812.5</v>
      </c>
      <c r="AH13" s="204">
        <f>ABS('30_CASHFLOW'!AH18)</f>
        <v>26812.5</v>
      </c>
      <c r="AI13" s="204">
        <f>ABS('30_CASHFLOW'!AI18)</f>
        <v>10725</v>
      </c>
      <c r="AJ13" s="204">
        <f>ABS('30_CASHFLOW'!AJ18)</f>
        <v>0</v>
      </c>
      <c r="AK13" s="204">
        <f>ABS('30_CASHFLOW'!AK18)</f>
        <v>0</v>
      </c>
      <c r="AL13" s="204">
        <f>ABS('30_CASHFLOW'!AL18)</f>
        <v>0</v>
      </c>
      <c r="AM13" s="204">
        <f>ABS('30_CASHFLOW'!AM18)</f>
        <v>0</v>
      </c>
      <c r="AN13" s="204">
        <f>ABS('30_CASHFLOW'!AN18)</f>
        <v>0</v>
      </c>
      <c r="AO13" s="204">
        <f>ABS('30_CASHFLOW'!AO18)</f>
        <v>0</v>
      </c>
      <c r="AP13" s="204">
        <f>ABS('30_CASHFLOW'!AP18)</f>
        <v>0</v>
      </c>
      <c r="AQ13" s="204">
        <f>ABS('30_CASHFLOW'!AQ18)</f>
        <v>0</v>
      </c>
      <c r="AR13" s="204">
        <f>ABS('30_CASHFLOW'!AR18)</f>
        <v>0</v>
      </c>
      <c r="AS13" s="204">
        <f>ABS('30_CASHFLOW'!AS18)</f>
        <v>0</v>
      </c>
      <c r="AT13" s="204">
        <f>ABS('30_CASHFLOW'!AT18)</f>
        <v>0</v>
      </c>
      <c r="AU13" s="204">
        <f>ABS('30_CASHFLOW'!AU18)</f>
        <v>0</v>
      </c>
      <c r="AV13" s="204">
        <f>ABS('30_CASHFLOW'!AV18)</f>
        <v>0</v>
      </c>
      <c r="AW13" s="204">
        <f>ABS('30_CASHFLOW'!AW18)</f>
        <v>0</v>
      </c>
      <c r="AX13" s="204">
        <f>ABS('30_CASHFLOW'!AX18)</f>
        <v>0</v>
      </c>
      <c r="AY13" s="204">
        <f>ABS('30_CASHFLOW'!AY18)</f>
        <v>0</v>
      </c>
      <c r="AZ13" s="204">
        <f>ABS('30_CASHFLOW'!AZ18)</f>
        <v>0</v>
      </c>
      <c r="BA13" s="204">
        <f>ABS('30_CASHFLOW'!BA18)</f>
        <v>0</v>
      </c>
      <c r="BB13" s="204">
        <f>ABS('30_CASHFLOW'!BB18)</f>
        <v>0</v>
      </c>
      <c r="BC13" s="204">
        <f>ABS('30_CASHFLOW'!BC18)</f>
        <v>0</v>
      </c>
      <c r="BD13" s="204">
        <f>ABS('30_CASHFLOW'!BD18)</f>
        <v>0</v>
      </c>
      <c r="BE13" s="204">
        <f>ABS('30_CASHFLOW'!BE18)</f>
        <v>0</v>
      </c>
      <c r="BF13" s="204">
        <f>ABS('30_CASHFLOW'!BF18)</f>
        <v>0</v>
      </c>
      <c r="BG13" s="204">
        <f>ABS('30_CASHFLOW'!BG18)</f>
        <v>0</v>
      </c>
      <c r="BH13" s="204">
        <f>ABS('30_CASHFLOW'!BH18)</f>
        <v>0</v>
      </c>
      <c r="BI13" s="204">
        <f>ABS('30_CASHFLOW'!BI18)</f>
        <v>0</v>
      </c>
    </row>
    <row r="14" spans="1:61" ht="15.75" customHeight="1" x14ac:dyDescent="0.25">
      <c r="A14" s="153" t="s">
        <v>308</v>
      </c>
      <c r="B14" s="166">
        <f>SUM(B10:B13)</f>
        <v>0</v>
      </c>
      <c r="C14" s="166">
        <f t="shared" ref="C14:AG14" si="2">SUM(C10:C13)</f>
        <v>0</v>
      </c>
      <c r="D14" s="166">
        <f t="shared" si="2"/>
        <v>0</v>
      </c>
      <c r="E14" s="166">
        <f t="shared" si="2"/>
        <v>0</v>
      </c>
      <c r="F14" s="166">
        <f t="shared" si="2"/>
        <v>0</v>
      </c>
      <c r="G14" s="166">
        <f t="shared" si="2"/>
        <v>0</v>
      </c>
      <c r="H14" s="166">
        <f t="shared" si="2"/>
        <v>0</v>
      </c>
      <c r="I14" s="166">
        <f t="shared" si="2"/>
        <v>0</v>
      </c>
      <c r="J14" s="166">
        <f t="shared" si="2"/>
        <v>0</v>
      </c>
      <c r="K14" s="166">
        <f t="shared" si="2"/>
        <v>0</v>
      </c>
      <c r="L14" s="166">
        <f t="shared" si="2"/>
        <v>0</v>
      </c>
      <c r="M14" s="166">
        <f t="shared" si="2"/>
        <v>0</v>
      </c>
      <c r="N14" s="166">
        <f t="shared" si="2"/>
        <v>0</v>
      </c>
      <c r="O14" s="166">
        <f t="shared" si="2"/>
        <v>0</v>
      </c>
      <c r="P14" s="166">
        <f t="shared" si="2"/>
        <v>0</v>
      </c>
      <c r="Q14" s="166">
        <f t="shared" si="2"/>
        <v>0</v>
      </c>
      <c r="R14" s="166">
        <f t="shared" si="2"/>
        <v>0</v>
      </c>
      <c r="S14" s="166">
        <f t="shared" si="2"/>
        <v>0</v>
      </c>
      <c r="T14" s="166">
        <f t="shared" si="2"/>
        <v>0</v>
      </c>
      <c r="U14" s="166">
        <f t="shared" si="2"/>
        <v>0</v>
      </c>
      <c r="V14" s="166">
        <f t="shared" si="2"/>
        <v>0</v>
      </c>
      <c r="W14" s="166">
        <f t="shared" si="2"/>
        <v>0</v>
      </c>
      <c r="X14" s="166">
        <f t="shared" si="2"/>
        <v>0</v>
      </c>
      <c r="Y14" s="166">
        <f t="shared" si="2"/>
        <v>26812.5</v>
      </c>
      <c r="Z14" s="166">
        <f t="shared" si="2"/>
        <v>26812.5</v>
      </c>
      <c r="AA14" s="166">
        <f t="shared" si="2"/>
        <v>26812.5</v>
      </c>
      <c r="AB14" s="166">
        <f t="shared" si="2"/>
        <v>26812.5</v>
      </c>
      <c r="AC14" s="166">
        <f t="shared" si="2"/>
        <v>26812.5</v>
      </c>
      <c r="AD14" s="166">
        <f t="shared" si="2"/>
        <v>26812.5</v>
      </c>
      <c r="AE14" s="166">
        <f t="shared" si="2"/>
        <v>26812.5</v>
      </c>
      <c r="AF14" s="166">
        <f t="shared" si="2"/>
        <v>26812.5</v>
      </c>
      <c r="AG14" s="166">
        <f t="shared" si="2"/>
        <v>26812.5</v>
      </c>
      <c r="AH14" s="166">
        <f t="shared" ref="AH14:BI14" si="3">SUM(AH10:AH13)</f>
        <v>26812.5</v>
      </c>
      <c r="AI14" s="166">
        <f t="shared" si="3"/>
        <v>10725</v>
      </c>
      <c r="AJ14" s="166">
        <f t="shared" si="3"/>
        <v>0</v>
      </c>
      <c r="AK14" s="166">
        <f t="shared" si="3"/>
        <v>7980179.7439085227</v>
      </c>
      <c r="AL14" s="166">
        <f t="shared" si="3"/>
        <v>0</v>
      </c>
      <c r="AM14" s="166">
        <f t="shared" si="3"/>
        <v>0</v>
      </c>
      <c r="AN14" s="166">
        <f t="shared" si="3"/>
        <v>0</v>
      </c>
      <c r="AO14" s="166">
        <f t="shared" si="3"/>
        <v>0</v>
      </c>
      <c r="AP14" s="166">
        <f t="shared" si="3"/>
        <v>0</v>
      </c>
      <c r="AQ14" s="166">
        <f t="shared" si="3"/>
        <v>0</v>
      </c>
      <c r="AR14" s="166">
        <f t="shared" si="3"/>
        <v>0</v>
      </c>
      <c r="AS14" s="166">
        <f t="shared" si="3"/>
        <v>0</v>
      </c>
      <c r="AT14" s="166">
        <f t="shared" si="3"/>
        <v>0</v>
      </c>
      <c r="AU14" s="166">
        <f t="shared" si="3"/>
        <v>0</v>
      </c>
      <c r="AV14" s="166">
        <f t="shared" si="3"/>
        <v>0</v>
      </c>
      <c r="AW14" s="166">
        <f t="shared" si="3"/>
        <v>0</v>
      </c>
      <c r="AX14" s="166">
        <f t="shared" si="3"/>
        <v>0</v>
      </c>
      <c r="AY14" s="166">
        <f t="shared" si="3"/>
        <v>0</v>
      </c>
      <c r="AZ14" s="166">
        <f t="shared" si="3"/>
        <v>0</v>
      </c>
      <c r="BA14" s="166">
        <f t="shared" si="3"/>
        <v>0</v>
      </c>
      <c r="BB14" s="166">
        <f t="shared" si="3"/>
        <v>0</v>
      </c>
      <c r="BC14" s="166">
        <f t="shared" si="3"/>
        <v>0</v>
      </c>
      <c r="BD14" s="166">
        <f t="shared" si="3"/>
        <v>0</v>
      </c>
      <c r="BE14" s="166">
        <f t="shared" si="3"/>
        <v>0</v>
      </c>
      <c r="BF14" s="166">
        <f t="shared" si="3"/>
        <v>0</v>
      </c>
      <c r="BG14" s="166">
        <f t="shared" si="3"/>
        <v>0</v>
      </c>
      <c r="BH14" s="166">
        <f t="shared" si="3"/>
        <v>0</v>
      </c>
      <c r="BI14" s="166">
        <f t="shared" si="3"/>
        <v>0</v>
      </c>
    </row>
    <row r="15" spans="1:61" ht="15.75" thickBot="1" x14ac:dyDescent="0.3">
      <c r="B15" s="204"/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  <c r="AA15" s="204"/>
      <c r="AB15" s="204"/>
      <c r="AC15" s="204"/>
      <c r="AD15" s="204"/>
      <c r="AE15" s="204"/>
      <c r="AF15" s="204"/>
      <c r="AG15" s="204"/>
      <c r="AH15" s="204"/>
      <c r="AI15" s="204"/>
      <c r="AJ15" s="204"/>
      <c r="AK15" s="204"/>
      <c r="AL15" s="204"/>
      <c r="AM15" s="204"/>
      <c r="AN15" s="204"/>
      <c r="AO15" s="204"/>
      <c r="AP15" s="204"/>
      <c r="AQ15" s="204"/>
      <c r="AR15" s="204"/>
      <c r="AS15" s="204"/>
      <c r="AT15" s="204"/>
      <c r="AU15" s="204"/>
      <c r="AV15" s="204"/>
      <c r="AW15" s="204"/>
      <c r="AX15" s="204"/>
      <c r="AY15" s="204"/>
      <c r="AZ15" s="204"/>
      <c r="BA15" s="204"/>
      <c r="BB15" s="204"/>
      <c r="BC15" s="204"/>
      <c r="BD15" s="204"/>
      <c r="BE15" s="204"/>
      <c r="BF15" s="204"/>
      <c r="BG15" s="204"/>
      <c r="BH15" s="204"/>
      <c r="BI15" s="204"/>
    </row>
    <row r="16" spans="1:61" ht="15.75" customHeight="1" x14ac:dyDescent="0.25">
      <c r="A16" s="153" t="s">
        <v>309</v>
      </c>
      <c r="B16" s="166">
        <f t="shared" ref="B16:AG16" si="4">B7-B14</f>
        <v>0</v>
      </c>
      <c r="C16" s="166">
        <f t="shared" si="4"/>
        <v>0</v>
      </c>
      <c r="D16" s="166">
        <f t="shared" si="4"/>
        <v>0</v>
      </c>
      <c r="E16" s="166">
        <f t="shared" si="4"/>
        <v>0</v>
      </c>
      <c r="F16" s="166">
        <f t="shared" si="4"/>
        <v>0</v>
      </c>
      <c r="G16" s="166">
        <f t="shared" si="4"/>
        <v>0</v>
      </c>
      <c r="H16" s="166">
        <f t="shared" si="4"/>
        <v>0</v>
      </c>
      <c r="I16" s="166">
        <f t="shared" si="4"/>
        <v>0</v>
      </c>
      <c r="J16" s="166">
        <f t="shared" si="4"/>
        <v>0</v>
      </c>
      <c r="K16" s="166">
        <f t="shared" si="4"/>
        <v>0</v>
      </c>
      <c r="L16" s="166">
        <f t="shared" si="4"/>
        <v>0</v>
      </c>
      <c r="M16" s="166">
        <f t="shared" si="4"/>
        <v>0</v>
      </c>
      <c r="N16" s="166">
        <f t="shared" si="4"/>
        <v>0</v>
      </c>
      <c r="O16" s="166">
        <f t="shared" si="4"/>
        <v>0</v>
      </c>
      <c r="P16" s="166">
        <f t="shared" si="4"/>
        <v>0</v>
      </c>
      <c r="Q16" s="166">
        <f t="shared" si="4"/>
        <v>0</v>
      </c>
      <c r="R16" s="166">
        <f t="shared" si="4"/>
        <v>0</v>
      </c>
      <c r="S16" s="166">
        <f t="shared" si="4"/>
        <v>0</v>
      </c>
      <c r="T16" s="166">
        <f t="shared" si="4"/>
        <v>0</v>
      </c>
      <c r="U16" s="166">
        <f t="shared" si="4"/>
        <v>0</v>
      </c>
      <c r="V16" s="166">
        <f t="shared" si="4"/>
        <v>0</v>
      </c>
      <c r="W16" s="166">
        <f t="shared" si="4"/>
        <v>0</v>
      </c>
      <c r="X16" s="166">
        <f t="shared" si="4"/>
        <v>0</v>
      </c>
      <c r="Y16" s="166">
        <f t="shared" si="4"/>
        <v>-26812.5</v>
      </c>
      <c r="Z16" s="166">
        <f t="shared" si="4"/>
        <v>-26812.5</v>
      </c>
      <c r="AA16" s="166">
        <f t="shared" si="4"/>
        <v>-26812.5</v>
      </c>
      <c r="AB16" s="166">
        <f t="shared" si="4"/>
        <v>-26812.5</v>
      </c>
      <c r="AC16" s="166">
        <f t="shared" si="4"/>
        <v>-26812.5</v>
      </c>
      <c r="AD16" s="166">
        <f t="shared" si="4"/>
        <v>-26812.5</v>
      </c>
      <c r="AE16" s="166">
        <f t="shared" si="4"/>
        <v>-26812.5</v>
      </c>
      <c r="AF16" s="166">
        <f t="shared" si="4"/>
        <v>-26812.5</v>
      </c>
      <c r="AG16" s="166">
        <f t="shared" si="4"/>
        <v>-26812.5</v>
      </c>
      <c r="AH16" s="166">
        <f t="shared" ref="AH16:BI16" si="5">AH7-AH14</f>
        <v>-26812.5</v>
      </c>
      <c r="AI16" s="166">
        <f t="shared" si="5"/>
        <v>-10725</v>
      </c>
      <c r="AJ16" s="166">
        <f t="shared" si="5"/>
        <v>0</v>
      </c>
      <c r="AK16" s="166">
        <f t="shared" si="5"/>
        <v>1314820.2560914773</v>
      </c>
      <c r="AL16" s="166">
        <f t="shared" si="5"/>
        <v>0</v>
      </c>
      <c r="AM16" s="166">
        <f t="shared" si="5"/>
        <v>0</v>
      </c>
      <c r="AN16" s="166">
        <f t="shared" si="5"/>
        <v>0</v>
      </c>
      <c r="AO16" s="166">
        <f t="shared" si="5"/>
        <v>0</v>
      </c>
      <c r="AP16" s="166">
        <f t="shared" si="5"/>
        <v>0</v>
      </c>
      <c r="AQ16" s="166">
        <f t="shared" si="5"/>
        <v>0</v>
      </c>
      <c r="AR16" s="166">
        <f t="shared" si="5"/>
        <v>0</v>
      </c>
      <c r="AS16" s="166">
        <f t="shared" si="5"/>
        <v>0</v>
      </c>
      <c r="AT16" s="166">
        <f t="shared" si="5"/>
        <v>0</v>
      </c>
      <c r="AU16" s="166">
        <f t="shared" si="5"/>
        <v>0</v>
      </c>
      <c r="AV16" s="166">
        <f t="shared" si="5"/>
        <v>0</v>
      </c>
      <c r="AW16" s="166">
        <f t="shared" si="5"/>
        <v>0</v>
      </c>
      <c r="AX16" s="166">
        <f t="shared" si="5"/>
        <v>0</v>
      </c>
      <c r="AY16" s="166">
        <f t="shared" si="5"/>
        <v>0</v>
      </c>
      <c r="AZ16" s="166">
        <f t="shared" si="5"/>
        <v>0</v>
      </c>
      <c r="BA16" s="166">
        <f t="shared" si="5"/>
        <v>0</v>
      </c>
      <c r="BB16" s="166">
        <f t="shared" si="5"/>
        <v>0</v>
      </c>
      <c r="BC16" s="166">
        <f t="shared" si="5"/>
        <v>0</v>
      </c>
      <c r="BD16" s="166">
        <f t="shared" si="5"/>
        <v>0</v>
      </c>
      <c r="BE16" s="166">
        <f t="shared" si="5"/>
        <v>0</v>
      </c>
      <c r="BF16" s="166">
        <f t="shared" si="5"/>
        <v>0</v>
      </c>
      <c r="BG16" s="166">
        <f t="shared" si="5"/>
        <v>0</v>
      </c>
      <c r="BH16" s="166">
        <f t="shared" si="5"/>
        <v>0</v>
      </c>
      <c r="BI16" s="166">
        <f t="shared" si="5"/>
        <v>0</v>
      </c>
    </row>
    <row r="18" spans="1:61" x14ac:dyDescent="0.25">
      <c r="A18" s="164" t="s">
        <v>310</v>
      </c>
      <c r="B18" s="165"/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65"/>
      <c r="AU18" s="165"/>
      <c r="AV18" s="165"/>
      <c r="AW18" s="165"/>
      <c r="AX18" s="165"/>
      <c r="AY18" s="165"/>
      <c r="AZ18" s="165"/>
      <c r="BA18" s="165"/>
      <c r="BB18" s="165"/>
      <c r="BC18" s="165"/>
      <c r="BD18" s="165"/>
      <c r="BE18" s="165"/>
      <c r="BF18" s="165"/>
      <c r="BG18" s="165"/>
      <c r="BH18" s="165"/>
      <c r="BI18" s="165"/>
    </row>
    <row r="19" spans="1:61" ht="15.75" customHeight="1" x14ac:dyDescent="0.25">
      <c r="A19" s="203" t="s">
        <v>311</v>
      </c>
      <c r="B19" s="168">
        <f>ABS('30_CASHFLOW'!B34)</f>
        <v>0</v>
      </c>
      <c r="C19" s="168">
        <f>ABS('30_CASHFLOW'!C34)</f>
        <v>0</v>
      </c>
      <c r="D19" s="168">
        <f>ABS('30_CASHFLOW'!D34)</f>
        <v>0</v>
      </c>
      <c r="E19" s="168">
        <f>ABS('30_CASHFLOW'!E34)</f>
        <v>0</v>
      </c>
      <c r="F19" s="168">
        <f>ABS('30_CASHFLOW'!F34)</f>
        <v>0</v>
      </c>
      <c r="G19" s="168">
        <f>ABS('30_CASHFLOW'!G34)</f>
        <v>0</v>
      </c>
      <c r="H19" s="168">
        <f>ABS('30_CASHFLOW'!H34)</f>
        <v>0</v>
      </c>
      <c r="I19" s="168">
        <f>ABS('30_CASHFLOW'!I34)</f>
        <v>0</v>
      </c>
      <c r="J19" s="168">
        <f>ABS('30_CASHFLOW'!J34)</f>
        <v>0</v>
      </c>
      <c r="K19" s="168">
        <f>ABS('30_CASHFLOW'!K34)</f>
        <v>0</v>
      </c>
      <c r="L19" s="168">
        <f>ABS('30_CASHFLOW'!L34)</f>
        <v>0</v>
      </c>
      <c r="M19" s="168">
        <f>ABS('30_CASHFLOW'!M34)</f>
        <v>0</v>
      </c>
      <c r="N19" s="168">
        <f>ABS('30_CASHFLOW'!N34)</f>
        <v>0</v>
      </c>
      <c r="O19" s="168">
        <f>ABS('30_CASHFLOW'!O34)</f>
        <v>0</v>
      </c>
      <c r="P19" s="168">
        <f>ABS('30_CASHFLOW'!P34)</f>
        <v>0</v>
      </c>
      <c r="Q19" s="168">
        <f>ABS('30_CASHFLOW'!Q34)</f>
        <v>0</v>
      </c>
      <c r="R19" s="168">
        <f>ABS('30_CASHFLOW'!R34)</f>
        <v>0</v>
      </c>
      <c r="S19" s="168">
        <f>ABS('30_CASHFLOW'!S34)</f>
        <v>0</v>
      </c>
      <c r="T19" s="168">
        <f>ABS('30_CASHFLOW'!T34)</f>
        <v>0</v>
      </c>
      <c r="U19" s="168">
        <f>ABS('30_CASHFLOW'!U34)</f>
        <v>0</v>
      </c>
      <c r="V19" s="168">
        <f>ABS('30_CASHFLOW'!V34)</f>
        <v>0</v>
      </c>
      <c r="W19" s="168">
        <f>ABS('30_CASHFLOW'!W34)</f>
        <v>0</v>
      </c>
      <c r="X19" s="168">
        <f>ABS('30_CASHFLOW'!X34)</f>
        <v>0</v>
      </c>
      <c r="Y19" s="168">
        <f>ABS('30_CASHFLOW'!Y34)</f>
        <v>0</v>
      </c>
      <c r="Z19" s="168">
        <f>ABS('30_CASHFLOW'!Z34)</f>
        <v>0</v>
      </c>
      <c r="AA19" s="168">
        <f>ABS('30_CASHFLOW'!AA34)</f>
        <v>0</v>
      </c>
      <c r="AB19" s="168">
        <f>ABS('30_CASHFLOW'!AB34)</f>
        <v>0</v>
      </c>
      <c r="AC19" s="168">
        <f>ABS('30_CASHFLOW'!AC34)</f>
        <v>0</v>
      </c>
      <c r="AD19" s="168">
        <f>ABS('30_CASHFLOW'!AD34)</f>
        <v>0</v>
      </c>
      <c r="AE19" s="168">
        <f>ABS('30_CASHFLOW'!AE34)</f>
        <v>0</v>
      </c>
      <c r="AF19" s="168">
        <f>ABS('30_CASHFLOW'!AF34)</f>
        <v>0</v>
      </c>
      <c r="AG19" s="168">
        <f>ABS('30_CASHFLOW'!AG34)</f>
        <v>0</v>
      </c>
      <c r="AH19" s="168">
        <f>ABS('30_CASHFLOW'!AH34)</f>
        <v>0</v>
      </c>
      <c r="AI19" s="168">
        <f>ABS('30_CASHFLOW'!AI34)</f>
        <v>0</v>
      </c>
      <c r="AJ19" s="168">
        <f>ABS('30_CASHFLOW'!AJ34)</f>
        <v>0</v>
      </c>
      <c r="AK19" s="168">
        <f>ABS('30_CASHFLOW'!AK34)</f>
        <v>20768.545672914046</v>
      </c>
      <c r="AL19" s="168">
        <f>ABS('30_CASHFLOW'!AL34)</f>
        <v>0</v>
      </c>
      <c r="AM19" s="168">
        <f>ABS('30_CASHFLOW'!AM34)</f>
        <v>0</v>
      </c>
      <c r="AN19" s="168">
        <f>ABS('30_CASHFLOW'!AN34)</f>
        <v>0</v>
      </c>
      <c r="AO19" s="168">
        <f>ABS('30_CASHFLOW'!AO34)</f>
        <v>0</v>
      </c>
      <c r="AP19" s="168">
        <f>ABS('30_CASHFLOW'!AP34)</f>
        <v>0</v>
      </c>
      <c r="AQ19" s="168">
        <f>ABS('30_CASHFLOW'!AQ34)</f>
        <v>0</v>
      </c>
      <c r="AR19" s="168">
        <f>ABS('30_CASHFLOW'!AR34)</f>
        <v>0</v>
      </c>
      <c r="AS19" s="168">
        <f>ABS('30_CASHFLOW'!AS34)</f>
        <v>0</v>
      </c>
      <c r="AT19" s="168">
        <f>ABS('30_CASHFLOW'!AT34)</f>
        <v>0</v>
      </c>
      <c r="AU19" s="168">
        <f>ABS('30_CASHFLOW'!AU34)</f>
        <v>0</v>
      </c>
      <c r="AV19" s="168">
        <f>ABS('30_CASHFLOW'!AV34)</f>
        <v>0</v>
      </c>
      <c r="AW19" s="168">
        <f>ABS('30_CASHFLOW'!AW34)</f>
        <v>0</v>
      </c>
      <c r="AX19" s="168">
        <f>ABS('30_CASHFLOW'!AX34)</f>
        <v>0</v>
      </c>
      <c r="AY19" s="168">
        <f>ABS('30_CASHFLOW'!AY34)</f>
        <v>0</v>
      </c>
      <c r="AZ19" s="168">
        <f>ABS('30_CASHFLOW'!AZ34)</f>
        <v>0</v>
      </c>
      <c r="BA19" s="168">
        <f>ABS('30_CASHFLOW'!BA34)</f>
        <v>0</v>
      </c>
      <c r="BB19" s="168">
        <f>ABS('30_CASHFLOW'!BB34)</f>
        <v>0</v>
      </c>
      <c r="BC19" s="168">
        <f>ABS('30_CASHFLOW'!BC34)</f>
        <v>0</v>
      </c>
      <c r="BD19" s="168">
        <f>ABS('30_CASHFLOW'!BD34)</f>
        <v>0</v>
      </c>
      <c r="BE19" s="168">
        <f>ABS('30_CASHFLOW'!BE34)</f>
        <v>0</v>
      </c>
      <c r="BF19" s="168">
        <f>ABS('30_CASHFLOW'!BF34)</f>
        <v>0</v>
      </c>
      <c r="BG19" s="168">
        <f>ABS('30_CASHFLOW'!BG34)</f>
        <v>0</v>
      </c>
      <c r="BH19" s="168">
        <f>ABS('30_CASHFLOW'!BH34)</f>
        <v>0</v>
      </c>
      <c r="BI19" s="168">
        <f>ABS('30_CASHFLOW'!BI34)</f>
        <v>0</v>
      </c>
    </row>
    <row r="20" spans="1:61" ht="15.75" thickBot="1" x14ac:dyDescent="0.3">
      <c r="A20" s="203" t="s">
        <v>312</v>
      </c>
      <c r="B20" s="168">
        <f>ABS('30_CASHFLOW'!B36)</f>
        <v>0</v>
      </c>
      <c r="C20" s="168">
        <f>ABS('30_CASHFLOW'!C36)</f>
        <v>0</v>
      </c>
      <c r="D20" s="168">
        <f>ABS('30_CASHFLOW'!D36)</f>
        <v>0</v>
      </c>
      <c r="E20" s="168">
        <f>ABS('30_CASHFLOW'!E36)</f>
        <v>0</v>
      </c>
      <c r="F20" s="168">
        <f>ABS('30_CASHFLOW'!F36)</f>
        <v>0</v>
      </c>
      <c r="G20" s="168">
        <f>ABS('30_CASHFLOW'!G36)</f>
        <v>0</v>
      </c>
      <c r="H20" s="168">
        <f>ABS('30_CASHFLOW'!H36)</f>
        <v>0</v>
      </c>
      <c r="I20" s="168">
        <f>ABS('30_CASHFLOW'!I36)</f>
        <v>0</v>
      </c>
      <c r="J20" s="168">
        <f>ABS('30_CASHFLOW'!J36)</f>
        <v>0</v>
      </c>
      <c r="K20" s="168">
        <f>ABS('30_CASHFLOW'!K36)</f>
        <v>0</v>
      </c>
      <c r="L20" s="168">
        <f>ABS('30_CASHFLOW'!L36)</f>
        <v>0</v>
      </c>
      <c r="M20" s="168">
        <f>ABS('30_CASHFLOW'!M36)</f>
        <v>33305.519520000031</v>
      </c>
      <c r="N20" s="168">
        <f>ABS('30_CASHFLOW'!N36)</f>
        <v>1640.5552800000014</v>
      </c>
      <c r="O20" s="168">
        <f>ABS('30_CASHFLOW'!O36)</f>
        <v>1528.1884800000014</v>
      </c>
      <c r="P20" s="168">
        <f>ABS('30_CASHFLOW'!P36)</f>
        <v>1415.8216800000016</v>
      </c>
      <c r="Q20" s="168">
        <f>ABS('30_CASHFLOW'!Q36)</f>
        <v>1303.4548800000014</v>
      </c>
      <c r="R20" s="168">
        <f>ABS('30_CASHFLOW'!R36)</f>
        <v>1191.0880800000011</v>
      </c>
      <c r="S20" s="168">
        <f>ABS('30_CASHFLOW'!S36)</f>
        <v>1078.7212800000013</v>
      </c>
      <c r="T20" s="168">
        <f>ABS('30_CASHFLOW'!T36)</f>
        <v>966.35448000000133</v>
      </c>
      <c r="U20" s="168">
        <f>ABS('30_CASHFLOW'!U36)</f>
        <v>853.98768000000121</v>
      </c>
      <c r="V20" s="168">
        <f>ABS('30_CASHFLOW'!V36)</f>
        <v>741.62088000000108</v>
      </c>
      <c r="W20" s="168">
        <f>ABS('30_CASHFLOW'!W36)</f>
        <v>629.25408000000095</v>
      </c>
      <c r="X20" s="168">
        <f>ABS('30_CASHFLOW'!X36)</f>
        <v>516.88728000000083</v>
      </c>
      <c r="Y20" s="168">
        <f>ABS('30_CASHFLOW'!Y36)</f>
        <v>404.5204800000007</v>
      </c>
      <c r="Z20" s="168">
        <f>ABS('30_CASHFLOW'!Z36)</f>
        <v>292.15368000000058</v>
      </c>
      <c r="AA20" s="168">
        <f>ABS('30_CASHFLOW'!AA36)</f>
        <v>179.78688000000045</v>
      </c>
      <c r="AB20" s="168">
        <f>ABS('30_CASHFLOW'!AB36)</f>
        <v>67.420080000000311</v>
      </c>
      <c r="AC20" s="168">
        <f>ABS('30_CASHFLOW'!AC36)</f>
        <v>0</v>
      </c>
      <c r="AD20" s="168">
        <f>ABS('30_CASHFLOW'!AD36)</f>
        <v>0</v>
      </c>
      <c r="AE20" s="168">
        <f>ABS('30_CASHFLOW'!AE36)</f>
        <v>0</v>
      </c>
      <c r="AF20" s="168">
        <f>ABS('30_CASHFLOW'!AF36)</f>
        <v>0</v>
      </c>
      <c r="AG20" s="168">
        <f>ABS('30_CASHFLOW'!AG36)</f>
        <v>0</v>
      </c>
      <c r="AH20" s="168">
        <f>ABS('30_CASHFLOW'!AH36)</f>
        <v>0</v>
      </c>
      <c r="AI20" s="168">
        <f>ABS('30_CASHFLOW'!AI36)</f>
        <v>0</v>
      </c>
      <c r="AJ20" s="168">
        <f>ABS('30_CASHFLOW'!AJ36)</f>
        <v>0</v>
      </c>
      <c r="AK20" s="168">
        <f>ABS('30_CASHFLOW'!AK36)</f>
        <v>0</v>
      </c>
      <c r="AL20" s="168">
        <f>ABS('30_CASHFLOW'!AL36)</f>
        <v>0</v>
      </c>
      <c r="AM20" s="168">
        <f>ABS('30_CASHFLOW'!AM36)</f>
        <v>0</v>
      </c>
      <c r="AN20" s="168">
        <f>ABS('30_CASHFLOW'!AN36)</f>
        <v>0</v>
      </c>
      <c r="AO20" s="168">
        <f>ABS('30_CASHFLOW'!AO36)</f>
        <v>0</v>
      </c>
      <c r="AP20" s="168">
        <f>ABS('30_CASHFLOW'!AP36)</f>
        <v>0</v>
      </c>
      <c r="AQ20" s="168">
        <f>ABS('30_CASHFLOW'!AQ36)</f>
        <v>0</v>
      </c>
      <c r="AR20" s="168">
        <f>ABS('30_CASHFLOW'!AR36)</f>
        <v>0</v>
      </c>
      <c r="AS20" s="168">
        <f>ABS('30_CASHFLOW'!AS36)</f>
        <v>0</v>
      </c>
      <c r="AT20" s="168">
        <f>ABS('30_CASHFLOW'!AT36)</f>
        <v>0</v>
      </c>
      <c r="AU20" s="168">
        <f>ABS('30_CASHFLOW'!AU36)</f>
        <v>0</v>
      </c>
      <c r="AV20" s="168">
        <f>ABS('30_CASHFLOW'!AV36)</f>
        <v>0</v>
      </c>
      <c r="AW20" s="168">
        <f>ABS('30_CASHFLOW'!AW36)</f>
        <v>0</v>
      </c>
      <c r="AX20" s="168">
        <f>ABS('30_CASHFLOW'!AX36)</f>
        <v>0</v>
      </c>
      <c r="AY20" s="168">
        <f>ABS('30_CASHFLOW'!AY36)</f>
        <v>0</v>
      </c>
      <c r="AZ20" s="168">
        <f>ABS('30_CASHFLOW'!AZ36)</f>
        <v>0</v>
      </c>
      <c r="BA20" s="168">
        <f>ABS('30_CASHFLOW'!BA36)</f>
        <v>0</v>
      </c>
      <c r="BB20" s="168">
        <f>ABS('30_CASHFLOW'!BB36)</f>
        <v>0</v>
      </c>
      <c r="BC20" s="168">
        <f>ABS('30_CASHFLOW'!BC36)</f>
        <v>0</v>
      </c>
      <c r="BD20" s="168">
        <f>ABS('30_CASHFLOW'!BD36)</f>
        <v>0</v>
      </c>
      <c r="BE20" s="168">
        <f>ABS('30_CASHFLOW'!BE36)</f>
        <v>0</v>
      </c>
      <c r="BF20" s="168">
        <f>ABS('30_CASHFLOW'!BF36)</f>
        <v>0</v>
      </c>
      <c r="BG20" s="168">
        <f>ABS('30_CASHFLOW'!BG36)</f>
        <v>0</v>
      </c>
      <c r="BH20" s="168">
        <f>ABS('30_CASHFLOW'!BH36)</f>
        <v>0</v>
      </c>
      <c r="BI20" s="168">
        <f>ABS('30_CASHFLOW'!BI36)</f>
        <v>0</v>
      </c>
    </row>
    <row r="21" spans="1:61" ht="15.75" customHeight="1" x14ac:dyDescent="0.25">
      <c r="A21" s="153" t="s">
        <v>313</v>
      </c>
      <c r="B21" s="166">
        <f t="shared" ref="B21:AG21" si="6">SUM(B19:B20)</f>
        <v>0</v>
      </c>
      <c r="C21" s="166">
        <f t="shared" si="6"/>
        <v>0</v>
      </c>
      <c r="D21" s="166">
        <f t="shared" si="6"/>
        <v>0</v>
      </c>
      <c r="E21" s="166">
        <f t="shared" si="6"/>
        <v>0</v>
      </c>
      <c r="F21" s="166">
        <f t="shared" si="6"/>
        <v>0</v>
      </c>
      <c r="G21" s="166">
        <f t="shared" si="6"/>
        <v>0</v>
      </c>
      <c r="H21" s="166">
        <f t="shared" si="6"/>
        <v>0</v>
      </c>
      <c r="I21" s="166">
        <f t="shared" si="6"/>
        <v>0</v>
      </c>
      <c r="J21" s="166">
        <f t="shared" si="6"/>
        <v>0</v>
      </c>
      <c r="K21" s="166">
        <f t="shared" si="6"/>
        <v>0</v>
      </c>
      <c r="L21" s="166">
        <f t="shared" si="6"/>
        <v>0</v>
      </c>
      <c r="M21" s="166">
        <f t="shared" si="6"/>
        <v>33305.519520000031</v>
      </c>
      <c r="N21" s="166">
        <f t="shared" si="6"/>
        <v>1640.5552800000014</v>
      </c>
      <c r="O21" s="166">
        <f t="shared" si="6"/>
        <v>1528.1884800000014</v>
      </c>
      <c r="P21" s="166">
        <f t="shared" si="6"/>
        <v>1415.8216800000016</v>
      </c>
      <c r="Q21" s="166">
        <f t="shared" si="6"/>
        <v>1303.4548800000014</v>
      </c>
      <c r="R21" s="166">
        <f t="shared" si="6"/>
        <v>1191.0880800000011</v>
      </c>
      <c r="S21" s="166">
        <f t="shared" si="6"/>
        <v>1078.7212800000013</v>
      </c>
      <c r="T21" s="166">
        <f t="shared" si="6"/>
        <v>966.35448000000133</v>
      </c>
      <c r="U21" s="166">
        <f t="shared" si="6"/>
        <v>853.98768000000121</v>
      </c>
      <c r="V21" s="166">
        <f t="shared" si="6"/>
        <v>741.62088000000108</v>
      </c>
      <c r="W21" s="166">
        <f t="shared" si="6"/>
        <v>629.25408000000095</v>
      </c>
      <c r="X21" s="166">
        <f t="shared" si="6"/>
        <v>516.88728000000083</v>
      </c>
      <c r="Y21" s="166">
        <f t="shared" si="6"/>
        <v>404.5204800000007</v>
      </c>
      <c r="Z21" s="166">
        <f t="shared" si="6"/>
        <v>292.15368000000058</v>
      </c>
      <c r="AA21" s="166">
        <f t="shared" si="6"/>
        <v>179.78688000000045</v>
      </c>
      <c r="AB21" s="166">
        <f t="shared" si="6"/>
        <v>67.420080000000311</v>
      </c>
      <c r="AC21" s="166">
        <f t="shared" si="6"/>
        <v>0</v>
      </c>
      <c r="AD21" s="166">
        <f t="shared" si="6"/>
        <v>0</v>
      </c>
      <c r="AE21" s="166">
        <f t="shared" si="6"/>
        <v>0</v>
      </c>
      <c r="AF21" s="166">
        <f t="shared" si="6"/>
        <v>0</v>
      </c>
      <c r="AG21" s="166">
        <f t="shared" si="6"/>
        <v>0</v>
      </c>
      <c r="AH21" s="166">
        <f t="shared" ref="AH21:BI21" si="7">SUM(AH19:AH20)</f>
        <v>0</v>
      </c>
      <c r="AI21" s="166">
        <f t="shared" si="7"/>
        <v>0</v>
      </c>
      <c r="AJ21" s="166">
        <f t="shared" si="7"/>
        <v>0</v>
      </c>
      <c r="AK21" s="166">
        <f t="shared" si="7"/>
        <v>20768.545672914046</v>
      </c>
      <c r="AL21" s="166">
        <f t="shared" si="7"/>
        <v>0</v>
      </c>
      <c r="AM21" s="166">
        <f t="shared" si="7"/>
        <v>0</v>
      </c>
      <c r="AN21" s="166">
        <f t="shared" si="7"/>
        <v>0</v>
      </c>
      <c r="AO21" s="166">
        <f t="shared" si="7"/>
        <v>0</v>
      </c>
      <c r="AP21" s="166">
        <f t="shared" si="7"/>
        <v>0</v>
      </c>
      <c r="AQ21" s="166">
        <f t="shared" si="7"/>
        <v>0</v>
      </c>
      <c r="AR21" s="166">
        <f t="shared" si="7"/>
        <v>0</v>
      </c>
      <c r="AS21" s="166">
        <f t="shared" si="7"/>
        <v>0</v>
      </c>
      <c r="AT21" s="166">
        <f t="shared" si="7"/>
        <v>0</v>
      </c>
      <c r="AU21" s="166">
        <f t="shared" si="7"/>
        <v>0</v>
      </c>
      <c r="AV21" s="166">
        <f t="shared" si="7"/>
        <v>0</v>
      </c>
      <c r="AW21" s="166">
        <f t="shared" si="7"/>
        <v>0</v>
      </c>
      <c r="AX21" s="166">
        <f t="shared" si="7"/>
        <v>0</v>
      </c>
      <c r="AY21" s="166">
        <f t="shared" si="7"/>
        <v>0</v>
      </c>
      <c r="AZ21" s="166">
        <f t="shared" si="7"/>
        <v>0</v>
      </c>
      <c r="BA21" s="166">
        <f t="shared" si="7"/>
        <v>0</v>
      </c>
      <c r="BB21" s="166">
        <f t="shared" si="7"/>
        <v>0</v>
      </c>
      <c r="BC21" s="166">
        <f t="shared" si="7"/>
        <v>0</v>
      </c>
      <c r="BD21" s="166">
        <f t="shared" si="7"/>
        <v>0</v>
      </c>
      <c r="BE21" s="166">
        <f t="shared" si="7"/>
        <v>0</v>
      </c>
      <c r="BF21" s="166">
        <f t="shared" si="7"/>
        <v>0</v>
      </c>
      <c r="BG21" s="166">
        <f t="shared" si="7"/>
        <v>0</v>
      </c>
      <c r="BH21" s="166">
        <f t="shared" si="7"/>
        <v>0</v>
      </c>
      <c r="BI21" s="166">
        <f t="shared" si="7"/>
        <v>0</v>
      </c>
    </row>
    <row r="22" spans="1:61" ht="15.75" thickBot="1" x14ac:dyDescent="0.3"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K22" s="168"/>
      <c r="AL22" s="168"/>
      <c r="AM22" s="168"/>
      <c r="AN22" s="168"/>
      <c r="AO22" s="168"/>
      <c r="AP22" s="168"/>
      <c r="AQ22" s="168"/>
      <c r="AR22" s="168"/>
      <c r="AS22" s="168"/>
      <c r="AT22" s="168"/>
      <c r="AU22" s="168"/>
      <c r="AV22" s="168"/>
      <c r="AW22" s="168"/>
      <c r="AX22" s="168"/>
      <c r="AY22" s="168"/>
      <c r="AZ22" s="168"/>
      <c r="BA22" s="168"/>
      <c r="BB22" s="168"/>
      <c r="BC22" s="168"/>
      <c r="BD22" s="168"/>
      <c r="BE22" s="168"/>
      <c r="BF22" s="168"/>
      <c r="BG22" s="168"/>
      <c r="BH22" s="168"/>
      <c r="BI22" s="168"/>
    </row>
    <row r="23" spans="1:61" ht="15.75" customHeight="1" x14ac:dyDescent="0.25">
      <c r="A23" s="153" t="s">
        <v>314</v>
      </c>
      <c r="B23" s="166">
        <f t="shared" ref="B23:AG23" si="8">B16-B21</f>
        <v>0</v>
      </c>
      <c r="C23" s="166">
        <f t="shared" si="8"/>
        <v>0</v>
      </c>
      <c r="D23" s="166">
        <f t="shared" si="8"/>
        <v>0</v>
      </c>
      <c r="E23" s="166">
        <f t="shared" si="8"/>
        <v>0</v>
      </c>
      <c r="F23" s="166">
        <f t="shared" si="8"/>
        <v>0</v>
      </c>
      <c r="G23" s="166">
        <f t="shared" si="8"/>
        <v>0</v>
      </c>
      <c r="H23" s="166">
        <f t="shared" si="8"/>
        <v>0</v>
      </c>
      <c r="I23" s="166">
        <f t="shared" si="8"/>
        <v>0</v>
      </c>
      <c r="J23" s="166">
        <f t="shared" si="8"/>
        <v>0</v>
      </c>
      <c r="K23" s="166">
        <f t="shared" si="8"/>
        <v>0</v>
      </c>
      <c r="L23" s="166">
        <f t="shared" si="8"/>
        <v>0</v>
      </c>
      <c r="M23" s="166">
        <f t="shared" si="8"/>
        <v>-33305.519520000031</v>
      </c>
      <c r="N23" s="166">
        <f t="shared" si="8"/>
        <v>-1640.5552800000014</v>
      </c>
      <c r="O23" s="166">
        <f t="shared" si="8"/>
        <v>-1528.1884800000014</v>
      </c>
      <c r="P23" s="166">
        <f t="shared" si="8"/>
        <v>-1415.8216800000016</v>
      </c>
      <c r="Q23" s="166">
        <f t="shared" si="8"/>
        <v>-1303.4548800000014</v>
      </c>
      <c r="R23" s="166">
        <f t="shared" si="8"/>
        <v>-1191.0880800000011</v>
      </c>
      <c r="S23" s="166">
        <f t="shared" si="8"/>
        <v>-1078.7212800000013</v>
      </c>
      <c r="T23" s="166">
        <f t="shared" si="8"/>
        <v>-966.35448000000133</v>
      </c>
      <c r="U23" s="166">
        <f t="shared" si="8"/>
        <v>-853.98768000000121</v>
      </c>
      <c r="V23" s="166">
        <f t="shared" si="8"/>
        <v>-741.62088000000108</v>
      </c>
      <c r="W23" s="166">
        <f t="shared" si="8"/>
        <v>-629.25408000000095</v>
      </c>
      <c r="X23" s="166">
        <f t="shared" si="8"/>
        <v>-516.88728000000083</v>
      </c>
      <c r="Y23" s="166">
        <f t="shared" si="8"/>
        <v>-27217.020479999999</v>
      </c>
      <c r="Z23" s="166">
        <f t="shared" si="8"/>
        <v>-27104.653679999999</v>
      </c>
      <c r="AA23" s="166">
        <f t="shared" si="8"/>
        <v>-26992.28688</v>
      </c>
      <c r="AB23" s="166">
        <f t="shared" si="8"/>
        <v>-26879.92008</v>
      </c>
      <c r="AC23" s="166">
        <f t="shared" si="8"/>
        <v>-26812.5</v>
      </c>
      <c r="AD23" s="166">
        <f t="shared" si="8"/>
        <v>-26812.5</v>
      </c>
      <c r="AE23" s="166">
        <f t="shared" si="8"/>
        <v>-26812.5</v>
      </c>
      <c r="AF23" s="166">
        <f t="shared" si="8"/>
        <v>-26812.5</v>
      </c>
      <c r="AG23" s="166">
        <f t="shared" si="8"/>
        <v>-26812.5</v>
      </c>
      <c r="AH23" s="166">
        <f t="shared" ref="AH23:BI23" si="9">AH16-AH21</f>
        <v>-26812.5</v>
      </c>
      <c r="AI23" s="166">
        <f t="shared" si="9"/>
        <v>-10725</v>
      </c>
      <c r="AJ23" s="166">
        <f t="shared" si="9"/>
        <v>0</v>
      </c>
      <c r="AK23" s="166">
        <f t="shared" si="9"/>
        <v>1294051.7104185633</v>
      </c>
      <c r="AL23" s="166">
        <f t="shared" si="9"/>
        <v>0</v>
      </c>
      <c r="AM23" s="166">
        <f t="shared" si="9"/>
        <v>0</v>
      </c>
      <c r="AN23" s="166">
        <f t="shared" si="9"/>
        <v>0</v>
      </c>
      <c r="AO23" s="166">
        <f t="shared" si="9"/>
        <v>0</v>
      </c>
      <c r="AP23" s="166">
        <f t="shared" si="9"/>
        <v>0</v>
      </c>
      <c r="AQ23" s="166">
        <f t="shared" si="9"/>
        <v>0</v>
      </c>
      <c r="AR23" s="166">
        <f t="shared" si="9"/>
        <v>0</v>
      </c>
      <c r="AS23" s="166">
        <f t="shared" si="9"/>
        <v>0</v>
      </c>
      <c r="AT23" s="166">
        <f t="shared" si="9"/>
        <v>0</v>
      </c>
      <c r="AU23" s="166">
        <f t="shared" si="9"/>
        <v>0</v>
      </c>
      <c r="AV23" s="166">
        <f t="shared" si="9"/>
        <v>0</v>
      </c>
      <c r="AW23" s="166">
        <f t="shared" si="9"/>
        <v>0</v>
      </c>
      <c r="AX23" s="166">
        <f t="shared" si="9"/>
        <v>0</v>
      </c>
      <c r="AY23" s="166">
        <f t="shared" si="9"/>
        <v>0</v>
      </c>
      <c r="AZ23" s="166">
        <f t="shared" si="9"/>
        <v>0</v>
      </c>
      <c r="BA23" s="166">
        <f t="shared" si="9"/>
        <v>0</v>
      </c>
      <c r="BB23" s="166">
        <f t="shared" si="9"/>
        <v>0</v>
      </c>
      <c r="BC23" s="166">
        <f t="shared" si="9"/>
        <v>0</v>
      </c>
      <c r="BD23" s="166">
        <f t="shared" si="9"/>
        <v>0</v>
      </c>
      <c r="BE23" s="166">
        <f t="shared" si="9"/>
        <v>0</v>
      </c>
      <c r="BF23" s="166">
        <f t="shared" si="9"/>
        <v>0</v>
      </c>
      <c r="BG23" s="166">
        <f t="shared" si="9"/>
        <v>0</v>
      </c>
      <c r="BH23" s="166">
        <f t="shared" si="9"/>
        <v>0</v>
      </c>
      <c r="BI23" s="166">
        <f t="shared" si="9"/>
        <v>0</v>
      </c>
    </row>
    <row r="24" spans="1:61" ht="15.75" customHeight="1" thickBot="1" x14ac:dyDescent="0.3">
      <c r="A24" s="203" t="s">
        <v>315</v>
      </c>
      <c r="B24" s="168">
        <f>ABS('30_CASHFLOW'!B38)</f>
        <v>0</v>
      </c>
      <c r="C24" s="168">
        <f>ABS('30_CASHFLOW'!C38)</f>
        <v>0</v>
      </c>
      <c r="D24" s="168">
        <f>ABS('30_CASHFLOW'!D38)</f>
        <v>0</v>
      </c>
      <c r="E24" s="168">
        <f>ABS('30_CASHFLOW'!E38)</f>
        <v>0</v>
      </c>
      <c r="F24" s="168">
        <f>ABS('30_CASHFLOW'!F38)</f>
        <v>0</v>
      </c>
      <c r="G24" s="168">
        <f>ABS('30_CASHFLOW'!G38)</f>
        <v>0</v>
      </c>
      <c r="H24" s="168">
        <f>ABS('30_CASHFLOW'!H38)</f>
        <v>0</v>
      </c>
      <c r="I24" s="168">
        <f>ABS('30_CASHFLOW'!I38)</f>
        <v>0</v>
      </c>
      <c r="J24" s="168">
        <f>ABS('30_CASHFLOW'!J38)</f>
        <v>0</v>
      </c>
      <c r="K24" s="168">
        <f>ABS('30_CASHFLOW'!K38)</f>
        <v>0</v>
      </c>
      <c r="L24" s="168">
        <f>ABS('30_CASHFLOW'!L38)</f>
        <v>0</v>
      </c>
      <c r="M24" s="168">
        <f>ABS('30_CASHFLOW'!M38)</f>
        <v>0</v>
      </c>
      <c r="N24" s="168">
        <f>ABS('30_CASHFLOW'!N38)</f>
        <v>0</v>
      </c>
      <c r="O24" s="168">
        <f>ABS('30_CASHFLOW'!O38)</f>
        <v>0</v>
      </c>
      <c r="P24" s="168">
        <f>ABS('30_CASHFLOW'!P38)</f>
        <v>0</v>
      </c>
      <c r="Q24" s="168">
        <f>ABS('30_CASHFLOW'!Q38)</f>
        <v>0</v>
      </c>
      <c r="R24" s="168">
        <f>ABS('30_CASHFLOW'!R38)</f>
        <v>0</v>
      </c>
      <c r="S24" s="168">
        <f>ABS('30_CASHFLOW'!S38)</f>
        <v>0</v>
      </c>
      <c r="T24" s="168">
        <f>ABS('30_CASHFLOW'!T38)</f>
        <v>0</v>
      </c>
      <c r="U24" s="168">
        <f>ABS('30_CASHFLOW'!U38)</f>
        <v>0</v>
      </c>
      <c r="V24" s="168">
        <f>ABS('30_CASHFLOW'!V38)</f>
        <v>0</v>
      </c>
      <c r="W24" s="168">
        <f>ABS('30_CASHFLOW'!W38)</f>
        <v>0</v>
      </c>
      <c r="X24" s="168">
        <f>ABS('30_CASHFLOW'!X38)</f>
        <v>0</v>
      </c>
      <c r="Y24" s="168">
        <f>ABS('30_CASHFLOW'!Y38)</f>
        <v>0</v>
      </c>
      <c r="Z24" s="168">
        <f>ABS('30_CASHFLOW'!Z38)</f>
        <v>0</v>
      </c>
      <c r="AA24" s="168">
        <f>ABS('30_CASHFLOW'!AA38)</f>
        <v>0</v>
      </c>
      <c r="AB24" s="168">
        <f>ABS('30_CASHFLOW'!AB38)</f>
        <v>0</v>
      </c>
      <c r="AC24" s="168">
        <f>ABS('30_CASHFLOW'!AC38)</f>
        <v>0</v>
      </c>
      <c r="AD24" s="168">
        <f>ABS('30_CASHFLOW'!AD38)</f>
        <v>0</v>
      </c>
      <c r="AE24" s="168">
        <f>ABS('30_CASHFLOW'!AE38)</f>
        <v>0</v>
      </c>
      <c r="AF24" s="168">
        <f>ABS('30_CASHFLOW'!AF38)</f>
        <v>0</v>
      </c>
      <c r="AG24" s="168">
        <f>ABS('30_CASHFLOW'!AG38)</f>
        <v>0</v>
      </c>
      <c r="AH24" s="168">
        <f>ABS('30_CASHFLOW'!AH38)</f>
        <v>0</v>
      </c>
      <c r="AI24" s="168">
        <f>ABS('30_CASHFLOW'!AI38)</f>
        <v>0</v>
      </c>
      <c r="AJ24" s="168">
        <f>ABS('30_CASHFLOW'!AJ38)</f>
        <v>0</v>
      </c>
      <c r="AK24" s="168">
        <f>ABS('30_CASHFLOW'!AK38)</f>
        <v>253800.42760464069</v>
      </c>
      <c r="AL24" s="168">
        <f>ABS('30_CASHFLOW'!AL38)</f>
        <v>0</v>
      </c>
      <c r="AM24" s="168">
        <f>ABS('30_CASHFLOW'!AM38)</f>
        <v>0</v>
      </c>
      <c r="AN24" s="168">
        <f>ABS('30_CASHFLOW'!AN38)</f>
        <v>0</v>
      </c>
      <c r="AO24" s="168">
        <f>ABS('30_CASHFLOW'!AO38)</f>
        <v>0</v>
      </c>
      <c r="AP24" s="168">
        <f>ABS('30_CASHFLOW'!AP38)</f>
        <v>0</v>
      </c>
      <c r="AQ24" s="168">
        <f>ABS('30_CASHFLOW'!AQ38)</f>
        <v>0</v>
      </c>
      <c r="AR24" s="168">
        <f>ABS('30_CASHFLOW'!AR38)</f>
        <v>0</v>
      </c>
      <c r="AS24" s="168">
        <f>ABS('30_CASHFLOW'!AS38)</f>
        <v>0</v>
      </c>
      <c r="AT24" s="168">
        <f>ABS('30_CASHFLOW'!AT38)</f>
        <v>0</v>
      </c>
      <c r="AU24" s="168">
        <f>ABS('30_CASHFLOW'!AU38)</f>
        <v>0</v>
      </c>
      <c r="AV24" s="168">
        <f>ABS('30_CASHFLOW'!AV38)</f>
        <v>0</v>
      </c>
      <c r="AW24" s="168">
        <f>ABS('30_CASHFLOW'!AW38)</f>
        <v>0</v>
      </c>
      <c r="AX24" s="168">
        <f>ABS('30_CASHFLOW'!AX38)</f>
        <v>0</v>
      </c>
      <c r="AY24" s="168">
        <f>ABS('30_CASHFLOW'!AY38)</f>
        <v>0</v>
      </c>
      <c r="AZ24" s="168">
        <f>ABS('30_CASHFLOW'!AZ38)</f>
        <v>0</v>
      </c>
      <c r="BA24" s="168">
        <f>ABS('30_CASHFLOW'!BA38)</f>
        <v>0</v>
      </c>
      <c r="BB24" s="168">
        <f>ABS('30_CASHFLOW'!BB38)</f>
        <v>0</v>
      </c>
      <c r="BC24" s="168">
        <f>ABS('30_CASHFLOW'!BC38)</f>
        <v>0</v>
      </c>
      <c r="BD24" s="168">
        <f>ABS('30_CASHFLOW'!BD38)</f>
        <v>0</v>
      </c>
      <c r="BE24" s="168">
        <f>ABS('30_CASHFLOW'!BE38)</f>
        <v>0</v>
      </c>
      <c r="BF24" s="168">
        <f>ABS('30_CASHFLOW'!BF38)</f>
        <v>0</v>
      </c>
      <c r="BG24" s="168">
        <f>ABS('30_CASHFLOW'!BG38)</f>
        <v>0</v>
      </c>
      <c r="BH24" s="168">
        <f>ABS('30_CASHFLOW'!BH38)</f>
        <v>0</v>
      </c>
      <c r="BI24" s="168">
        <f>ABS('30_CASHFLOW'!BI38)</f>
        <v>0</v>
      </c>
    </row>
    <row r="25" spans="1:61" ht="15.75" thickBot="1" x14ac:dyDescent="0.3">
      <c r="A25" s="153" t="s">
        <v>316</v>
      </c>
      <c r="B25" s="166">
        <f t="shared" ref="B25:AG25" si="10">B23-B24</f>
        <v>0</v>
      </c>
      <c r="C25" s="166">
        <f t="shared" si="10"/>
        <v>0</v>
      </c>
      <c r="D25" s="166">
        <f t="shared" si="10"/>
        <v>0</v>
      </c>
      <c r="E25" s="166">
        <f t="shared" si="10"/>
        <v>0</v>
      </c>
      <c r="F25" s="166">
        <f t="shared" si="10"/>
        <v>0</v>
      </c>
      <c r="G25" s="166">
        <f t="shared" si="10"/>
        <v>0</v>
      </c>
      <c r="H25" s="166">
        <f t="shared" si="10"/>
        <v>0</v>
      </c>
      <c r="I25" s="166">
        <f t="shared" si="10"/>
        <v>0</v>
      </c>
      <c r="J25" s="166">
        <f t="shared" si="10"/>
        <v>0</v>
      </c>
      <c r="K25" s="166">
        <f t="shared" si="10"/>
        <v>0</v>
      </c>
      <c r="L25" s="166">
        <f t="shared" si="10"/>
        <v>0</v>
      </c>
      <c r="M25" s="166">
        <f t="shared" si="10"/>
        <v>-33305.519520000031</v>
      </c>
      <c r="N25" s="166">
        <f t="shared" si="10"/>
        <v>-1640.5552800000014</v>
      </c>
      <c r="O25" s="166">
        <f t="shared" si="10"/>
        <v>-1528.1884800000014</v>
      </c>
      <c r="P25" s="166">
        <f t="shared" si="10"/>
        <v>-1415.8216800000016</v>
      </c>
      <c r="Q25" s="166">
        <f t="shared" si="10"/>
        <v>-1303.4548800000014</v>
      </c>
      <c r="R25" s="166">
        <f t="shared" si="10"/>
        <v>-1191.0880800000011</v>
      </c>
      <c r="S25" s="166">
        <f t="shared" si="10"/>
        <v>-1078.7212800000013</v>
      </c>
      <c r="T25" s="166">
        <f t="shared" si="10"/>
        <v>-966.35448000000133</v>
      </c>
      <c r="U25" s="166">
        <f t="shared" si="10"/>
        <v>-853.98768000000121</v>
      </c>
      <c r="V25" s="166">
        <f t="shared" si="10"/>
        <v>-741.62088000000108</v>
      </c>
      <c r="W25" s="166">
        <f t="shared" si="10"/>
        <v>-629.25408000000095</v>
      </c>
      <c r="X25" s="166">
        <f t="shared" si="10"/>
        <v>-516.88728000000083</v>
      </c>
      <c r="Y25" s="166">
        <f t="shared" si="10"/>
        <v>-27217.020479999999</v>
      </c>
      <c r="Z25" s="166">
        <f t="shared" si="10"/>
        <v>-27104.653679999999</v>
      </c>
      <c r="AA25" s="166">
        <f t="shared" si="10"/>
        <v>-26992.28688</v>
      </c>
      <c r="AB25" s="166">
        <f t="shared" si="10"/>
        <v>-26879.92008</v>
      </c>
      <c r="AC25" s="166">
        <f t="shared" si="10"/>
        <v>-26812.5</v>
      </c>
      <c r="AD25" s="166">
        <f t="shared" si="10"/>
        <v>-26812.5</v>
      </c>
      <c r="AE25" s="166">
        <f t="shared" si="10"/>
        <v>-26812.5</v>
      </c>
      <c r="AF25" s="166">
        <f t="shared" si="10"/>
        <v>-26812.5</v>
      </c>
      <c r="AG25" s="166">
        <f t="shared" si="10"/>
        <v>-26812.5</v>
      </c>
      <c r="AH25" s="166">
        <f t="shared" ref="AH25:BI25" si="11">AH23-AH24</f>
        <v>-26812.5</v>
      </c>
      <c r="AI25" s="166">
        <f t="shared" si="11"/>
        <v>-10725</v>
      </c>
      <c r="AJ25" s="166">
        <f t="shared" si="11"/>
        <v>0</v>
      </c>
      <c r="AK25" s="166">
        <f t="shared" si="11"/>
        <v>1040251.2828139226</v>
      </c>
      <c r="AL25" s="166">
        <f t="shared" si="11"/>
        <v>0</v>
      </c>
      <c r="AM25" s="166">
        <f t="shared" si="11"/>
        <v>0</v>
      </c>
      <c r="AN25" s="166">
        <f t="shared" si="11"/>
        <v>0</v>
      </c>
      <c r="AO25" s="166">
        <f t="shared" si="11"/>
        <v>0</v>
      </c>
      <c r="AP25" s="166">
        <f t="shared" si="11"/>
        <v>0</v>
      </c>
      <c r="AQ25" s="166">
        <f t="shared" si="11"/>
        <v>0</v>
      </c>
      <c r="AR25" s="166">
        <f t="shared" si="11"/>
        <v>0</v>
      </c>
      <c r="AS25" s="166">
        <f t="shared" si="11"/>
        <v>0</v>
      </c>
      <c r="AT25" s="166">
        <f t="shared" si="11"/>
        <v>0</v>
      </c>
      <c r="AU25" s="166">
        <f t="shared" si="11"/>
        <v>0</v>
      </c>
      <c r="AV25" s="166">
        <f t="shared" si="11"/>
        <v>0</v>
      </c>
      <c r="AW25" s="166">
        <f t="shared" si="11"/>
        <v>0</v>
      </c>
      <c r="AX25" s="166">
        <f t="shared" si="11"/>
        <v>0</v>
      </c>
      <c r="AY25" s="166">
        <f t="shared" si="11"/>
        <v>0</v>
      </c>
      <c r="AZ25" s="166">
        <f t="shared" si="11"/>
        <v>0</v>
      </c>
      <c r="BA25" s="166">
        <f t="shared" si="11"/>
        <v>0</v>
      </c>
      <c r="BB25" s="166">
        <f t="shared" si="11"/>
        <v>0</v>
      </c>
      <c r="BC25" s="166">
        <f t="shared" si="11"/>
        <v>0</v>
      </c>
      <c r="BD25" s="166">
        <f t="shared" si="11"/>
        <v>0</v>
      </c>
      <c r="BE25" s="166">
        <f t="shared" si="11"/>
        <v>0</v>
      </c>
      <c r="BF25" s="166">
        <f t="shared" si="11"/>
        <v>0</v>
      </c>
      <c r="BG25" s="166">
        <f t="shared" si="11"/>
        <v>0</v>
      </c>
      <c r="BH25" s="166">
        <f t="shared" si="11"/>
        <v>0</v>
      </c>
      <c r="BI25" s="166">
        <f t="shared" si="11"/>
        <v>0</v>
      </c>
    </row>
    <row r="26" spans="1:61" ht="15.75" customHeight="1" x14ac:dyDescent="0.25">
      <c r="A26" s="153" t="s">
        <v>317</v>
      </c>
      <c r="B26" s="166">
        <f>SUM($B$25:B25)</f>
        <v>0</v>
      </c>
      <c r="C26" s="166">
        <f>SUM($B$25:C25)</f>
        <v>0</v>
      </c>
      <c r="D26" s="166">
        <f>SUM($B$25:D25)</f>
        <v>0</v>
      </c>
      <c r="E26" s="166">
        <f>SUM($B$25:E25)</f>
        <v>0</v>
      </c>
      <c r="F26" s="166">
        <f>SUM($B$25:F25)</f>
        <v>0</v>
      </c>
      <c r="G26" s="166">
        <f>SUM($B$25:G25)</f>
        <v>0</v>
      </c>
      <c r="H26" s="166">
        <f>SUM($B$25:H25)</f>
        <v>0</v>
      </c>
      <c r="I26" s="166">
        <f>SUM($B$25:I25)</f>
        <v>0</v>
      </c>
      <c r="J26" s="166">
        <f>SUM($B$25:J25)</f>
        <v>0</v>
      </c>
      <c r="K26" s="166">
        <f>SUM($B$25:K25)</f>
        <v>0</v>
      </c>
      <c r="L26" s="166">
        <f>SUM($B$25:L25)</f>
        <v>0</v>
      </c>
      <c r="M26" s="166">
        <f>SUM($B$25:M25)</f>
        <v>-33305.519520000031</v>
      </c>
      <c r="N26" s="166">
        <f>SUM($B$25:N25)</f>
        <v>-34946.074800000031</v>
      </c>
      <c r="O26" s="166">
        <f>SUM($B$25:O25)</f>
        <v>-36474.263280000036</v>
      </c>
      <c r="P26" s="166">
        <f>SUM($B$25:P25)</f>
        <v>-37890.084960000037</v>
      </c>
      <c r="Q26" s="166">
        <f>SUM($B$25:Q25)</f>
        <v>-39193.539840000041</v>
      </c>
      <c r="R26" s="166">
        <f>SUM($B$25:R25)</f>
        <v>-40384.627920000043</v>
      </c>
      <c r="S26" s="166">
        <f>SUM($B$25:S25)</f>
        <v>-41463.349200000041</v>
      </c>
      <c r="T26" s="166">
        <f>SUM($B$25:T25)</f>
        <v>-42429.703680000042</v>
      </c>
      <c r="U26" s="166">
        <f>SUM($B$25:U25)</f>
        <v>-43283.691360000041</v>
      </c>
      <c r="V26" s="166">
        <f>SUM($B$25:V25)</f>
        <v>-44025.312240000043</v>
      </c>
      <c r="W26" s="166">
        <f>SUM($B$25:W25)</f>
        <v>-44654.566320000042</v>
      </c>
      <c r="X26" s="166">
        <f>SUM($B$25:X25)</f>
        <v>-45171.453600000044</v>
      </c>
      <c r="Y26" s="166">
        <f>SUM($B$25:Y25)</f>
        <v>-72388.474080000044</v>
      </c>
      <c r="Z26" s="166">
        <f>SUM($B$25:Z25)</f>
        <v>-99493.127760000047</v>
      </c>
      <c r="AA26" s="166">
        <f>SUM($B$25:AA25)</f>
        <v>-126485.41464000005</v>
      </c>
      <c r="AB26" s="166">
        <f>SUM($B$25:AB25)</f>
        <v>-153365.33472000004</v>
      </c>
      <c r="AC26" s="166">
        <f>SUM($B$25:AC25)</f>
        <v>-180177.83472000004</v>
      </c>
      <c r="AD26" s="166">
        <f>SUM($B$25:AD25)</f>
        <v>-206990.33472000004</v>
      </c>
      <c r="AE26" s="166">
        <f>SUM($B$25:AE25)</f>
        <v>-233802.83472000004</v>
      </c>
      <c r="AF26" s="166">
        <f>SUM($B$25:AF25)</f>
        <v>-260615.33472000004</v>
      </c>
      <c r="AG26" s="166">
        <f>SUM($B$25:AG25)</f>
        <v>-287427.83472000004</v>
      </c>
      <c r="AH26" s="166">
        <f>SUM($B$25:AH25)</f>
        <v>-314240.33472000004</v>
      </c>
      <c r="AI26" s="166">
        <f>SUM($B$25:AI25)</f>
        <v>-324965.33472000004</v>
      </c>
      <c r="AJ26" s="166">
        <f>SUM($B$25:AJ25)</f>
        <v>-324965.33472000004</v>
      </c>
      <c r="AK26" s="166">
        <f>SUM($B$25:AK25)</f>
        <v>715285.94809392258</v>
      </c>
      <c r="AL26" s="166">
        <f>SUM($B$25:AL25)</f>
        <v>715285.94809392258</v>
      </c>
      <c r="AM26" s="166">
        <f>SUM($B$25:AM25)</f>
        <v>715285.94809392258</v>
      </c>
      <c r="AN26" s="166">
        <f>SUM($B$25:AN25)</f>
        <v>715285.94809392258</v>
      </c>
      <c r="AO26" s="166">
        <f>SUM($B$25:AO25)</f>
        <v>715285.94809392258</v>
      </c>
      <c r="AP26" s="166">
        <f>SUM($B$25:AP25)</f>
        <v>715285.94809392258</v>
      </c>
      <c r="AQ26" s="166">
        <f>SUM($B$25:AQ25)</f>
        <v>715285.94809392258</v>
      </c>
      <c r="AR26" s="166">
        <f>SUM($B$25:AR25)</f>
        <v>715285.94809392258</v>
      </c>
      <c r="AS26" s="166">
        <f>SUM($B$25:AS25)</f>
        <v>715285.94809392258</v>
      </c>
      <c r="AT26" s="166">
        <f>SUM($B$25:AT25)</f>
        <v>715285.94809392258</v>
      </c>
      <c r="AU26" s="166">
        <f>SUM($B$25:AU25)</f>
        <v>715285.94809392258</v>
      </c>
      <c r="AV26" s="166">
        <f>SUM($B$25:AV25)</f>
        <v>715285.94809392258</v>
      </c>
      <c r="AW26" s="166">
        <f>SUM($B$25:AW25)</f>
        <v>715285.94809392258</v>
      </c>
      <c r="AX26" s="166">
        <f>SUM($B$25:AX25)</f>
        <v>715285.94809392258</v>
      </c>
      <c r="AY26" s="166">
        <f>SUM($B$25:AY25)</f>
        <v>715285.94809392258</v>
      </c>
      <c r="AZ26" s="166">
        <f>SUM($B$25:AZ25)</f>
        <v>715285.94809392258</v>
      </c>
      <c r="BA26" s="166">
        <f>SUM($B$25:BA25)</f>
        <v>715285.94809392258</v>
      </c>
      <c r="BB26" s="166">
        <f>SUM($B$25:BB25)</f>
        <v>715285.94809392258</v>
      </c>
      <c r="BC26" s="166">
        <f>SUM($B$25:BC25)</f>
        <v>715285.94809392258</v>
      </c>
      <c r="BD26" s="166">
        <f>SUM($B$25:BD25)</f>
        <v>715285.94809392258</v>
      </c>
      <c r="BE26" s="166">
        <f>SUM($B$25:BE25)</f>
        <v>715285.94809392258</v>
      </c>
      <c r="BF26" s="166">
        <f>SUM($B$25:BF25)</f>
        <v>715285.94809392258</v>
      </c>
      <c r="BG26" s="166">
        <f>SUM($B$25:BG25)</f>
        <v>715285.94809392258</v>
      </c>
      <c r="BH26" s="166">
        <f>SUM($B$25:BH25)</f>
        <v>715285.94809392258</v>
      </c>
      <c r="BI26" s="166">
        <f>SUM($B$25:BI25)</f>
        <v>715285.94809392258</v>
      </c>
    </row>
    <row r="27" spans="1:61" ht="15.75" thickBot="1" x14ac:dyDescent="0.3"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K27" s="168"/>
      <c r="AL27" s="168"/>
      <c r="AM27" s="168"/>
      <c r="AN27" s="168"/>
      <c r="AO27" s="168"/>
      <c r="AP27" s="168"/>
      <c r="AQ27" s="168"/>
      <c r="AR27" s="168"/>
      <c r="AS27" s="168"/>
      <c r="AT27" s="168"/>
      <c r="AU27" s="168"/>
      <c r="AV27" s="168"/>
      <c r="AW27" s="168"/>
      <c r="AX27" s="168"/>
      <c r="AY27" s="168"/>
      <c r="AZ27" s="168"/>
      <c r="BA27" s="168"/>
      <c r="BB27" s="168"/>
      <c r="BC27" s="168"/>
      <c r="BD27" s="168"/>
      <c r="BE27" s="168"/>
      <c r="BF27" s="168"/>
      <c r="BG27" s="168"/>
      <c r="BH27" s="168"/>
      <c r="BI27" s="168"/>
    </row>
    <row r="28" spans="1:61" x14ac:dyDescent="0.25">
      <c r="A28" s="164" t="s">
        <v>318</v>
      </c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5"/>
      <c r="BB28" s="165"/>
      <c r="BC28" s="165"/>
      <c r="BD28" s="165"/>
      <c r="BE28" s="165"/>
      <c r="BF28" s="165"/>
      <c r="BG28" s="165"/>
      <c r="BH28" s="165"/>
      <c r="BI28" s="165"/>
    </row>
    <row r="29" spans="1:61" ht="15.75" customHeight="1" x14ac:dyDescent="0.25">
      <c r="A29" s="203" t="s">
        <v>319</v>
      </c>
      <c r="B29" s="14">
        <f t="shared" ref="B29:AG29" si="12">IFERROR(B16/B7,0)</f>
        <v>0</v>
      </c>
      <c r="C29" s="14">
        <f t="shared" si="12"/>
        <v>0</v>
      </c>
      <c r="D29" s="14">
        <f t="shared" si="12"/>
        <v>0</v>
      </c>
      <c r="E29" s="14">
        <f t="shared" si="12"/>
        <v>0</v>
      </c>
      <c r="F29" s="14">
        <f t="shared" si="12"/>
        <v>0</v>
      </c>
      <c r="G29" s="14">
        <f t="shared" si="12"/>
        <v>0</v>
      </c>
      <c r="H29" s="14">
        <f t="shared" si="12"/>
        <v>0</v>
      </c>
      <c r="I29" s="14">
        <f t="shared" si="12"/>
        <v>0</v>
      </c>
      <c r="J29" s="14">
        <f t="shared" si="12"/>
        <v>0</v>
      </c>
      <c r="K29" s="14">
        <f t="shared" si="12"/>
        <v>0</v>
      </c>
      <c r="L29" s="14">
        <f t="shared" si="12"/>
        <v>0</v>
      </c>
      <c r="M29" s="14">
        <f t="shared" si="12"/>
        <v>0</v>
      </c>
      <c r="N29" s="14">
        <f t="shared" si="12"/>
        <v>0</v>
      </c>
      <c r="O29" s="14">
        <f t="shared" si="12"/>
        <v>0</v>
      </c>
      <c r="P29" s="14">
        <f t="shared" si="12"/>
        <v>0</v>
      </c>
      <c r="Q29" s="14">
        <f t="shared" si="12"/>
        <v>0</v>
      </c>
      <c r="R29" s="14">
        <f t="shared" si="12"/>
        <v>0</v>
      </c>
      <c r="S29" s="14">
        <f t="shared" si="12"/>
        <v>0</v>
      </c>
      <c r="T29" s="14">
        <f t="shared" si="12"/>
        <v>0</v>
      </c>
      <c r="U29" s="14">
        <f t="shared" si="12"/>
        <v>0</v>
      </c>
      <c r="V29" s="14">
        <f t="shared" si="12"/>
        <v>0</v>
      </c>
      <c r="W29" s="14">
        <f t="shared" si="12"/>
        <v>0</v>
      </c>
      <c r="X29" s="14">
        <f t="shared" si="12"/>
        <v>0</v>
      </c>
      <c r="Y29" s="14">
        <f t="shared" si="12"/>
        <v>0</v>
      </c>
      <c r="Z29" s="14">
        <f t="shared" si="12"/>
        <v>0</v>
      </c>
      <c r="AA29" s="14">
        <f t="shared" si="12"/>
        <v>0</v>
      </c>
      <c r="AB29" s="14">
        <f t="shared" si="12"/>
        <v>0</v>
      </c>
      <c r="AC29" s="14">
        <f t="shared" si="12"/>
        <v>0</v>
      </c>
      <c r="AD29" s="14">
        <f t="shared" si="12"/>
        <v>0</v>
      </c>
      <c r="AE29" s="14">
        <f t="shared" si="12"/>
        <v>0</v>
      </c>
      <c r="AF29" s="14">
        <f t="shared" si="12"/>
        <v>0</v>
      </c>
      <c r="AG29" s="14">
        <f t="shared" si="12"/>
        <v>0</v>
      </c>
      <c r="AH29" s="14">
        <f t="shared" ref="AH29:BI29" si="13">IFERROR(AH16/AH7,0)</f>
        <v>0</v>
      </c>
      <c r="AI29" s="14">
        <f t="shared" si="13"/>
        <v>0</v>
      </c>
      <c r="AJ29" s="14">
        <f t="shared" si="13"/>
        <v>0</v>
      </c>
      <c r="AK29" s="14">
        <f t="shared" si="13"/>
        <v>0.14145457300607611</v>
      </c>
      <c r="AL29" s="14">
        <f t="shared" si="13"/>
        <v>0</v>
      </c>
      <c r="AM29" s="14">
        <f t="shared" si="13"/>
        <v>0</v>
      </c>
      <c r="AN29" s="14">
        <f t="shared" si="13"/>
        <v>0</v>
      </c>
      <c r="AO29" s="14">
        <f t="shared" si="13"/>
        <v>0</v>
      </c>
      <c r="AP29" s="14">
        <f t="shared" si="13"/>
        <v>0</v>
      </c>
      <c r="AQ29" s="14">
        <f t="shared" si="13"/>
        <v>0</v>
      </c>
      <c r="AR29" s="14">
        <f t="shared" si="13"/>
        <v>0</v>
      </c>
      <c r="AS29" s="14">
        <f t="shared" si="13"/>
        <v>0</v>
      </c>
      <c r="AT29" s="14">
        <f t="shared" si="13"/>
        <v>0</v>
      </c>
      <c r="AU29" s="14">
        <f t="shared" si="13"/>
        <v>0</v>
      </c>
      <c r="AV29" s="14">
        <f t="shared" si="13"/>
        <v>0</v>
      </c>
      <c r="AW29" s="14">
        <f t="shared" si="13"/>
        <v>0</v>
      </c>
      <c r="AX29" s="14">
        <f t="shared" si="13"/>
        <v>0</v>
      </c>
      <c r="AY29" s="14">
        <f t="shared" si="13"/>
        <v>0</v>
      </c>
      <c r="AZ29" s="14">
        <f t="shared" si="13"/>
        <v>0</v>
      </c>
      <c r="BA29" s="14">
        <f t="shared" si="13"/>
        <v>0</v>
      </c>
      <c r="BB29" s="14">
        <f t="shared" si="13"/>
        <v>0</v>
      </c>
      <c r="BC29" s="14">
        <f t="shared" si="13"/>
        <v>0</v>
      </c>
      <c r="BD29" s="14">
        <f t="shared" si="13"/>
        <v>0</v>
      </c>
      <c r="BE29" s="14">
        <f t="shared" si="13"/>
        <v>0</v>
      </c>
      <c r="BF29" s="14">
        <f t="shared" si="13"/>
        <v>0</v>
      </c>
      <c r="BG29" s="14">
        <f t="shared" si="13"/>
        <v>0</v>
      </c>
      <c r="BH29" s="14">
        <f t="shared" si="13"/>
        <v>0</v>
      </c>
      <c r="BI29" s="14">
        <f t="shared" si="13"/>
        <v>0</v>
      </c>
    </row>
    <row r="30" spans="1:61" ht="15.75" customHeight="1" thickBot="1" x14ac:dyDescent="0.3">
      <c r="A30" s="203" t="s">
        <v>320</v>
      </c>
      <c r="B30" s="14">
        <f t="shared" ref="B30:AG30" si="14">IFERROR(B25/B7,0)</f>
        <v>0</v>
      </c>
      <c r="C30" s="14">
        <f t="shared" si="14"/>
        <v>0</v>
      </c>
      <c r="D30" s="14">
        <f t="shared" si="14"/>
        <v>0</v>
      </c>
      <c r="E30" s="14">
        <f t="shared" si="14"/>
        <v>0</v>
      </c>
      <c r="F30" s="14">
        <f t="shared" si="14"/>
        <v>0</v>
      </c>
      <c r="G30" s="14">
        <f t="shared" si="14"/>
        <v>0</v>
      </c>
      <c r="H30" s="14">
        <f t="shared" si="14"/>
        <v>0</v>
      </c>
      <c r="I30" s="14">
        <f t="shared" si="14"/>
        <v>0</v>
      </c>
      <c r="J30" s="14">
        <f t="shared" si="14"/>
        <v>0</v>
      </c>
      <c r="K30" s="14">
        <f t="shared" si="14"/>
        <v>0</v>
      </c>
      <c r="L30" s="14">
        <f t="shared" si="14"/>
        <v>0</v>
      </c>
      <c r="M30" s="14">
        <f t="shared" si="14"/>
        <v>0</v>
      </c>
      <c r="N30" s="14">
        <f t="shared" si="14"/>
        <v>0</v>
      </c>
      <c r="O30" s="14">
        <f t="shared" si="14"/>
        <v>0</v>
      </c>
      <c r="P30" s="14">
        <f t="shared" si="14"/>
        <v>0</v>
      </c>
      <c r="Q30" s="14">
        <f t="shared" si="14"/>
        <v>0</v>
      </c>
      <c r="R30" s="14">
        <f t="shared" si="14"/>
        <v>0</v>
      </c>
      <c r="S30" s="14">
        <f t="shared" si="14"/>
        <v>0</v>
      </c>
      <c r="T30" s="14">
        <f t="shared" si="14"/>
        <v>0</v>
      </c>
      <c r="U30" s="14">
        <f t="shared" si="14"/>
        <v>0</v>
      </c>
      <c r="V30" s="14">
        <f t="shared" si="14"/>
        <v>0</v>
      </c>
      <c r="W30" s="14">
        <f t="shared" si="14"/>
        <v>0</v>
      </c>
      <c r="X30" s="14">
        <f t="shared" si="14"/>
        <v>0</v>
      </c>
      <c r="Y30" s="14">
        <f t="shared" si="14"/>
        <v>0</v>
      </c>
      <c r="Z30" s="14">
        <f t="shared" si="14"/>
        <v>0</v>
      </c>
      <c r="AA30" s="14">
        <f t="shared" si="14"/>
        <v>0</v>
      </c>
      <c r="AB30" s="14">
        <f t="shared" si="14"/>
        <v>0</v>
      </c>
      <c r="AC30" s="14">
        <f t="shared" si="14"/>
        <v>0</v>
      </c>
      <c r="AD30" s="14">
        <f t="shared" si="14"/>
        <v>0</v>
      </c>
      <c r="AE30" s="14">
        <f t="shared" si="14"/>
        <v>0</v>
      </c>
      <c r="AF30" s="14">
        <f t="shared" si="14"/>
        <v>0</v>
      </c>
      <c r="AG30" s="14">
        <f t="shared" si="14"/>
        <v>0</v>
      </c>
      <c r="AH30" s="14">
        <f t="shared" ref="AH30:BI30" si="15">IFERROR(AH25/AH7,0)</f>
        <v>0</v>
      </c>
      <c r="AI30" s="14">
        <f t="shared" si="15"/>
        <v>0</v>
      </c>
      <c r="AJ30" s="14">
        <f t="shared" si="15"/>
        <v>0</v>
      </c>
      <c r="AK30" s="14">
        <f t="shared" si="15"/>
        <v>0.11191514608003471</v>
      </c>
      <c r="AL30" s="14">
        <f t="shared" si="15"/>
        <v>0</v>
      </c>
      <c r="AM30" s="14">
        <f t="shared" si="15"/>
        <v>0</v>
      </c>
      <c r="AN30" s="14">
        <f t="shared" si="15"/>
        <v>0</v>
      </c>
      <c r="AO30" s="14">
        <f t="shared" si="15"/>
        <v>0</v>
      </c>
      <c r="AP30" s="14">
        <f t="shared" si="15"/>
        <v>0</v>
      </c>
      <c r="AQ30" s="14">
        <f t="shared" si="15"/>
        <v>0</v>
      </c>
      <c r="AR30" s="14">
        <f t="shared" si="15"/>
        <v>0</v>
      </c>
      <c r="AS30" s="14">
        <f t="shared" si="15"/>
        <v>0</v>
      </c>
      <c r="AT30" s="14">
        <f t="shared" si="15"/>
        <v>0</v>
      </c>
      <c r="AU30" s="14">
        <f t="shared" si="15"/>
        <v>0</v>
      </c>
      <c r="AV30" s="14">
        <f t="shared" si="15"/>
        <v>0</v>
      </c>
      <c r="AW30" s="14">
        <f t="shared" si="15"/>
        <v>0</v>
      </c>
      <c r="AX30" s="14">
        <f t="shared" si="15"/>
        <v>0</v>
      </c>
      <c r="AY30" s="14">
        <f t="shared" si="15"/>
        <v>0</v>
      </c>
      <c r="AZ30" s="14">
        <f t="shared" si="15"/>
        <v>0</v>
      </c>
      <c r="BA30" s="14">
        <f t="shared" si="15"/>
        <v>0</v>
      </c>
      <c r="BB30" s="14">
        <f t="shared" si="15"/>
        <v>0</v>
      </c>
      <c r="BC30" s="14">
        <f t="shared" si="15"/>
        <v>0</v>
      </c>
      <c r="BD30" s="14">
        <f t="shared" si="15"/>
        <v>0</v>
      </c>
      <c r="BE30" s="14">
        <f t="shared" si="15"/>
        <v>0</v>
      </c>
      <c r="BF30" s="14">
        <f t="shared" si="15"/>
        <v>0</v>
      </c>
      <c r="BG30" s="14">
        <f t="shared" si="15"/>
        <v>0</v>
      </c>
      <c r="BH30" s="14">
        <f t="shared" si="15"/>
        <v>0</v>
      </c>
      <c r="BI30" s="14">
        <f t="shared" si="15"/>
        <v>0</v>
      </c>
    </row>
    <row r="31" spans="1:61" ht="15.75" thickBot="1" x14ac:dyDescent="0.3">
      <c r="A31" s="153" t="s">
        <v>321</v>
      </c>
      <c r="B31" s="166">
        <f>'30_CASHFLOW'!B20</f>
        <v>-1183546</v>
      </c>
      <c r="C31" s="166">
        <f>'30_CASHFLOW'!C20</f>
        <v>0</v>
      </c>
      <c r="D31" s="166">
        <f>'30_CASHFLOW'!D20</f>
        <v>0</v>
      </c>
      <c r="E31" s="166">
        <f>'30_CASHFLOW'!E20</f>
        <v>0</v>
      </c>
      <c r="F31" s="166">
        <f>'30_CASHFLOW'!F20</f>
        <v>0</v>
      </c>
      <c r="G31" s="166">
        <f>'30_CASHFLOW'!G20</f>
        <v>0</v>
      </c>
      <c r="H31" s="166">
        <f>'30_CASHFLOW'!H20</f>
        <v>0</v>
      </c>
      <c r="I31" s="166">
        <f>'30_CASHFLOW'!I20</f>
        <v>0</v>
      </c>
      <c r="J31" s="166">
        <f>'30_CASHFLOW'!J20</f>
        <v>0</v>
      </c>
      <c r="K31" s="166">
        <f>'30_CASHFLOW'!K20</f>
        <v>0</v>
      </c>
      <c r="L31" s="166">
        <f>'30_CASHFLOW'!L20</f>
        <v>0</v>
      </c>
      <c r="M31" s="166">
        <f>'30_CASHFLOW'!M20</f>
        <v>-269680.32000000007</v>
      </c>
      <c r="N31" s="166">
        <f>'30_CASHFLOW'!N20</f>
        <v>-269680.32000000007</v>
      </c>
      <c r="O31" s="166">
        <f>'30_CASHFLOW'!O20</f>
        <v>-269680.32000000007</v>
      </c>
      <c r="P31" s="166">
        <f>'30_CASHFLOW'!P20</f>
        <v>-269680.32000000007</v>
      </c>
      <c r="Q31" s="166">
        <f>'30_CASHFLOW'!Q20</f>
        <v>-269680.32000000007</v>
      </c>
      <c r="R31" s="166">
        <f>'30_CASHFLOW'!R20</f>
        <v>-269680.32000000007</v>
      </c>
      <c r="S31" s="166">
        <f>'30_CASHFLOW'!S20</f>
        <v>-269680.32000000007</v>
      </c>
      <c r="T31" s="166">
        <f>'30_CASHFLOW'!T20</f>
        <v>-269680.32000000007</v>
      </c>
      <c r="U31" s="166">
        <f>'30_CASHFLOW'!U20</f>
        <v>-269680.32000000007</v>
      </c>
      <c r="V31" s="166">
        <f>'30_CASHFLOW'!V20</f>
        <v>-269680.32000000007</v>
      </c>
      <c r="W31" s="166">
        <f>'30_CASHFLOW'!W20</f>
        <v>-269680.32000000007</v>
      </c>
      <c r="X31" s="166">
        <f>'30_CASHFLOW'!X20</f>
        <v>-269680.32000000007</v>
      </c>
      <c r="Y31" s="166">
        <f>'30_CASHFLOW'!Y20</f>
        <v>-251805.32000000007</v>
      </c>
      <c r="Z31" s="166">
        <f>'30_CASHFLOW'!Z20</f>
        <v>-251805.32000000007</v>
      </c>
      <c r="AA31" s="166">
        <f>'30_CASHFLOW'!AA20</f>
        <v>-77930.320000000065</v>
      </c>
      <c r="AB31" s="166">
        <f>'30_CASHFLOW'!AB20</f>
        <v>-77930.320000000065</v>
      </c>
      <c r="AC31" s="166">
        <f>'30_CASHFLOW'!AC20</f>
        <v>-77930.320000000065</v>
      </c>
      <c r="AD31" s="166">
        <f>'30_CASHFLOW'!AD20</f>
        <v>-77930.320000000065</v>
      </c>
      <c r="AE31" s="166">
        <f>'30_CASHFLOW'!AE20</f>
        <v>-77930.320000000065</v>
      </c>
      <c r="AF31" s="166">
        <f>'30_CASHFLOW'!AF20</f>
        <v>-77930.320000000065</v>
      </c>
      <c r="AG31" s="166">
        <f>'30_CASHFLOW'!AG20</f>
        <v>-77930.320000000065</v>
      </c>
      <c r="AH31" s="166">
        <f>'30_CASHFLOW'!AH20</f>
        <v>-77930.320000000065</v>
      </c>
      <c r="AI31" s="166">
        <f>'30_CASHFLOW'!AI20</f>
        <v>-88655.320000000065</v>
      </c>
      <c r="AJ31" s="166">
        <f>'30_CASHFLOW'!AJ20</f>
        <v>-95805.320000000065</v>
      </c>
      <c r="AK31" s="166">
        <f>'30_CASHFLOW'!AK20</f>
        <v>7091500</v>
      </c>
      <c r="AL31" s="166">
        <f>'30_CASHFLOW'!AL20</f>
        <v>0</v>
      </c>
      <c r="AM31" s="166">
        <f>'30_CASHFLOW'!AM20</f>
        <v>0</v>
      </c>
      <c r="AN31" s="166">
        <f>'30_CASHFLOW'!AN20</f>
        <v>0</v>
      </c>
      <c r="AO31" s="166">
        <f>'30_CASHFLOW'!AO20</f>
        <v>0</v>
      </c>
      <c r="AP31" s="166">
        <f>'30_CASHFLOW'!AP20</f>
        <v>0</v>
      </c>
      <c r="AQ31" s="166">
        <f>'30_CASHFLOW'!AQ20</f>
        <v>0</v>
      </c>
      <c r="AR31" s="166">
        <f>'30_CASHFLOW'!AR20</f>
        <v>0</v>
      </c>
      <c r="AS31" s="166">
        <f>'30_CASHFLOW'!AS20</f>
        <v>0</v>
      </c>
      <c r="AT31" s="166">
        <f>'30_CASHFLOW'!AT20</f>
        <v>0</v>
      </c>
      <c r="AU31" s="166">
        <f>'30_CASHFLOW'!AU20</f>
        <v>0</v>
      </c>
      <c r="AV31" s="166">
        <f>'30_CASHFLOW'!AV20</f>
        <v>0</v>
      </c>
      <c r="AW31" s="166">
        <f>'30_CASHFLOW'!AW20</f>
        <v>0</v>
      </c>
      <c r="AX31" s="166">
        <f>'30_CASHFLOW'!AX20</f>
        <v>0</v>
      </c>
      <c r="AY31" s="166">
        <f>'30_CASHFLOW'!AY20</f>
        <v>0</v>
      </c>
      <c r="AZ31" s="166">
        <f>'30_CASHFLOW'!AZ20</f>
        <v>0</v>
      </c>
      <c r="BA31" s="166">
        <f>'30_CASHFLOW'!BA20</f>
        <v>0</v>
      </c>
      <c r="BB31" s="166">
        <f>'30_CASHFLOW'!BB20</f>
        <v>0</v>
      </c>
      <c r="BC31" s="166">
        <f>'30_CASHFLOW'!BC20</f>
        <v>0</v>
      </c>
      <c r="BD31" s="166">
        <f>'30_CASHFLOW'!BD20</f>
        <v>0</v>
      </c>
      <c r="BE31" s="166">
        <f>'30_CASHFLOW'!BE20</f>
        <v>0</v>
      </c>
      <c r="BF31" s="166">
        <f>'30_CASHFLOW'!BF20</f>
        <v>0</v>
      </c>
      <c r="BG31" s="166">
        <f>'30_CASHFLOW'!BG20</f>
        <v>0</v>
      </c>
      <c r="BH31" s="166">
        <f>'30_CASHFLOW'!BH20</f>
        <v>0</v>
      </c>
      <c r="BI31" s="166">
        <f>'30_CASHFLOW'!BI20</f>
        <v>0</v>
      </c>
    </row>
    <row r="32" spans="1:61" x14ac:dyDescent="0.25">
      <c r="A32" s="153" t="s">
        <v>322</v>
      </c>
      <c r="B32" s="166">
        <f>ABS('30_CASHFLOW'!B8)</f>
        <v>1183546</v>
      </c>
      <c r="C32" s="166">
        <f>ABS('30_CASHFLOW'!C8)</f>
        <v>0</v>
      </c>
      <c r="D32" s="166">
        <f>ABS('30_CASHFLOW'!D8)</f>
        <v>0</v>
      </c>
      <c r="E32" s="166">
        <f>ABS('30_CASHFLOW'!E8)</f>
        <v>0</v>
      </c>
      <c r="F32" s="166">
        <f>ABS('30_CASHFLOW'!F8)</f>
        <v>0</v>
      </c>
      <c r="G32" s="166">
        <f>ABS('30_CASHFLOW'!G8)</f>
        <v>0</v>
      </c>
      <c r="H32" s="166">
        <f>ABS('30_CASHFLOW'!H8)</f>
        <v>0</v>
      </c>
      <c r="I32" s="166">
        <f>ABS('30_CASHFLOW'!I8)</f>
        <v>0</v>
      </c>
      <c r="J32" s="166">
        <f>ABS('30_CASHFLOW'!J8)</f>
        <v>0</v>
      </c>
      <c r="K32" s="166">
        <f>ABS('30_CASHFLOW'!K8)</f>
        <v>0</v>
      </c>
      <c r="L32" s="166">
        <f>ABS('30_CASHFLOW'!L8)</f>
        <v>0</v>
      </c>
      <c r="M32" s="166">
        <f>ABS('30_CASHFLOW'!M8)</f>
        <v>269680.32000000007</v>
      </c>
      <c r="N32" s="166">
        <f>ABS('30_CASHFLOW'!N8)</f>
        <v>269680.32000000007</v>
      </c>
      <c r="O32" s="166">
        <f>ABS('30_CASHFLOW'!O8)</f>
        <v>269680.32000000007</v>
      </c>
      <c r="P32" s="166">
        <f>ABS('30_CASHFLOW'!P8)</f>
        <v>269680.32000000007</v>
      </c>
      <c r="Q32" s="166">
        <f>ABS('30_CASHFLOW'!Q8)</f>
        <v>269680.32000000007</v>
      </c>
      <c r="R32" s="166">
        <f>ABS('30_CASHFLOW'!R8)</f>
        <v>269680.32000000007</v>
      </c>
      <c r="S32" s="166">
        <f>ABS('30_CASHFLOW'!S8)</f>
        <v>269680.32000000007</v>
      </c>
      <c r="T32" s="166">
        <f>ABS('30_CASHFLOW'!T8)</f>
        <v>269680.32000000007</v>
      </c>
      <c r="U32" s="166">
        <f>ABS('30_CASHFLOW'!U8)</f>
        <v>269680.32000000007</v>
      </c>
      <c r="V32" s="166">
        <f>ABS('30_CASHFLOW'!V8)</f>
        <v>269680.32000000007</v>
      </c>
      <c r="W32" s="166">
        <f>ABS('30_CASHFLOW'!W8)</f>
        <v>269680.32000000007</v>
      </c>
      <c r="X32" s="166">
        <f>ABS('30_CASHFLOW'!X8)</f>
        <v>269680.32000000007</v>
      </c>
      <c r="Y32" s="166">
        <f>ABS('30_CASHFLOW'!Y8)</f>
        <v>269680.32000000007</v>
      </c>
      <c r="Z32" s="166">
        <f>ABS('30_CASHFLOW'!Z8)</f>
        <v>269680.32000000007</v>
      </c>
      <c r="AA32" s="166">
        <f>ABS('30_CASHFLOW'!AA8)</f>
        <v>269680.32000000007</v>
      </c>
      <c r="AB32" s="166">
        <f>ABS('30_CASHFLOW'!AB8)</f>
        <v>269680.32000000007</v>
      </c>
      <c r="AC32" s="166">
        <f>ABS('30_CASHFLOW'!AC8)</f>
        <v>269680.32000000007</v>
      </c>
      <c r="AD32" s="166">
        <f>ABS('30_CASHFLOW'!AD8)</f>
        <v>269680.32000000007</v>
      </c>
      <c r="AE32" s="166">
        <f>ABS('30_CASHFLOW'!AE8)</f>
        <v>269680.32000000007</v>
      </c>
      <c r="AF32" s="166">
        <f>ABS('30_CASHFLOW'!AF8)</f>
        <v>269680.32000000007</v>
      </c>
      <c r="AG32" s="166">
        <f>ABS('30_CASHFLOW'!AG8)</f>
        <v>269680.32000000007</v>
      </c>
      <c r="AH32" s="166">
        <f>ABS('30_CASHFLOW'!AH8)</f>
        <v>269680.32000000007</v>
      </c>
      <c r="AI32" s="166">
        <f>ABS('30_CASHFLOW'!AI8)</f>
        <v>269680.32000000007</v>
      </c>
      <c r="AJ32" s="166">
        <f>ABS('30_CASHFLOW'!AJ8)</f>
        <v>269680.32000000007</v>
      </c>
      <c r="AK32" s="166">
        <f>ABS('30_CASHFLOW'!AK8)</f>
        <v>0</v>
      </c>
      <c r="AL32" s="166">
        <f>ABS('30_CASHFLOW'!AL8)</f>
        <v>0</v>
      </c>
      <c r="AM32" s="166">
        <f>ABS('30_CASHFLOW'!AM8)</f>
        <v>0</v>
      </c>
      <c r="AN32" s="166">
        <f>ABS('30_CASHFLOW'!AN8)</f>
        <v>0</v>
      </c>
      <c r="AO32" s="166">
        <f>ABS('30_CASHFLOW'!AO8)</f>
        <v>0</v>
      </c>
      <c r="AP32" s="166">
        <f>ABS('30_CASHFLOW'!AP8)</f>
        <v>0</v>
      </c>
      <c r="AQ32" s="166">
        <f>ABS('30_CASHFLOW'!AQ8)</f>
        <v>0</v>
      </c>
      <c r="AR32" s="166">
        <f>ABS('30_CASHFLOW'!AR8)</f>
        <v>0</v>
      </c>
      <c r="AS32" s="166">
        <f>ABS('30_CASHFLOW'!AS8)</f>
        <v>0</v>
      </c>
      <c r="AT32" s="166">
        <f>ABS('30_CASHFLOW'!AT8)</f>
        <v>0</v>
      </c>
      <c r="AU32" s="166">
        <f>ABS('30_CASHFLOW'!AU8)</f>
        <v>0</v>
      </c>
      <c r="AV32" s="166">
        <f>ABS('30_CASHFLOW'!AV8)</f>
        <v>0</v>
      </c>
      <c r="AW32" s="166">
        <f>ABS('30_CASHFLOW'!AW8)</f>
        <v>0</v>
      </c>
      <c r="AX32" s="166">
        <f>ABS('30_CASHFLOW'!AX8)</f>
        <v>0</v>
      </c>
      <c r="AY32" s="166">
        <f>ABS('30_CASHFLOW'!AY8)</f>
        <v>0</v>
      </c>
      <c r="AZ32" s="166">
        <f>ABS('30_CASHFLOW'!AZ8)</f>
        <v>0</v>
      </c>
      <c r="BA32" s="166">
        <f>ABS('30_CASHFLOW'!BA8)</f>
        <v>0</v>
      </c>
      <c r="BB32" s="166">
        <f>ABS('30_CASHFLOW'!BB8)</f>
        <v>0</v>
      </c>
      <c r="BC32" s="166">
        <f>ABS('30_CASHFLOW'!BC8)</f>
        <v>0</v>
      </c>
      <c r="BD32" s="166">
        <f>ABS('30_CASHFLOW'!BD8)</f>
        <v>0</v>
      </c>
      <c r="BE32" s="166">
        <f>ABS('30_CASHFLOW'!BE8)</f>
        <v>0</v>
      </c>
      <c r="BF32" s="166">
        <f>ABS('30_CASHFLOW'!BF8)</f>
        <v>0</v>
      </c>
      <c r="BG32" s="166">
        <f>ABS('30_CASHFLOW'!BG8)</f>
        <v>0</v>
      </c>
      <c r="BH32" s="166">
        <f>ABS('30_CASHFLOW'!BH8)</f>
        <v>0</v>
      </c>
      <c r="BI32" s="166">
        <f>ABS('30_CASHFLOW'!BI8)</f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79998168889431442"/>
  </sheetPr>
  <dimension ref="A1:BI44"/>
  <sheetViews>
    <sheetView showGridLines="0" workbookViewId="0">
      <pane xSplit="1" ySplit="6" topLeftCell="B22" activePane="bottomRight" state="frozen"/>
      <selection pane="topRight"/>
      <selection pane="bottomLeft"/>
      <selection pane="bottomRight" activeCell="D4" sqref="D3:D4"/>
    </sheetView>
  </sheetViews>
  <sheetFormatPr baseColWidth="10" defaultColWidth="9.140625" defaultRowHeight="15" x14ac:dyDescent="0.25"/>
  <cols>
    <col min="1" max="1" width="66" customWidth="1"/>
    <col min="2" max="182" width="11.42578125" customWidth="1"/>
  </cols>
  <sheetData>
    <row r="1" spans="1:61" ht="26.25" x14ac:dyDescent="0.4">
      <c r="A1" s="199" t="s">
        <v>372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172"/>
      <c r="BG1" s="172"/>
      <c r="BH1" s="172"/>
      <c r="BI1" s="172"/>
    </row>
    <row r="2" spans="1:61" x14ac:dyDescent="0.25">
      <c r="A2" s="163" t="s">
        <v>301</v>
      </c>
      <c r="B2" s="162" t="str">
        <f>'00_ESTRATEGIA'!B3</f>
        <v>Unifamiliar seg.</v>
      </c>
      <c r="C2" s="162"/>
      <c r="D2" s="162" t="s">
        <v>302</v>
      </c>
      <c r="E2" s="162" t="str">
        <f>'00_ESTRATEGIA'!B4</f>
        <v>Base</v>
      </c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</row>
    <row r="3" spans="1:61" ht="6" customHeight="1" x14ac:dyDescent="0.25"/>
    <row r="4" spans="1:61" x14ac:dyDescent="0.25">
      <c r="A4" s="139" t="s">
        <v>281</v>
      </c>
      <c r="B4" s="140">
        <v>0</v>
      </c>
      <c r="C4" s="140">
        <v>1</v>
      </c>
      <c r="D4" s="140">
        <v>2</v>
      </c>
      <c r="E4" s="140">
        <v>3</v>
      </c>
      <c r="F4" s="140">
        <v>4</v>
      </c>
      <c r="G4" s="140">
        <v>5</v>
      </c>
      <c r="H4" s="140">
        <v>6</v>
      </c>
      <c r="I4" s="140">
        <v>7</v>
      </c>
      <c r="J4" s="140">
        <v>8</v>
      </c>
      <c r="K4" s="140">
        <v>9</v>
      </c>
      <c r="L4" s="140">
        <v>10</v>
      </c>
      <c r="M4" s="140">
        <v>11</v>
      </c>
      <c r="N4" s="140">
        <v>12</v>
      </c>
      <c r="O4" s="140">
        <v>13</v>
      </c>
      <c r="P4" s="140">
        <v>14</v>
      </c>
      <c r="Q4" s="140">
        <v>15</v>
      </c>
      <c r="R4" s="140">
        <v>16</v>
      </c>
      <c r="S4" s="140">
        <v>17</v>
      </c>
      <c r="T4" s="140">
        <v>18</v>
      </c>
      <c r="U4" s="140">
        <v>19</v>
      </c>
      <c r="V4" s="140">
        <v>20</v>
      </c>
      <c r="W4" s="140">
        <v>21</v>
      </c>
      <c r="X4" s="140">
        <v>22</v>
      </c>
      <c r="Y4" s="140">
        <v>23</v>
      </c>
      <c r="Z4" s="140">
        <v>24</v>
      </c>
      <c r="AA4" s="140">
        <v>25</v>
      </c>
      <c r="AB4" s="140">
        <v>26</v>
      </c>
      <c r="AC4" s="140">
        <v>27</v>
      </c>
      <c r="AD4" s="140">
        <v>28</v>
      </c>
      <c r="AE4" s="140">
        <v>29</v>
      </c>
      <c r="AF4" s="140">
        <v>30</v>
      </c>
      <c r="AG4" s="140">
        <v>31</v>
      </c>
      <c r="AH4" s="140">
        <v>32</v>
      </c>
      <c r="AI4" s="140">
        <v>33</v>
      </c>
      <c r="AJ4" s="140">
        <v>34</v>
      </c>
      <c r="AK4" s="140">
        <v>35</v>
      </c>
      <c r="AL4" s="140">
        <v>36</v>
      </c>
      <c r="AM4" s="140">
        <v>37</v>
      </c>
      <c r="AN4" s="140">
        <v>38</v>
      </c>
      <c r="AO4" s="140">
        <v>39</v>
      </c>
      <c r="AP4" s="140">
        <v>40</v>
      </c>
      <c r="AQ4" s="140">
        <v>41</v>
      </c>
      <c r="AR4" s="140">
        <v>42</v>
      </c>
      <c r="AS4" s="140">
        <v>43</v>
      </c>
      <c r="AT4" s="140">
        <v>44</v>
      </c>
      <c r="AU4" s="140">
        <v>45</v>
      </c>
      <c r="AV4" s="140">
        <v>46</v>
      </c>
      <c r="AW4" s="140">
        <v>47</v>
      </c>
      <c r="AX4" s="140">
        <v>48</v>
      </c>
      <c r="AY4" s="140">
        <v>49</v>
      </c>
      <c r="AZ4" s="140">
        <v>50</v>
      </c>
      <c r="BA4" s="140">
        <v>51</v>
      </c>
      <c r="BB4" s="140">
        <v>52</v>
      </c>
      <c r="BC4" s="140">
        <v>53</v>
      </c>
      <c r="BD4" s="140">
        <v>54</v>
      </c>
      <c r="BE4" s="140">
        <v>55</v>
      </c>
      <c r="BF4" s="140">
        <v>56</v>
      </c>
      <c r="BG4" s="140">
        <v>57</v>
      </c>
      <c r="BH4" s="140">
        <v>58</v>
      </c>
      <c r="BI4" s="140">
        <v>59</v>
      </c>
    </row>
    <row r="5" spans="1:61" ht="15.75" customHeight="1" thickBot="1" x14ac:dyDescent="0.3">
      <c r="A5" s="141" t="s">
        <v>184</v>
      </c>
      <c r="B5" s="142" t="s">
        <v>185</v>
      </c>
      <c r="C5" s="142" t="s">
        <v>185</v>
      </c>
      <c r="D5" s="142" t="s">
        <v>185</v>
      </c>
      <c r="E5" s="142" t="s">
        <v>185</v>
      </c>
      <c r="F5" s="142" t="s">
        <v>185</v>
      </c>
      <c r="G5" s="142" t="s">
        <v>185</v>
      </c>
      <c r="H5" s="142" t="s">
        <v>185</v>
      </c>
      <c r="I5" s="142" t="s">
        <v>185</v>
      </c>
      <c r="J5" s="142" t="s">
        <v>185</v>
      </c>
      <c r="K5" s="142" t="s">
        <v>185</v>
      </c>
      <c r="L5" s="142" t="s">
        <v>185</v>
      </c>
      <c r="M5" s="142" t="s">
        <v>185</v>
      </c>
      <c r="N5" s="142" t="s">
        <v>186</v>
      </c>
      <c r="O5" s="142" t="s">
        <v>186</v>
      </c>
      <c r="P5" s="142" t="s">
        <v>186</v>
      </c>
      <c r="Q5" s="142" t="s">
        <v>186</v>
      </c>
      <c r="R5" s="142" t="s">
        <v>186</v>
      </c>
      <c r="S5" s="142" t="s">
        <v>186</v>
      </c>
      <c r="T5" s="142" t="s">
        <v>186</v>
      </c>
      <c r="U5" s="142" t="s">
        <v>186</v>
      </c>
      <c r="V5" s="142" t="s">
        <v>186</v>
      </c>
      <c r="W5" s="142" t="s">
        <v>186</v>
      </c>
      <c r="X5" s="142" t="s">
        <v>186</v>
      </c>
      <c r="Y5" s="142" t="s">
        <v>186</v>
      </c>
      <c r="Z5" s="142" t="s">
        <v>187</v>
      </c>
      <c r="AA5" s="142" t="s">
        <v>187</v>
      </c>
      <c r="AB5" s="142" t="s">
        <v>187</v>
      </c>
      <c r="AC5" s="142" t="s">
        <v>187</v>
      </c>
      <c r="AD5" s="142" t="s">
        <v>187</v>
      </c>
      <c r="AE5" s="142" t="s">
        <v>187</v>
      </c>
      <c r="AF5" s="142" t="s">
        <v>187</v>
      </c>
      <c r="AG5" s="142" t="s">
        <v>187</v>
      </c>
      <c r="AH5" s="142" t="s">
        <v>187</v>
      </c>
      <c r="AI5" s="142" t="s">
        <v>187</v>
      </c>
      <c r="AJ5" s="142" t="s">
        <v>187</v>
      </c>
      <c r="AK5" s="142" t="s">
        <v>187</v>
      </c>
      <c r="AL5" s="142" t="s">
        <v>188</v>
      </c>
      <c r="AM5" s="142" t="s">
        <v>188</v>
      </c>
      <c r="AN5" s="142" t="s">
        <v>188</v>
      </c>
      <c r="AO5" s="142" t="s">
        <v>188</v>
      </c>
      <c r="AP5" s="142" t="s">
        <v>188</v>
      </c>
      <c r="AQ5" s="142" t="s">
        <v>188</v>
      </c>
      <c r="AR5" s="142" t="s">
        <v>188</v>
      </c>
      <c r="AS5" s="142" t="s">
        <v>188</v>
      </c>
      <c r="AT5" s="142" t="s">
        <v>188</v>
      </c>
      <c r="AU5" s="142" t="s">
        <v>188</v>
      </c>
      <c r="AV5" s="142" t="s">
        <v>188</v>
      </c>
      <c r="AW5" s="142" t="s">
        <v>188</v>
      </c>
      <c r="AX5" s="142" t="s">
        <v>189</v>
      </c>
      <c r="AY5" s="142" t="s">
        <v>189</v>
      </c>
      <c r="AZ5" s="142" t="s">
        <v>189</v>
      </c>
      <c r="BA5" s="142" t="s">
        <v>189</v>
      </c>
      <c r="BB5" s="142" t="s">
        <v>189</v>
      </c>
      <c r="BC5" s="142" t="s">
        <v>189</v>
      </c>
      <c r="BD5" s="142" t="s">
        <v>189</v>
      </c>
      <c r="BE5" s="142" t="s">
        <v>189</v>
      </c>
      <c r="BF5" s="142" t="s">
        <v>189</v>
      </c>
      <c r="BG5" s="142" t="s">
        <v>189</v>
      </c>
      <c r="BH5" s="142" t="s">
        <v>189</v>
      </c>
      <c r="BI5" s="142" t="s">
        <v>189</v>
      </c>
    </row>
    <row r="6" spans="1:61" x14ac:dyDescent="0.25">
      <c r="A6" s="143" t="s">
        <v>303</v>
      </c>
      <c r="B6" s="160" t="s">
        <v>201</v>
      </c>
      <c r="C6" s="160" t="s">
        <v>202</v>
      </c>
      <c r="D6" s="160" t="s">
        <v>203</v>
      </c>
      <c r="E6" s="160" t="s">
        <v>204</v>
      </c>
      <c r="F6" s="160" t="s">
        <v>205</v>
      </c>
      <c r="G6" s="160" t="s">
        <v>206</v>
      </c>
      <c r="H6" s="160" t="s">
        <v>207</v>
      </c>
      <c r="I6" s="160" t="s">
        <v>208</v>
      </c>
      <c r="J6" s="160" t="s">
        <v>209</v>
      </c>
      <c r="K6" s="160" t="s">
        <v>210</v>
      </c>
      <c r="L6" s="160" t="s">
        <v>211</v>
      </c>
      <c r="M6" s="160" t="s">
        <v>212</v>
      </c>
      <c r="N6" s="160" t="s">
        <v>213</v>
      </c>
      <c r="O6" s="160" t="s">
        <v>214</v>
      </c>
      <c r="P6" s="160" t="s">
        <v>215</v>
      </c>
      <c r="Q6" s="160" t="s">
        <v>216</v>
      </c>
      <c r="R6" s="160" t="s">
        <v>217</v>
      </c>
      <c r="S6" s="160" t="s">
        <v>218</v>
      </c>
      <c r="T6" s="160" t="s">
        <v>219</v>
      </c>
      <c r="U6" s="160" t="s">
        <v>220</v>
      </c>
      <c r="V6" s="160" t="s">
        <v>221</v>
      </c>
      <c r="W6" s="160" t="s">
        <v>222</v>
      </c>
      <c r="X6" s="160" t="s">
        <v>223</v>
      </c>
      <c r="Y6" s="160" t="s">
        <v>224</v>
      </c>
      <c r="Z6" s="160" t="s">
        <v>225</v>
      </c>
      <c r="AA6" s="160" t="s">
        <v>226</v>
      </c>
      <c r="AB6" s="160" t="s">
        <v>227</v>
      </c>
      <c r="AC6" s="160" t="s">
        <v>228</v>
      </c>
      <c r="AD6" s="160" t="s">
        <v>229</v>
      </c>
      <c r="AE6" s="160" t="s">
        <v>230</v>
      </c>
      <c r="AF6" s="160" t="s">
        <v>231</v>
      </c>
      <c r="AG6" s="160" t="s">
        <v>232</v>
      </c>
      <c r="AH6" s="160" t="s">
        <v>233</v>
      </c>
      <c r="AI6" s="160" t="s">
        <v>234</v>
      </c>
      <c r="AJ6" s="160" t="s">
        <v>235</v>
      </c>
      <c r="AK6" s="160" t="s">
        <v>236</v>
      </c>
      <c r="AL6" s="160" t="s">
        <v>237</v>
      </c>
      <c r="AM6" s="160" t="s">
        <v>238</v>
      </c>
      <c r="AN6" s="160" t="s">
        <v>239</v>
      </c>
      <c r="AO6" s="160" t="s">
        <v>240</v>
      </c>
      <c r="AP6" s="160" t="s">
        <v>241</v>
      </c>
      <c r="AQ6" s="160" t="s">
        <v>242</v>
      </c>
      <c r="AR6" s="160" t="s">
        <v>243</v>
      </c>
      <c r="AS6" s="160" t="s">
        <v>244</v>
      </c>
      <c r="AT6" s="160" t="s">
        <v>245</v>
      </c>
      <c r="AU6" s="160" t="s">
        <v>246</v>
      </c>
      <c r="AV6" s="160" t="s">
        <v>247</v>
      </c>
      <c r="AW6" s="160" t="s">
        <v>248</v>
      </c>
      <c r="AX6" s="160" t="s">
        <v>249</v>
      </c>
      <c r="AY6" s="160" t="s">
        <v>250</v>
      </c>
      <c r="AZ6" s="160" t="s">
        <v>251</v>
      </c>
      <c r="BA6" s="160" t="s">
        <v>252</v>
      </c>
      <c r="BB6" s="160" t="s">
        <v>253</v>
      </c>
      <c r="BC6" s="160" t="s">
        <v>254</v>
      </c>
      <c r="BD6" s="160" t="s">
        <v>255</v>
      </c>
      <c r="BE6" s="160" t="s">
        <v>256</v>
      </c>
      <c r="BF6" s="160" t="s">
        <v>257</v>
      </c>
      <c r="BG6" s="160" t="s">
        <v>258</v>
      </c>
      <c r="BH6" s="160" t="s">
        <v>259</v>
      </c>
      <c r="BI6" s="160" t="s">
        <v>260</v>
      </c>
    </row>
    <row r="7" spans="1:61" x14ac:dyDescent="0.25">
      <c r="A7" s="169"/>
      <c r="B7" s="170"/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0"/>
      <c r="AK7" s="170"/>
      <c r="AL7" s="170"/>
      <c r="AM7" s="170"/>
      <c r="AN7" s="170"/>
      <c r="AO7" s="170"/>
      <c r="AP7" s="170"/>
      <c r="AQ7" s="170"/>
      <c r="AR7" s="170"/>
      <c r="AS7" s="170"/>
      <c r="AT7" s="170"/>
      <c r="AU7" s="170"/>
      <c r="AV7" s="170"/>
      <c r="AW7" s="170"/>
      <c r="AX7" s="170"/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</row>
    <row r="8" spans="1:61" ht="21.75" customHeight="1" thickBot="1" x14ac:dyDescent="0.4">
      <c r="A8" s="198" t="s">
        <v>323</v>
      </c>
      <c r="B8" s="197"/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  <c r="AA8" s="197"/>
      <c r="AB8" s="197"/>
      <c r="AC8" s="197"/>
      <c r="AD8" s="197"/>
      <c r="AE8" s="197"/>
      <c r="AF8" s="197"/>
      <c r="AG8" s="197"/>
      <c r="AH8" s="197"/>
      <c r="AI8" s="197"/>
      <c r="AJ8" s="197"/>
      <c r="AK8" s="197"/>
      <c r="AL8" s="197"/>
      <c r="AM8" s="197"/>
      <c r="AN8" s="197"/>
      <c r="AO8" s="197"/>
      <c r="AP8" s="197"/>
      <c r="AQ8" s="197"/>
      <c r="AR8" s="197"/>
      <c r="AS8" s="197"/>
      <c r="AT8" s="197"/>
      <c r="AU8" s="197"/>
      <c r="AV8" s="197"/>
      <c r="AW8" s="197"/>
      <c r="AX8" s="197"/>
      <c r="AY8" s="197"/>
      <c r="AZ8" s="197"/>
      <c r="BA8" s="197"/>
      <c r="BB8" s="197"/>
      <c r="BC8" s="197"/>
      <c r="BD8" s="197"/>
      <c r="BE8" s="197"/>
      <c r="BF8" s="197"/>
      <c r="BG8" s="197"/>
      <c r="BH8" s="197"/>
      <c r="BI8" s="197"/>
    </row>
    <row r="9" spans="1:61" ht="15.75" customHeight="1" thickTop="1" x14ac:dyDescent="0.25">
      <c r="A9" t="s">
        <v>324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  <c r="AH9" s="193"/>
      <c r="AI9" s="193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193"/>
      <c r="BG9" s="193"/>
      <c r="BH9" s="193"/>
      <c r="BI9" s="193"/>
    </row>
    <row r="10" spans="1:61" ht="15.75" customHeight="1" thickBot="1" x14ac:dyDescent="0.3">
      <c r="A10" t="s">
        <v>325</v>
      </c>
      <c r="B10" s="196">
        <f>0</f>
        <v>0</v>
      </c>
      <c r="C10" s="196">
        <f>0</f>
        <v>0</v>
      </c>
      <c r="D10" s="196">
        <f>0</f>
        <v>0</v>
      </c>
      <c r="E10" s="196">
        <f>0</f>
        <v>0</v>
      </c>
      <c r="F10" s="196">
        <f>0</f>
        <v>0</v>
      </c>
      <c r="G10" s="196">
        <f>0</f>
        <v>0</v>
      </c>
      <c r="H10" s="196">
        <f>0</f>
        <v>0</v>
      </c>
      <c r="I10" s="196">
        <f>0</f>
        <v>0</v>
      </c>
      <c r="J10" s="196">
        <f>0</f>
        <v>0</v>
      </c>
      <c r="K10" s="196">
        <f>0</f>
        <v>0</v>
      </c>
      <c r="L10" s="196">
        <f>0</f>
        <v>0</v>
      </c>
      <c r="M10" s="196">
        <f>0</f>
        <v>0</v>
      </c>
      <c r="N10" s="196">
        <f>0</f>
        <v>0</v>
      </c>
      <c r="O10" s="196">
        <f>0</f>
        <v>0</v>
      </c>
      <c r="P10" s="196">
        <f>0</f>
        <v>0</v>
      </c>
      <c r="Q10" s="196">
        <f>0</f>
        <v>0</v>
      </c>
      <c r="R10" s="196">
        <f>0</f>
        <v>0</v>
      </c>
      <c r="S10" s="196">
        <f>0</f>
        <v>0</v>
      </c>
      <c r="T10" s="196">
        <f>0</f>
        <v>0</v>
      </c>
      <c r="U10" s="196">
        <f>0</f>
        <v>0</v>
      </c>
      <c r="V10" s="196">
        <f>0</f>
        <v>0</v>
      </c>
      <c r="W10" s="196">
        <f>0</f>
        <v>0</v>
      </c>
      <c r="X10" s="196">
        <f>0</f>
        <v>0</v>
      </c>
      <c r="Y10" s="196">
        <f>0</f>
        <v>0</v>
      </c>
      <c r="Z10" s="196">
        <f>0</f>
        <v>0</v>
      </c>
      <c r="AA10" s="196">
        <f>0</f>
        <v>0</v>
      </c>
      <c r="AB10" s="196">
        <f>0</f>
        <v>0</v>
      </c>
      <c r="AC10" s="196">
        <f>0</f>
        <v>0</v>
      </c>
      <c r="AD10" s="196">
        <f>0</f>
        <v>0</v>
      </c>
      <c r="AE10" s="196">
        <f>0</f>
        <v>0</v>
      </c>
      <c r="AF10" s="196">
        <f>0</f>
        <v>0</v>
      </c>
      <c r="AG10" s="196">
        <f>0</f>
        <v>0</v>
      </c>
      <c r="AH10" s="196">
        <f>0</f>
        <v>0</v>
      </c>
      <c r="AI10" s="196">
        <f>0</f>
        <v>0</v>
      </c>
      <c r="AJ10" s="196">
        <f>0</f>
        <v>0</v>
      </c>
      <c r="AK10" s="196">
        <f>0</f>
        <v>0</v>
      </c>
      <c r="AL10" s="196">
        <f>0</f>
        <v>0</v>
      </c>
      <c r="AM10" s="196">
        <f>0</f>
        <v>0</v>
      </c>
      <c r="AN10" s="196">
        <f>0</f>
        <v>0</v>
      </c>
      <c r="AO10" s="196">
        <f>0</f>
        <v>0</v>
      </c>
      <c r="AP10" s="196">
        <f>0</f>
        <v>0</v>
      </c>
      <c r="AQ10" s="196">
        <f>0</f>
        <v>0</v>
      </c>
      <c r="AR10" s="196">
        <f>0</f>
        <v>0</v>
      </c>
      <c r="AS10" s="196">
        <f>0</f>
        <v>0</v>
      </c>
      <c r="AT10" s="196">
        <f>0</f>
        <v>0</v>
      </c>
      <c r="AU10" s="196">
        <f>0</f>
        <v>0</v>
      </c>
      <c r="AV10" s="196">
        <f>0</f>
        <v>0</v>
      </c>
      <c r="AW10" s="196">
        <f>0</f>
        <v>0</v>
      </c>
      <c r="AX10" s="196">
        <f>0</f>
        <v>0</v>
      </c>
      <c r="AY10" s="196">
        <f>0</f>
        <v>0</v>
      </c>
      <c r="AZ10" s="196">
        <f>0</f>
        <v>0</v>
      </c>
      <c r="BA10" s="196">
        <f>0</f>
        <v>0</v>
      </c>
      <c r="BB10" s="196">
        <f>0</f>
        <v>0</v>
      </c>
      <c r="BC10" s="196">
        <f>0</f>
        <v>0</v>
      </c>
      <c r="BD10" s="196">
        <f>0</f>
        <v>0</v>
      </c>
      <c r="BE10" s="196">
        <f>0</f>
        <v>0</v>
      </c>
      <c r="BF10" s="196">
        <f>0</f>
        <v>0</v>
      </c>
      <c r="BG10" s="196">
        <f>0</f>
        <v>0</v>
      </c>
      <c r="BH10" s="196">
        <f>0</f>
        <v>0</v>
      </c>
      <c r="BI10" s="196">
        <f>0</f>
        <v>0</v>
      </c>
    </row>
    <row r="11" spans="1:61" x14ac:dyDescent="0.25">
      <c r="A11" s="195" t="s">
        <v>326</v>
      </c>
      <c r="B11" s="194">
        <f t="shared" ref="B11:AG11" si="0">SUM(B10:B10)</f>
        <v>0</v>
      </c>
      <c r="C11" s="194">
        <f t="shared" si="0"/>
        <v>0</v>
      </c>
      <c r="D11" s="194">
        <f t="shared" si="0"/>
        <v>0</v>
      </c>
      <c r="E11" s="194">
        <f t="shared" si="0"/>
        <v>0</v>
      </c>
      <c r="F11" s="194">
        <f t="shared" si="0"/>
        <v>0</v>
      </c>
      <c r="G11" s="194">
        <f t="shared" si="0"/>
        <v>0</v>
      </c>
      <c r="H11" s="194">
        <f t="shared" si="0"/>
        <v>0</v>
      </c>
      <c r="I11" s="194">
        <f t="shared" si="0"/>
        <v>0</v>
      </c>
      <c r="J11" s="194">
        <f t="shared" si="0"/>
        <v>0</v>
      </c>
      <c r="K11" s="194">
        <f t="shared" si="0"/>
        <v>0</v>
      </c>
      <c r="L11" s="194">
        <f t="shared" si="0"/>
        <v>0</v>
      </c>
      <c r="M11" s="194">
        <f t="shared" si="0"/>
        <v>0</v>
      </c>
      <c r="N11" s="194">
        <f t="shared" si="0"/>
        <v>0</v>
      </c>
      <c r="O11" s="194">
        <f t="shared" si="0"/>
        <v>0</v>
      </c>
      <c r="P11" s="194">
        <f t="shared" si="0"/>
        <v>0</v>
      </c>
      <c r="Q11" s="194">
        <f t="shared" si="0"/>
        <v>0</v>
      </c>
      <c r="R11" s="194">
        <f t="shared" si="0"/>
        <v>0</v>
      </c>
      <c r="S11" s="194">
        <f t="shared" si="0"/>
        <v>0</v>
      </c>
      <c r="T11" s="194">
        <f t="shared" si="0"/>
        <v>0</v>
      </c>
      <c r="U11" s="194">
        <f t="shared" si="0"/>
        <v>0</v>
      </c>
      <c r="V11" s="194">
        <f t="shared" si="0"/>
        <v>0</v>
      </c>
      <c r="W11" s="194">
        <f t="shared" si="0"/>
        <v>0</v>
      </c>
      <c r="X11" s="194">
        <f t="shared" si="0"/>
        <v>0</v>
      </c>
      <c r="Y11" s="194">
        <f t="shared" si="0"/>
        <v>0</v>
      </c>
      <c r="Z11" s="194">
        <f t="shared" si="0"/>
        <v>0</v>
      </c>
      <c r="AA11" s="194">
        <f t="shared" si="0"/>
        <v>0</v>
      </c>
      <c r="AB11" s="194">
        <f t="shared" si="0"/>
        <v>0</v>
      </c>
      <c r="AC11" s="194">
        <f t="shared" si="0"/>
        <v>0</v>
      </c>
      <c r="AD11" s="194">
        <f t="shared" si="0"/>
        <v>0</v>
      </c>
      <c r="AE11" s="194">
        <f t="shared" si="0"/>
        <v>0</v>
      </c>
      <c r="AF11" s="194">
        <f t="shared" si="0"/>
        <v>0</v>
      </c>
      <c r="AG11" s="194">
        <f t="shared" si="0"/>
        <v>0</v>
      </c>
      <c r="AH11" s="194">
        <f t="shared" ref="AH11:BI11" si="1">SUM(AH10:AH10)</f>
        <v>0</v>
      </c>
      <c r="AI11" s="194">
        <f t="shared" si="1"/>
        <v>0</v>
      </c>
      <c r="AJ11" s="194">
        <f t="shared" si="1"/>
        <v>0</v>
      </c>
      <c r="AK11" s="194">
        <f t="shared" si="1"/>
        <v>0</v>
      </c>
      <c r="AL11" s="194">
        <f t="shared" si="1"/>
        <v>0</v>
      </c>
      <c r="AM11" s="194">
        <f t="shared" si="1"/>
        <v>0</v>
      </c>
      <c r="AN11" s="194">
        <f t="shared" si="1"/>
        <v>0</v>
      </c>
      <c r="AO11" s="194">
        <f t="shared" si="1"/>
        <v>0</v>
      </c>
      <c r="AP11" s="194">
        <f t="shared" si="1"/>
        <v>0</v>
      </c>
      <c r="AQ11" s="194">
        <f t="shared" si="1"/>
        <v>0</v>
      </c>
      <c r="AR11" s="194">
        <f t="shared" si="1"/>
        <v>0</v>
      </c>
      <c r="AS11" s="194">
        <f t="shared" si="1"/>
        <v>0</v>
      </c>
      <c r="AT11" s="194">
        <f t="shared" si="1"/>
        <v>0</v>
      </c>
      <c r="AU11" s="194">
        <f t="shared" si="1"/>
        <v>0</v>
      </c>
      <c r="AV11" s="194">
        <f t="shared" si="1"/>
        <v>0</v>
      </c>
      <c r="AW11" s="194">
        <f t="shared" si="1"/>
        <v>0</v>
      </c>
      <c r="AX11" s="194">
        <f t="shared" si="1"/>
        <v>0</v>
      </c>
      <c r="AY11" s="194">
        <f t="shared" si="1"/>
        <v>0</v>
      </c>
      <c r="AZ11" s="194">
        <f t="shared" si="1"/>
        <v>0</v>
      </c>
      <c r="BA11" s="194">
        <f t="shared" si="1"/>
        <v>0</v>
      </c>
      <c r="BB11" s="194">
        <f t="shared" si="1"/>
        <v>0</v>
      </c>
      <c r="BC11" s="194">
        <f t="shared" si="1"/>
        <v>0</v>
      </c>
      <c r="BD11" s="194">
        <f t="shared" si="1"/>
        <v>0</v>
      </c>
      <c r="BE11" s="194">
        <f t="shared" si="1"/>
        <v>0</v>
      </c>
      <c r="BF11" s="194">
        <f t="shared" si="1"/>
        <v>0</v>
      </c>
      <c r="BG11" s="194">
        <f t="shared" si="1"/>
        <v>0</v>
      </c>
      <c r="BH11" s="194">
        <f t="shared" si="1"/>
        <v>0</v>
      </c>
      <c r="BI11" s="194">
        <f t="shared" si="1"/>
        <v>0</v>
      </c>
    </row>
    <row r="12" spans="1:61" x14ac:dyDescent="0.25">
      <c r="B12" s="196"/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  <c r="AI12" s="196"/>
      <c r="AJ12" s="196"/>
      <c r="AK12" s="196"/>
      <c r="AL12" s="196"/>
      <c r="AM12" s="196"/>
      <c r="AN12" s="196"/>
      <c r="AO12" s="196"/>
      <c r="AP12" s="196"/>
      <c r="AQ12" s="196"/>
      <c r="AR12" s="196"/>
      <c r="AS12" s="196"/>
      <c r="AT12" s="196"/>
      <c r="AU12" s="196"/>
      <c r="AV12" s="196"/>
      <c r="AW12" s="196"/>
      <c r="AX12" s="196"/>
      <c r="AY12" s="196"/>
      <c r="AZ12" s="196"/>
      <c r="BA12" s="196"/>
      <c r="BB12" s="196"/>
      <c r="BC12" s="196"/>
      <c r="BD12" s="196"/>
      <c r="BE12" s="196"/>
      <c r="BF12" s="196"/>
      <c r="BG12" s="196"/>
      <c r="BH12" s="196"/>
      <c r="BI12" s="196"/>
    </row>
    <row r="13" spans="1:61" x14ac:dyDescent="0.25">
      <c r="A13" t="s">
        <v>327</v>
      </c>
      <c r="B13" s="193"/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193"/>
      <c r="AG13" s="193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93"/>
      <c r="AS13" s="193"/>
      <c r="AT13" s="193"/>
      <c r="AU13" s="193"/>
      <c r="AV13" s="193"/>
      <c r="AW13" s="193"/>
      <c r="AX13" s="193"/>
      <c r="AY13" s="193"/>
      <c r="AZ13" s="193"/>
      <c r="BA13" s="193"/>
      <c r="BB13" s="193"/>
      <c r="BC13" s="193"/>
      <c r="BD13" s="193"/>
      <c r="BE13" s="193"/>
      <c r="BF13" s="193"/>
      <c r="BG13" s="193"/>
      <c r="BH13" s="193"/>
      <c r="BI13" s="193"/>
    </row>
    <row r="14" spans="1:61" x14ac:dyDescent="0.25">
      <c r="A14" t="s">
        <v>328</v>
      </c>
      <c r="B14" s="196">
        <f>MAX(0,ABS(SUM('30_CASHFLOW'!$B$6:B$6))-SUM('31_P&amp;L'!$B$10:B$10))</f>
        <v>1183546</v>
      </c>
      <c r="C14" s="196">
        <f>MAX(0,ABS(SUM('30_CASHFLOW'!$B$6:C$6))-SUM('31_P&amp;L'!$B$10:C$10))</f>
        <v>1183546</v>
      </c>
      <c r="D14" s="196">
        <f>MAX(0,ABS(SUM('30_CASHFLOW'!$B$6:D$6))-SUM('31_P&amp;L'!$B$10:D$10))</f>
        <v>1183546</v>
      </c>
      <c r="E14" s="196">
        <f>MAX(0,ABS(SUM('30_CASHFLOW'!$B$6:E$6))-SUM('31_P&amp;L'!$B$10:E$10))</f>
        <v>1183546</v>
      </c>
      <c r="F14" s="196">
        <f>MAX(0,ABS(SUM('30_CASHFLOW'!$B$6:F$6))-SUM('31_P&amp;L'!$B$10:F$10))</f>
        <v>1183546</v>
      </c>
      <c r="G14" s="196">
        <f>MAX(0,ABS(SUM('30_CASHFLOW'!$B$6:G$6))-SUM('31_P&amp;L'!$B$10:G$10))</f>
        <v>1183546</v>
      </c>
      <c r="H14" s="196">
        <f>MAX(0,ABS(SUM('30_CASHFLOW'!$B$6:H$6))-SUM('31_P&amp;L'!$B$10:H$10))</f>
        <v>1183546</v>
      </c>
      <c r="I14" s="196">
        <f>MAX(0,ABS(SUM('30_CASHFLOW'!$B$6:I$6))-SUM('31_P&amp;L'!$B$10:I$10))</f>
        <v>1183546</v>
      </c>
      <c r="J14" s="196">
        <f>MAX(0,ABS(SUM('30_CASHFLOW'!$B$6:J$6))-SUM('31_P&amp;L'!$B$10:J$10))</f>
        <v>1183546</v>
      </c>
      <c r="K14" s="196">
        <f>MAX(0,ABS(SUM('30_CASHFLOW'!$B$6:K$6))-SUM('31_P&amp;L'!$B$10:K$10))</f>
        <v>1183546</v>
      </c>
      <c r="L14" s="196">
        <f>MAX(0,ABS(SUM('30_CASHFLOW'!$B$6:L$6))-SUM('31_P&amp;L'!$B$10:L$10))</f>
        <v>1183546</v>
      </c>
      <c r="M14" s="196">
        <f>MAX(0,ABS(SUM('30_CASHFLOW'!$B$6:M$6))-SUM('31_P&amp;L'!$B$10:M$10))</f>
        <v>1183546</v>
      </c>
      <c r="N14" s="196">
        <f>MAX(0,ABS(SUM('30_CASHFLOW'!$B$6:N$6))-SUM('31_P&amp;L'!$B$10:N$10))</f>
        <v>1183546</v>
      </c>
      <c r="O14" s="196">
        <f>MAX(0,ABS(SUM('30_CASHFLOW'!$B$6:O$6))-SUM('31_P&amp;L'!$B$10:O$10))</f>
        <v>1183546</v>
      </c>
      <c r="P14" s="196">
        <f>MAX(0,ABS(SUM('30_CASHFLOW'!$B$6:P$6))-SUM('31_P&amp;L'!$B$10:P$10))</f>
        <v>1183546</v>
      </c>
      <c r="Q14" s="196">
        <f>MAX(0,ABS(SUM('30_CASHFLOW'!$B$6:Q$6))-SUM('31_P&amp;L'!$B$10:Q$10))</f>
        <v>1183546</v>
      </c>
      <c r="R14" s="196">
        <f>MAX(0,ABS(SUM('30_CASHFLOW'!$B$6:R$6))-SUM('31_P&amp;L'!$B$10:R$10))</f>
        <v>1183546</v>
      </c>
      <c r="S14" s="196">
        <f>MAX(0,ABS(SUM('30_CASHFLOW'!$B$6:S$6))-SUM('31_P&amp;L'!$B$10:S$10))</f>
        <v>1183546</v>
      </c>
      <c r="T14" s="196">
        <f>MAX(0,ABS(SUM('30_CASHFLOW'!$B$6:T$6))-SUM('31_P&amp;L'!$B$10:T$10))</f>
        <v>1183546</v>
      </c>
      <c r="U14" s="196">
        <f>MAX(0,ABS(SUM('30_CASHFLOW'!$B$6:U$6))-SUM('31_P&amp;L'!$B$10:U$10))</f>
        <v>1183546</v>
      </c>
      <c r="V14" s="196">
        <f>MAX(0,ABS(SUM('30_CASHFLOW'!$B$6:V$6))-SUM('31_P&amp;L'!$B$10:V$10))</f>
        <v>1183546</v>
      </c>
      <c r="W14" s="196">
        <f>MAX(0,ABS(SUM('30_CASHFLOW'!$B$6:W$6))-SUM('31_P&amp;L'!$B$10:W$10))</f>
        <v>1183546</v>
      </c>
      <c r="X14" s="196">
        <f>MAX(0,ABS(SUM('30_CASHFLOW'!$B$6:X$6))-SUM('31_P&amp;L'!$B$10:X$10))</f>
        <v>1183546</v>
      </c>
      <c r="Y14" s="196">
        <f>MAX(0,ABS(SUM('30_CASHFLOW'!$B$6:Y$6))-SUM('31_P&amp;L'!$B$10:Y$10))</f>
        <v>1183546</v>
      </c>
      <c r="Z14" s="196">
        <f>MAX(0,ABS(SUM('30_CASHFLOW'!$B$6:Z$6))-SUM('31_P&amp;L'!$B$10:Z$10))</f>
        <v>1183546</v>
      </c>
      <c r="AA14" s="196">
        <f>MAX(0,ABS(SUM('30_CASHFLOW'!$B$6:AA$6))-SUM('31_P&amp;L'!$B$10:AA$10))</f>
        <v>1183546</v>
      </c>
      <c r="AB14" s="196">
        <f>MAX(0,ABS(SUM('30_CASHFLOW'!$B$6:AB$6))-SUM('31_P&amp;L'!$B$10:AB$10))</f>
        <v>1183546</v>
      </c>
      <c r="AC14" s="196">
        <f>MAX(0,ABS(SUM('30_CASHFLOW'!$B$6:AC$6))-SUM('31_P&amp;L'!$B$10:AC$10))</f>
        <v>1183546</v>
      </c>
      <c r="AD14" s="196">
        <f>MAX(0,ABS(SUM('30_CASHFLOW'!$B$6:AD$6))-SUM('31_P&amp;L'!$B$10:AD$10))</f>
        <v>1183546</v>
      </c>
      <c r="AE14" s="196">
        <f>MAX(0,ABS(SUM('30_CASHFLOW'!$B$6:AE$6))-SUM('31_P&amp;L'!$B$10:AE$10))</f>
        <v>1183546</v>
      </c>
      <c r="AF14" s="196">
        <f>MAX(0,ABS(SUM('30_CASHFLOW'!$B$6:AF$6))-SUM('31_P&amp;L'!$B$10:AF$10))</f>
        <v>1183546</v>
      </c>
      <c r="AG14" s="196">
        <f>MAX(0,ABS(SUM('30_CASHFLOW'!$B$6:AG$6))-SUM('31_P&amp;L'!$B$10:AG$10))</f>
        <v>1183546</v>
      </c>
      <c r="AH14" s="196">
        <f>MAX(0,ABS(SUM('30_CASHFLOW'!$B$6:AH$6))-SUM('31_P&amp;L'!$B$10:AH$10))</f>
        <v>1183546</v>
      </c>
      <c r="AI14" s="196">
        <f>MAX(0,ABS(SUM('30_CASHFLOW'!$B$6:AI$6))-SUM('31_P&amp;L'!$B$10:AI$10))</f>
        <v>1183546</v>
      </c>
      <c r="AJ14" s="196">
        <f>MAX(0,ABS(SUM('30_CASHFLOW'!$B$6:AJ$6))-SUM('31_P&amp;L'!$B$10:AJ$10))</f>
        <v>1183546</v>
      </c>
      <c r="AK14" s="196">
        <f>MAX(0,ABS(SUM('30_CASHFLOW'!$B$6:AK$6))-SUM('31_P&amp;L'!$B$10:AK$10))</f>
        <v>0</v>
      </c>
      <c r="AL14" s="196">
        <f>MAX(0,ABS(SUM('30_CASHFLOW'!$B$6:AL$6))-SUM('31_P&amp;L'!$B$10:AL$10))</f>
        <v>0</v>
      </c>
      <c r="AM14" s="196">
        <f>MAX(0,ABS(SUM('30_CASHFLOW'!$B$6:AM$6))-SUM('31_P&amp;L'!$B$10:AM$10))</f>
        <v>0</v>
      </c>
      <c r="AN14" s="196">
        <f>MAX(0,ABS(SUM('30_CASHFLOW'!$B$6:AN$6))-SUM('31_P&amp;L'!$B$10:AN$10))</f>
        <v>0</v>
      </c>
      <c r="AO14" s="196">
        <f>MAX(0,ABS(SUM('30_CASHFLOW'!$B$6:AO$6))-SUM('31_P&amp;L'!$B$10:AO$10))</f>
        <v>0</v>
      </c>
      <c r="AP14" s="196">
        <f>MAX(0,ABS(SUM('30_CASHFLOW'!$B$6:AP$6))-SUM('31_P&amp;L'!$B$10:AP$10))</f>
        <v>0</v>
      </c>
      <c r="AQ14" s="196">
        <f>MAX(0,ABS(SUM('30_CASHFLOW'!$B$6:AQ$6))-SUM('31_P&amp;L'!$B$10:AQ$10))</f>
        <v>0</v>
      </c>
      <c r="AR14" s="196">
        <f>MAX(0,ABS(SUM('30_CASHFLOW'!$B$6:AR$6))-SUM('31_P&amp;L'!$B$10:AR$10))</f>
        <v>0</v>
      </c>
      <c r="AS14" s="196">
        <f>MAX(0,ABS(SUM('30_CASHFLOW'!$B$6:AS$6))-SUM('31_P&amp;L'!$B$10:AS$10))</f>
        <v>0</v>
      </c>
      <c r="AT14" s="196">
        <f>MAX(0,ABS(SUM('30_CASHFLOW'!$B$6:AT$6))-SUM('31_P&amp;L'!$B$10:AT$10))</f>
        <v>0</v>
      </c>
      <c r="AU14" s="196">
        <f>MAX(0,ABS(SUM('30_CASHFLOW'!$B$6:AU$6))-SUM('31_P&amp;L'!$B$10:AU$10))</f>
        <v>0</v>
      </c>
      <c r="AV14" s="196">
        <f>MAX(0,ABS(SUM('30_CASHFLOW'!$B$6:AV$6))-SUM('31_P&amp;L'!$B$10:AV$10))</f>
        <v>0</v>
      </c>
      <c r="AW14" s="196">
        <f>MAX(0,ABS(SUM('30_CASHFLOW'!$B$6:AW$6))-SUM('31_P&amp;L'!$B$10:AW$10))</f>
        <v>0</v>
      </c>
      <c r="AX14" s="196">
        <f>MAX(0,ABS(SUM('30_CASHFLOW'!$B$6:AX$6))-SUM('31_P&amp;L'!$B$10:AX$10))</f>
        <v>0</v>
      </c>
      <c r="AY14" s="196">
        <f>MAX(0,ABS(SUM('30_CASHFLOW'!$B$6:AY$6))-SUM('31_P&amp;L'!$B$10:AY$10))</f>
        <v>0</v>
      </c>
      <c r="AZ14" s="196">
        <f>MAX(0,ABS(SUM('30_CASHFLOW'!$B$6:AZ$6))-SUM('31_P&amp;L'!$B$10:AZ$10))</f>
        <v>0</v>
      </c>
      <c r="BA14" s="196">
        <f>MAX(0,ABS(SUM('30_CASHFLOW'!$B$6:BA$6))-SUM('31_P&amp;L'!$B$10:BA$10))</f>
        <v>0</v>
      </c>
      <c r="BB14" s="196">
        <f>MAX(0,ABS(SUM('30_CASHFLOW'!$B$6:BB$6))-SUM('31_P&amp;L'!$B$10:BB$10))</f>
        <v>0</v>
      </c>
      <c r="BC14" s="196">
        <f>MAX(0,ABS(SUM('30_CASHFLOW'!$B$6:BC$6))-SUM('31_P&amp;L'!$B$10:BC$10))</f>
        <v>0</v>
      </c>
      <c r="BD14" s="196">
        <f>MAX(0,ABS(SUM('30_CASHFLOW'!$B$6:BD$6))-SUM('31_P&amp;L'!$B$10:BD$10))</f>
        <v>0</v>
      </c>
      <c r="BE14" s="196">
        <f>MAX(0,ABS(SUM('30_CASHFLOW'!$B$6:BE$6))-SUM('31_P&amp;L'!$B$10:BE$10))</f>
        <v>0</v>
      </c>
      <c r="BF14" s="196">
        <f>MAX(0,ABS(SUM('30_CASHFLOW'!$B$6:BF$6))-SUM('31_P&amp;L'!$B$10:BF$10))</f>
        <v>0</v>
      </c>
      <c r="BG14" s="196">
        <f>MAX(0,ABS(SUM('30_CASHFLOW'!$B$6:BG$6))-SUM('31_P&amp;L'!$B$10:BG$10))</f>
        <v>0</v>
      </c>
      <c r="BH14" s="196">
        <f>MAX(0,ABS(SUM('30_CASHFLOW'!$B$6:BH$6))-SUM('31_P&amp;L'!$B$10:BH$10))</f>
        <v>0</v>
      </c>
      <c r="BI14" s="196">
        <f>MAX(0,ABS(SUM('30_CASHFLOW'!$B$6:BI$6))-SUM('31_P&amp;L'!$B$10:BI$10))</f>
        <v>0</v>
      </c>
    </row>
    <row r="15" spans="1:61" x14ac:dyDescent="0.25">
      <c r="A15" t="s">
        <v>377</v>
      </c>
      <c r="B15" s="196">
        <f>MAX(0,ABS(SUM('30_CASHFLOW'!$B$7:B$7))-SUM('31_P&amp;L'!$B$11:B$11))</f>
        <v>0</v>
      </c>
      <c r="C15" s="196">
        <f>MAX(0,ABS(SUM('30_CASHFLOW'!$B$7:C$7))-SUM('31_P&amp;L'!$B$11:C$11))</f>
        <v>0</v>
      </c>
      <c r="D15" s="196">
        <f>MAX(0,ABS(SUM('30_CASHFLOW'!$B$7:D$7))-SUM('31_P&amp;L'!$B$11:D$11))</f>
        <v>0</v>
      </c>
      <c r="E15" s="196">
        <f>MAX(0,ABS(SUM('30_CASHFLOW'!$B$7:E$7))-SUM('31_P&amp;L'!$B$11:E$11))</f>
        <v>0</v>
      </c>
      <c r="F15" s="196">
        <f>MAX(0,ABS(SUM('30_CASHFLOW'!$B$7:F$7))-SUM('31_P&amp;L'!$B$11:F$11))</f>
        <v>0</v>
      </c>
      <c r="G15" s="196">
        <f>MAX(0,ABS(SUM('30_CASHFLOW'!$B$7:G$7))-SUM('31_P&amp;L'!$B$11:G$11))</f>
        <v>0</v>
      </c>
      <c r="H15" s="196">
        <f>MAX(0,ABS(SUM('30_CASHFLOW'!$B$7:H$7))-SUM('31_P&amp;L'!$B$11:H$11))</f>
        <v>0</v>
      </c>
      <c r="I15" s="196">
        <f>MAX(0,ABS(SUM('30_CASHFLOW'!$B$7:I$7))-SUM('31_P&amp;L'!$B$11:I$11))</f>
        <v>0</v>
      </c>
      <c r="J15" s="196">
        <f>MAX(0,ABS(SUM('30_CASHFLOW'!$B$7:J$7))-SUM('31_P&amp;L'!$B$11:J$11))</f>
        <v>0</v>
      </c>
      <c r="K15" s="196">
        <f>MAX(0,ABS(SUM('30_CASHFLOW'!$B$7:K$7))-SUM('31_P&amp;L'!$B$11:K$11))</f>
        <v>0</v>
      </c>
      <c r="L15" s="196">
        <f>MAX(0,ABS(SUM('30_CASHFLOW'!$B$7:L$7))-SUM('31_P&amp;L'!$B$11:L$11))</f>
        <v>0</v>
      </c>
      <c r="M15" s="196">
        <f>MAX(0,ABS(SUM('30_CASHFLOW'!$B$7:M$7))-SUM('31_P&amp;L'!$B$11:M$11))</f>
        <v>269680.32000000007</v>
      </c>
      <c r="N15" s="196">
        <f>MAX(0,ABS(SUM('30_CASHFLOW'!$B$7:N$7))-SUM('31_P&amp;L'!$B$11:N$11))</f>
        <v>539360.64000000013</v>
      </c>
      <c r="O15" s="196">
        <f>MAX(0,ABS(SUM('30_CASHFLOW'!$B$7:O$7))-SUM('31_P&amp;L'!$B$11:O$11))</f>
        <v>809040.9600000002</v>
      </c>
      <c r="P15" s="196">
        <f>MAX(0,ABS(SUM('30_CASHFLOW'!$B$7:P$7))-SUM('31_P&amp;L'!$B$11:P$11))</f>
        <v>1078721.2800000003</v>
      </c>
      <c r="Q15" s="196">
        <f>MAX(0,ABS(SUM('30_CASHFLOW'!$B$7:Q$7))-SUM('31_P&amp;L'!$B$11:Q$11))</f>
        <v>1348401.6000000003</v>
      </c>
      <c r="R15" s="196">
        <f>MAX(0,ABS(SUM('30_CASHFLOW'!$B$7:R$7))-SUM('31_P&amp;L'!$B$11:R$11))</f>
        <v>1618081.9200000004</v>
      </c>
      <c r="S15" s="196">
        <f>MAX(0,ABS(SUM('30_CASHFLOW'!$B$7:S$7))-SUM('31_P&amp;L'!$B$11:S$11))</f>
        <v>1887762.2400000005</v>
      </c>
      <c r="T15" s="196">
        <f>MAX(0,ABS(SUM('30_CASHFLOW'!$B$7:T$7))-SUM('31_P&amp;L'!$B$11:T$11))</f>
        <v>2157442.5600000005</v>
      </c>
      <c r="U15" s="196">
        <f>MAX(0,ABS(SUM('30_CASHFLOW'!$B$7:U$7))-SUM('31_P&amp;L'!$B$11:U$11))</f>
        <v>2427122.8800000008</v>
      </c>
      <c r="V15" s="196">
        <f>MAX(0,ABS(SUM('30_CASHFLOW'!$B$7:V$7))-SUM('31_P&amp;L'!$B$11:V$11))</f>
        <v>2696803.2000000011</v>
      </c>
      <c r="W15" s="196">
        <f>MAX(0,ABS(SUM('30_CASHFLOW'!$B$7:W$7))-SUM('31_P&amp;L'!$B$11:W$11))</f>
        <v>2966483.5200000014</v>
      </c>
      <c r="X15" s="196">
        <f>MAX(0,ABS(SUM('30_CASHFLOW'!$B$7:X$7))-SUM('31_P&amp;L'!$B$11:X$11))</f>
        <v>3236163.8400000017</v>
      </c>
      <c r="Y15" s="196">
        <f>MAX(0,ABS(SUM('30_CASHFLOW'!$B$7:Y$7))-SUM('31_P&amp;L'!$B$11:Y$11))</f>
        <v>3505844.160000002</v>
      </c>
      <c r="Z15" s="196">
        <f>MAX(0,ABS(SUM('30_CASHFLOW'!$B$7:Z$7))-SUM('31_P&amp;L'!$B$11:Z$11))</f>
        <v>3775524.4800000023</v>
      </c>
      <c r="AA15" s="196">
        <f>MAX(0,ABS(SUM('30_CASHFLOW'!$B$7:AA$7))-SUM('31_P&amp;L'!$B$11:AA$11))</f>
        <v>4045204.8000000026</v>
      </c>
      <c r="AB15" s="196">
        <f>MAX(0,ABS(SUM('30_CASHFLOW'!$B$7:AB$7))-SUM('31_P&amp;L'!$B$11:AB$11))</f>
        <v>4314885.1200000029</v>
      </c>
      <c r="AC15" s="196">
        <f>MAX(0,ABS(SUM('30_CASHFLOW'!$B$7:AC$7))-SUM('31_P&amp;L'!$B$11:AC$11))</f>
        <v>4584565.4400000032</v>
      </c>
      <c r="AD15" s="196">
        <f>MAX(0,ABS(SUM('30_CASHFLOW'!$B$7:AD$7))-SUM('31_P&amp;L'!$B$11:AD$11))</f>
        <v>4854245.7600000035</v>
      </c>
      <c r="AE15" s="196">
        <f>MAX(0,ABS(SUM('30_CASHFLOW'!$B$7:AE$7))-SUM('31_P&amp;L'!$B$11:AE$11))</f>
        <v>5123926.0800000038</v>
      </c>
      <c r="AF15" s="196">
        <f>MAX(0,ABS(SUM('30_CASHFLOW'!$B$7:AF$7))-SUM('31_P&amp;L'!$B$11:AF$11))</f>
        <v>5393606.4000000041</v>
      </c>
      <c r="AG15" s="196">
        <f>MAX(0,ABS(SUM('30_CASHFLOW'!$B$7:AG$7))-SUM('31_P&amp;L'!$B$11:AG$11))</f>
        <v>5663286.7200000044</v>
      </c>
      <c r="AH15" s="196">
        <f>MAX(0,ABS(SUM('30_CASHFLOW'!$B$7:AH$7))-SUM('31_P&amp;L'!$B$11:AH$11))</f>
        <v>5932967.0400000047</v>
      </c>
      <c r="AI15" s="196">
        <f>MAX(0,ABS(SUM('30_CASHFLOW'!$B$7:AI$7))-SUM('31_P&amp;L'!$B$11:AI$11))</f>
        <v>6202647.360000005</v>
      </c>
      <c r="AJ15" s="196">
        <f>MAX(0,ABS(SUM('30_CASHFLOW'!$B$7:AJ$7))-SUM('31_P&amp;L'!$B$11:AJ$11))</f>
        <v>6472327.6800000053</v>
      </c>
      <c r="AK15" s="196">
        <f>MAX(0,ABS(SUM('30_CASHFLOW'!$B$7:AK$7))-SUM('31_P&amp;L'!$B$11:AK$11))</f>
        <v>0</v>
      </c>
      <c r="AL15" s="196">
        <f>MAX(0,ABS(SUM('30_CASHFLOW'!$B$7:AL$7))-SUM('31_P&amp;L'!$B$11:AL$11))</f>
        <v>0</v>
      </c>
      <c r="AM15" s="196">
        <f>MAX(0,ABS(SUM('30_CASHFLOW'!$B$7:AM$7))-SUM('31_P&amp;L'!$B$11:AM$11))</f>
        <v>0</v>
      </c>
      <c r="AN15" s="196">
        <f>MAX(0,ABS(SUM('30_CASHFLOW'!$B$7:AN$7))-SUM('31_P&amp;L'!$B$11:AN$11))</f>
        <v>0</v>
      </c>
      <c r="AO15" s="196">
        <f>MAX(0,ABS(SUM('30_CASHFLOW'!$B$7:AO$7))-SUM('31_P&amp;L'!$B$11:AO$11))</f>
        <v>0</v>
      </c>
      <c r="AP15" s="196">
        <f>MAX(0,ABS(SUM('30_CASHFLOW'!$B$7:AP$7))-SUM('31_P&amp;L'!$B$11:AP$11))</f>
        <v>0</v>
      </c>
      <c r="AQ15" s="196">
        <f>MAX(0,ABS(SUM('30_CASHFLOW'!$B$7:AQ$7))-SUM('31_P&amp;L'!$B$11:AQ$11))</f>
        <v>0</v>
      </c>
      <c r="AR15" s="196">
        <f>MAX(0,ABS(SUM('30_CASHFLOW'!$B$7:AR$7))-SUM('31_P&amp;L'!$B$11:AR$11))</f>
        <v>0</v>
      </c>
      <c r="AS15" s="196">
        <f>MAX(0,ABS(SUM('30_CASHFLOW'!$B$7:AS$7))-SUM('31_P&amp;L'!$B$11:AS$11))</f>
        <v>0</v>
      </c>
      <c r="AT15" s="196">
        <f>MAX(0,ABS(SUM('30_CASHFLOW'!$B$7:AT$7))-SUM('31_P&amp;L'!$B$11:AT$11))</f>
        <v>0</v>
      </c>
      <c r="AU15" s="196">
        <f>MAX(0,ABS(SUM('30_CASHFLOW'!$B$7:AU$7))-SUM('31_P&amp;L'!$B$11:AU$11))</f>
        <v>0</v>
      </c>
      <c r="AV15" s="196">
        <f>MAX(0,ABS(SUM('30_CASHFLOW'!$B$7:AV$7))-SUM('31_P&amp;L'!$B$11:AV$11))</f>
        <v>0</v>
      </c>
      <c r="AW15" s="196">
        <f>MAX(0,ABS(SUM('30_CASHFLOW'!$B$7:AW$7))-SUM('31_P&amp;L'!$B$11:AW$11))</f>
        <v>0</v>
      </c>
      <c r="AX15" s="196">
        <f>MAX(0,ABS(SUM('30_CASHFLOW'!$B$7:AX$7))-SUM('31_P&amp;L'!$B$11:AX$11))</f>
        <v>0</v>
      </c>
      <c r="AY15" s="196">
        <f>MAX(0,ABS(SUM('30_CASHFLOW'!$B$7:AY$7))-SUM('31_P&amp;L'!$B$11:AY$11))</f>
        <v>0</v>
      </c>
      <c r="AZ15" s="196">
        <f>MAX(0,ABS(SUM('30_CASHFLOW'!$B$7:AZ$7))-SUM('31_P&amp;L'!$B$11:AZ$11))</f>
        <v>0</v>
      </c>
      <c r="BA15" s="196">
        <f>MAX(0,ABS(SUM('30_CASHFLOW'!$B$7:BA$7))-SUM('31_P&amp;L'!$B$11:BA$11))</f>
        <v>0</v>
      </c>
      <c r="BB15" s="196">
        <f>MAX(0,ABS(SUM('30_CASHFLOW'!$B$7:BB$7))-SUM('31_P&amp;L'!$B$11:BB$11))</f>
        <v>0</v>
      </c>
      <c r="BC15" s="196">
        <f>MAX(0,ABS(SUM('30_CASHFLOW'!$B$7:BC$7))-SUM('31_P&amp;L'!$B$11:BC$11))</f>
        <v>0</v>
      </c>
      <c r="BD15" s="196">
        <f>MAX(0,ABS(SUM('30_CASHFLOW'!$B$7:BD$7))-SUM('31_P&amp;L'!$B$11:BD$11))</f>
        <v>0</v>
      </c>
      <c r="BE15" s="196">
        <f>MAX(0,ABS(SUM('30_CASHFLOW'!$B$7:BE$7))-SUM('31_P&amp;L'!$B$11:BE$11))</f>
        <v>0</v>
      </c>
      <c r="BF15" s="196">
        <f>MAX(0,ABS(SUM('30_CASHFLOW'!$B$7:BF$7))-SUM('31_P&amp;L'!$B$11:BF$11))</f>
        <v>0</v>
      </c>
      <c r="BG15" s="196">
        <f>MAX(0,ABS(SUM('30_CASHFLOW'!$B$7:BG$7))-SUM('31_P&amp;L'!$B$11:BG$11))</f>
        <v>0</v>
      </c>
      <c r="BH15" s="196">
        <f>MAX(0,ABS(SUM('30_CASHFLOW'!$B$7:BH$7))-SUM('31_P&amp;L'!$B$11:BH$11))</f>
        <v>0</v>
      </c>
      <c r="BI15" s="196">
        <f>MAX(0,ABS(SUM('30_CASHFLOW'!$B$7:BI$7))-SUM('31_P&amp;L'!$B$11:BI$11))</f>
        <v>0</v>
      </c>
    </row>
    <row r="16" spans="1:61" x14ac:dyDescent="0.25">
      <c r="A16" t="s">
        <v>376</v>
      </c>
      <c r="B16" s="196">
        <f>MAX(0,SUM('30_CASHFLOW'!$B$33:B$33)-SUM('31_P&amp;L'!$B$12:B$12))</f>
        <v>0</v>
      </c>
      <c r="C16" s="196">
        <f>MAX(0,SUM('30_CASHFLOW'!$B$33:C$33)-SUM('31_P&amp;L'!$B$12:C$12))</f>
        <v>0</v>
      </c>
      <c r="D16" s="196">
        <f>MAX(0,SUM('30_CASHFLOW'!$B$33:D$33)-SUM('31_P&amp;L'!$B$12:D$12))</f>
        <v>0</v>
      </c>
      <c r="E16" s="196">
        <f>MAX(0,SUM('30_CASHFLOW'!$B$33:E$33)-SUM('31_P&amp;L'!$B$12:E$12))</f>
        <v>0</v>
      </c>
      <c r="F16" s="196">
        <f>MAX(0,SUM('30_CASHFLOW'!$B$33:F$33)-SUM('31_P&amp;L'!$B$12:F$12))</f>
        <v>0</v>
      </c>
      <c r="G16" s="196">
        <f>MAX(0,SUM('30_CASHFLOW'!$B$33:G$33)-SUM('31_P&amp;L'!$B$12:G$12))</f>
        <v>0</v>
      </c>
      <c r="H16" s="196">
        <f>MAX(0,SUM('30_CASHFLOW'!$B$33:H$33)-SUM('31_P&amp;L'!$B$12:H$12))</f>
        <v>0</v>
      </c>
      <c r="I16" s="196">
        <f>MAX(0,SUM('30_CASHFLOW'!$B$33:I$33)-SUM('31_P&amp;L'!$B$12:I$12))</f>
        <v>0</v>
      </c>
      <c r="J16" s="196">
        <f>MAX(0,SUM('30_CASHFLOW'!$B$33:J$33)-SUM('31_P&amp;L'!$B$12:J$12))</f>
        <v>0</v>
      </c>
      <c r="K16" s="196">
        <f>MAX(0,SUM('30_CASHFLOW'!$B$33:K$33)-SUM('31_P&amp;L'!$B$12:K$12))</f>
        <v>0</v>
      </c>
      <c r="L16" s="196">
        <f>MAX(0,SUM('30_CASHFLOW'!$B$33:L$33)-SUM('31_P&amp;L'!$B$12:L$12))</f>
        <v>0</v>
      </c>
      <c r="M16" s="196">
        <f>MAX(0,SUM('30_CASHFLOW'!$B$33:M$33)-SUM('31_P&amp;L'!$B$12:M$12))</f>
        <v>618.01740000000018</v>
      </c>
      <c r="N16" s="196">
        <f>MAX(0,SUM('30_CASHFLOW'!$B$33:N$33)-SUM('31_P&amp;L'!$B$12:N$12))</f>
        <v>2474.9021797500009</v>
      </c>
      <c r="O16" s="196">
        <f>MAX(0,SUM('30_CASHFLOW'!$B$33:O$33)-SUM('31_P&amp;L'!$B$12:O$12))</f>
        <v>5576.3324814071893</v>
      </c>
      <c r="P16" s="196">
        <f>MAX(0,SUM('30_CASHFLOW'!$B$33:P$33)-SUM('31_P&amp;L'!$B$12:P$12))</f>
        <v>9928.0124719469732</v>
      </c>
      <c r="Q16" s="196">
        <f>MAX(0,SUM('30_CASHFLOW'!$B$33:Q$33)-SUM('31_P&amp;L'!$B$12:Q$12))</f>
        <v>15535.672462443399</v>
      </c>
      <c r="R16" s="196">
        <f>MAX(0,SUM('30_CASHFLOW'!$B$33:R$33)-SUM('31_P&amp;L'!$B$12:R$12))</f>
        <v>22405.069027896265</v>
      </c>
      <c r="S16" s="196">
        <f>MAX(0,SUM('30_CASHFLOW'!$B$33:S$33)-SUM('31_P&amp;L'!$B$12:S$12))</f>
        <v>30541.985127607459</v>
      </c>
      <c r="T16" s="196">
        <f>MAX(0,SUM('30_CASHFLOW'!$B$33:T$33)-SUM('31_P&amp;L'!$B$12:T$12))</f>
        <v>39952.230226108994</v>
      </c>
      <c r="U16" s="196">
        <f>MAX(0,SUM('30_CASHFLOW'!$B$33:U$33)-SUM('31_P&amp;L'!$B$12:U$12))</f>
        <v>50641.640414645328</v>
      </c>
      <c r="V16" s="196">
        <f>MAX(0,SUM('30_CASHFLOW'!$B$33:V$33)-SUM('31_P&amp;L'!$B$12:V$12))</f>
        <v>62616.078533212458</v>
      </c>
      <c r="W16" s="196">
        <f>MAX(0,SUM('30_CASHFLOW'!$B$33:W$33)-SUM('31_P&amp;L'!$B$12:W$12))</f>
        <v>75881.434293156359</v>
      </c>
      <c r="X16" s="196">
        <f>MAX(0,SUM('30_CASHFLOW'!$B$33:X$33)-SUM('31_P&amp;L'!$B$12:X$12))</f>
        <v>90443.624400333327</v>
      </c>
      <c r="Y16" s="196">
        <f>MAX(0,SUM('30_CASHFLOW'!$B$33:Y$33)-SUM('31_P&amp;L'!$B$12:Y$12))</f>
        <v>106308.59267883486</v>
      </c>
      <c r="Z16" s="196">
        <f>MAX(0,SUM('30_CASHFLOW'!$B$33:Z$33)-SUM('31_P&amp;L'!$B$12:Z$12))</f>
        <v>123482.31019527953</v>
      </c>
      <c r="AA16" s="196">
        <f>MAX(0,SUM('30_CASHFLOW'!$B$33:AA$33)-SUM('31_P&amp;L'!$B$12:AA$12))</f>
        <v>141970.77538367457</v>
      </c>
      <c r="AB16" s="196">
        <f>MAX(0,SUM('30_CASHFLOW'!$B$33:AB$33)-SUM('31_P&amp;L'!$B$12:AB$12))</f>
        <v>161532.80721084974</v>
      </c>
      <c r="AC16" s="196">
        <f>MAX(0,SUM('30_CASHFLOW'!$B$33:AC$33)-SUM('31_P&amp;L'!$B$12:AC$12))</f>
        <v>181555.30879056614</v>
      </c>
      <c r="AD16" s="196">
        <f>MAX(0,SUM('30_CASHFLOW'!$B$33:AD$33)-SUM('31_P&amp;L'!$B$12:AD$12))</f>
        <v>201669.58016918958</v>
      </c>
      <c r="AE16" s="196">
        <f>MAX(0,SUM('30_CASHFLOW'!$B$33:AE$33)-SUM('31_P&amp;L'!$B$12:AE$12))</f>
        <v>221876.04195829836</v>
      </c>
      <c r="AF16" s="196">
        <f>MAX(0,SUM('30_CASHFLOW'!$B$33:AF$33)-SUM('31_P&amp;L'!$B$12:AF$12))</f>
        <v>242175.11669727392</v>
      </c>
      <c r="AG16" s="196">
        <f>MAX(0,SUM('30_CASHFLOW'!$B$33:AG$33)-SUM('31_P&amp;L'!$B$12:AG$12))</f>
        <v>262567.22886213643</v>
      </c>
      <c r="AH16" s="196">
        <f>MAX(0,SUM('30_CASHFLOW'!$B$33:AH$33)-SUM('31_P&amp;L'!$B$12:AH$12))</f>
        <v>283052.80487442121</v>
      </c>
      <c r="AI16" s="196">
        <f>MAX(0,SUM('30_CASHFLOW'!$B$33:AI$33)-SUM('31_P&amp;L'!$B$12:AI$12))</f>
        <v>303632.27311009564</v>
      </c>
      <c r="AJ16" s="196">
        <f>MAX(0,SUM('30_CASHFLOW'!$B$33:AJ$33)-SUM('31_P&amp;L'!$B$12:AJ$12))</f>
        <v>324306.06390851695</v>
      </c>
      <c r="AK16" s="196">
        <f>MAX(0,SUM('30_CASHFLOW'!$B$33:AK$33)-SUM('31_P&amp;L'!$B$12:AK$12))</f>
        <v>0</v>
      </c>
      <c r="AL16" s="196">
        <f>MAX(0,SUM('30_CASHFLOW'!$B$33:AL$33)-SUM('31_P&amp;L'!$B$12:AL$12))</f>
        <v>0</v>
      </c>
      <c r="AM16" s="196">
        <f>MAX(0,SUM('30_CASHFLOW'!$B$33:AM$33)-SUM('31_P&amp;L'!$B$12:AM$12))</f>
        <v>0</v>
      </c>
      <c r="AN16" s="196">
        <f>MAX(0,SUM('30_CASHFLOW'!$B$33:AN$33)-SUM('31_P&amp;L'!$B$12:AN$12))</f>
        <v>0</v>
      </c>
      <c r="AO16" s="196">
        <f>MAX(0,SUM('30_CASHFLOW'!$B$33:AO$33)-SUM('31_P&amp;L'!$B$12:AO$12))</f>
        <v>0</v>
      </c>
      <c r="AP16" s="196">
        <f>MAX(0,SUM('30_CASHFLOW'!$B$33:AP$33)-SUM('31_P&amp;L'!$B$12:AP$12))</f>
        <v>0</v>
      </c>
      <c r="AQ16" s="196">
        <f>MAX(0,SUM('30_CASHFLOW'!$B$33:AQ$33)-SUM('31_P&amp;L'!$B$12:AQ$12))</f>
        <v>0</v>
      </c>
      <c r="AR16" s="196">
        <f>MAX(0,SUM('30_CASHFLOW'!$B$33:AR$33)-SUM('31_P&amp;L'!$B$12:AR$12))</f>
        <v>0</v>
      </c>
      <c r="AS16" s="196">
        <f>MAX(0,SUM('30_CASHFLOW'!$B$33:AS$33)-SUM('31_P&amp;L'!$B$12:AS$12))</f>
        <v>0</v>
      </c>
      <c r="AT16" s="196">
        <f>MAX(0,SUM('30_CASHFLOW'!$B$33:AT$33)-SUM('31_P&amp;L'!$B$12:AT$12))</f>
        <v>0</v>
      </c>
      <c r="AU16" s="196">
        <f>MAX(0,SUM('30_CASHFLOW'!$B$33:AU$33)-SUM('31_P&amp;L'!$B$12:AU$12))</f>
        <v>0</v>
      </c>
      <c r="AV16" s="196">
        <f>MAX(0,SUM('30_CASHFLOW'!$B$33:AV$33)-SUM('31_P&amp;L'!$B$12:AV$12))</f>
        <v>0</v>
      </c>
      <c r="AW16" s="196">
        <f>MAX(0,SUM('30_CASHFLOW'!$B$33:AW$33)-SUM('31_P&amp;L'!$B$12:AW$12))</f>
        <v>0</v>
      </c>
      <c r="AX16" s="196">
        <f>MAX(0,SUM('30_CASHFLOW'!$B$33:AX$33)-SUM('31_P&amp;L'!$B$12:AX$12))</f>
        <v>0</v>
      </c>
      <c r="AY16" s="196">
        <f>MAX(0,SUM('30_CASHFLOW'!$B$33:AY$33)-SUM('31_P&amp;L'!$B$12:AY$12))</f>
        <v>0</v>
      </c>
      <c r="AZ16" s="196">
        <f>MAX(0,SUM('30_CASHFLOW'!$B$33:AZ$33)-SUM('31_P&amp;L'!$B$12:AZ$12))</f>
        <v>0</v>
      </c>
      <c r="BA16" s="196">
        <f>MAX(0,SUM('30_CASHFLOW'!$B$33:BA$33)-SUM('31_P&amp;L'!$B$12:BA$12))</f>
        <v>0</v>
      </c>
      <c r="BB16" s="196">
        <f>MAX(0,SUM('30_CASHFLOW'!$B$33:BB$33)-SUM('31_P&amp;L'!$B$12:BB$12))</f>
        <v>0</v>
      </c>
      <c r="BC16" s="196">
        <f>MAX(0,SUM('30_CASHFLOW'!$B$33:BC$33)-SUM('31_P&amp;L'!$B$12:BC$12))</f>
        <v>0</v>
      </c>
      <c r="BD16" s="196">
        <f>MAX(0,SUM('30_CASHFLOW'!$B$33:BD$33)-SUM('31_P&amp;L'!$B$12:BD$12))</f>
        <v>0</v>
      </c>
      <c r="BE16" s="196">
        <f>MAX(0,SUM('30_CASHFLOW'!$B$33:BE$33)-SUM('31_P&amp;L'!$B$12:BE$12))</f>
        <v>0</v>
      </c>
      <c r="BF16" s="196">
        <f>MAX(0,SUM('30_CASHFLOW'!$B$33:BF$33)-SUM('31_P&amp;L'!$B$12:BF$12))</f>
        <v>0</v>
      </c>
      <c r="BG16" s="196">
        <f>MAX(0,SUM('30_CASHFLOW'!$B$33:BG$33)-SUM('31_P&amp;L'!$B$12:BG$12))</f>
        <v>0</v>
      </c>
      <c r="BH16" s="196">
        <f>MAX(0,SUM('30_CASHFLOW'!$B$33:BH$33)-SUM('31_P&amp;L'!$B$12:BH$12))</f>
        <v>0</v>
      </c>
      <c r="BI16" s="196">
        <f>MAX(0,SUM('30_CASHFLOW'!$B$33:BI$33)-SUM('31_P&amp;L'!$B$12:BI$12))</f>
        <v>0</v>
      </c>
    </row>
    <row r="17" spans="1:61" ht="15.75" customHeight="1" thickBot="1" x14ac:dyDescent="0.3">
      <c r="A17" t="s">
        <v>329</v>
      </c>
      <c r="B17" s="196">
        <f>MAX(0,SUM('31_P&amp;L'!$B$7:B$7)-SUM('30_CASHFLOW'!$B$17:B$17))</f>
        <v>0</v>
      </c>
      <c r="C17" s="196">
        <f>MAX(0,SUM('31_P&amp;L'!$B$7:C$7)-SUM('30_CASHFLOW'!$B$17:C$17))</f>
        <v>0</v>
      </c>
      <c r="D17" s="196">
        <f>MAX(0,SUM('31_P&amp;L'!$B$7:D$7)-SUM('30_CASHFLOW'!$B$17:D$17))</f>
        <v>0</v>
      </c>
      <c r="E17" s="196">
        <f>MAX(0,SUM('31_P&amp;L'!$B$7:E$7)-SUM('30_CASHFLOW'!$B$17:E$17))</f>
        <v>0</v>
      </c>
      <c r="F17" s="196">
        <f>MAX(0,SUM('31_P&amp;L'!$B$7:F$7)-SUM('30_CASHFLOW'!$B$17:F$17))</f>
        <v>0</v>
      </c>
      <c r="G17" s="196">
        <f>MAX(0,SUM('31_P&amp;L'!$B$7:G$7)-SUM('30_CASHFLOW'!$B$17:G$17))</f>
        <v>0</v>
      </c>
      <c r="H17" s="196">
        <f>MAX(0,SUM('31_P&amp;L'!$B$7:H$7)-SUM('30_CASHFLOW'!$B$17:H$17))</f>
        <v>0</v>
      </c>
      <c r="I17" s="196">
        <f>MAX(0,SUM('31_P&amp;L'!$B$7:I$7)-SUM('30_CASHFLOW'!$B$17:I$17))</f>
        <v>0</v>
      </c>
      <c r="J17" s="196">
        <f>MAX(0,SUM('31_P&amp;L'!$B$7:J$7)-SUM('30_CASHFLOW'!$B$17:J$17))</f>
        <v>0</v>
      </c>
      <c r="K17" s="196">
        <f>MAX(0,SUM('31_P&amp;L'!$B$7:K$7)-SUM('30_CASHFLOW'!$B$17:K$17))</f>
        <v>0</v>
      </c>
      <c r="L17" s="196">
        <f>MAX(0,SUM('31_P&amp;L'!$B$7:L$7)-SUM('30_CASHFLOW'!$B$17:L$17))</f>
        <v>0</v>
      </c>
      <c r="M17" s="196">
        <f>MAX(0,SUM('31_P&amp;L'!$B$7:M$7)-SUM('30_CASHFLOW'!$B$17:M$17))</f>
        <v>0</v>
      </c>
      <c r="N17" s="196">
        <f>MAX(0,SUM('31_P&amp;L'!$B$7:N$7)-SUM('30_CASHFLOW'!$B$17:N$17))</f>
        <v>0</v>
      </c>
      <c r="O17" s="196">
        <f>MAX(0,SUM('31_P&amp;L'!$B$7:O$7)-SUM('30_CASHFLOW'!$B$17:O$17))</f>
        <v>0</v>
      </c>
      <c r="P17" s="196">
        <f>MAX(0,SUM('31_P&amp;L'!$B$7:P$7)-SUM('30_CASHFLOW'!$B$17:P$17))</f>
        <v>0</v>
      </c>
      <c r="Q17" s="196">
        <f>MAX(0,SUM('31_P&amp;L'!$B$7:Q$7)-SUM('30_CASHFLOW'!$B$17:Q$17))</f>
        <v>0</v>
      </c>
      <c r="R17" s="196">
        <f>MAX(0,SUM('31_P&amp;L'!$B$7:R$7)-SUM('30_CASHFLOW'!$B$17:R$17))</f>
        <v>0</v>
      </c>
      <c r="S17" s="196">
        <f>MAX(0,SUM('31_P&amp;L'!$B$7:S$7)-SUM('30_CASHFLOW'!$B$17:S$17))</f>
        <v>0</v>
      </c>
      <c r="T17" s="196">
        <f>MAX(0,SUM('31_P&amp;L'!$B$7:T$7)-SUM('30_CASHFLOW'!$B$17:T$17))</f>
        <v>0</v>
      </c>
      <c r="U17" s="196">
        <f>MAX(0,SUM('31_P&amp;L'!$B$7:U$7)-SUM('30_CASHFLOW'!$B$17:U$17))</f>
        <v>0</v>
      </c>
      <c r="V17" s="196">
        <f>MAX(0,SUM('31_P&amp;L'!$B$7:V$7)-SUM('30_CASHFLOW'!$B$17:V$17))</f>
        <v>0</v>
      </c>
      <c r="W17" s="196">
        <f>MAX(0,SUM('31_P&amp;L'!$B$7:W$7)-SUM('30_CASHFLOW'!$B$17:W$17))</f>
        <v>0</v>
      </c>
      <c r="X17" s="196">
        <f>MAX(0,SUM('31_P&amp;L'!$B$7:X$7)-SUM('30_CASHFLOW'!$B$17:X$17))</f>
        <v>0</v>
      </c>
      <c r="Y17" s="196">
        <f>MAX(0,SUM('31_P&amp;L'!$B$7:Y$7)-SUM('30_CASHFLOW'!$B$17:Y$17))</f>
        <v>0</v>
      </c>
      <c r="Z17" s="196">
        <f>MAX(0,SUM('31_P&amp;L'!$B$7:Z$7)-SUM('30_CASHFLOW'!$B$17:Z$17))</f>
        <v>0</v>
      </c>
      <c r="AA17" s="196">
        <f>MAX(0,SUM('31_P&amp;L'!$B$7:AA$7)-SUM('30_CASHFLOW'!$B$17:AA$17))</f>
        <v>0</v>
      </c>
      <c r="AB17" s="196">
        <f>MAX(0,SUM('31_P&amp;L'!$B$7:AB$7)-SUM('30_CASHFLOW'!$B$17:AB$17))</f>
        <v>0</v>
      </c>
      <c r="AC17" s="196">
        <f>MAX(0,SUM('31_P&amp;L'!$B$7:AC$7)-SUM('30_CASHFLOW'!$B$17:AC$17))</f>
        <v>0</v>
      </c>
      <c r="AD17" s="196">
        <f>MAX(0,SUM('31_P&amp;L'!$B$7:AD$7)-SUM('30_CASHFLOW'!$B$17:AD$17))</f>
        <v>0</v>
      </c>
      <c r="AE17" s="196">
        <f>MAX(0,SUM('31_P&amp;L'!$B$7:AE$7)-SUM('30_CASHFLOW'!$B$17:AE$17))</f>
        <v>0</v>
      </c>
      <c r="AF17" s="196">
        <f>MAX(0,SUM('31_P&amp;L'!$B$7:AF$7)-SUM('30_CASHFLOW'!$B$17:AF$17))</f>
        <v>0</v>
      </c>
      <c r="AG17" s="196">
        <f>MAX(0,SUM('31_P&amp;L'!$B$7:AG$7)-SUM('30_CASHFLOW'!$B$17:AG$17))</f>
        <v>0</v>
      </c>
      <c r="AH17" s="196">
        <f>MAX(0,SUM('31_P&amp;L'!$B$7:AH$7)-SUM('30_CASHFLOW'!$B$17:AH$17))</f>
        <v>0</v>
      </c>
      <c r="AI17" s="196">
        <f>MAX(0,SUM('31_P&amp;L'!$B$7:AI$7)-SUM('30_CASHFLOW'!$B$17:AI$17))</f>
        <v>0</v>
      </c>
      <c r="AJ17" s="196">
        <f>MAX(0,SUM('31_P&amp;L'!$B$7:AJ$7)-SUM('30_CASHFLOW'!$B$17:AJ$17))</f>
        <v>0</v>
      </c>
      <c r="AK17" s="196">
        <f>MAX(0,SUM('31_P&amp;L'!$B$7:AK$7)-SUM('30_CASHFLOW'!$B$17:AK$17))</f>
        <v>0</v>
      </c>
      <c r="AL17" s="196">
        <f>MAX(0,SUM('31_P&amp;L'!$B$7:AL$7)-SUM('30_CASHFLOW'!$B$17:AL$17))</f>
        <v>0</v>
      </c>
      <c r="AM17" s="196">
        <f>MAX(0,SUM('31_P&amp;L'!$B$7:AM$7)-SUM('30_CASHFLOW'!$B$17:AM$17))</f>
        <v>0</v>
      </c>
      <c r="AN17" s="196">
        <f>MAX(0,SUM('31_P&amp;L'!$B$7:AN$7)-SUM('30_CASHFLOW'!$B$17:AN$17))</f>
        <v>0</v>
      </c>
      <c r="AO17" s="196">
        <f>MAX(0,SUM('31_P&amp;L'!$B$7:AO$7)-SUM('30_CASHFLOW'!$B$17:AO$17))</f>
        <v>0</v>
      </c>
      <c r="AP17" s="196">
        <f>MAX(0,SUM('31_P&amp;L'!$B$7:AP$7)-SUM('30_CASHFLOW'!$B$17:AP$17))</f>
        <v>0</v>
      </c>
      <c r="AQ17" s="196">
        <f>MAX(0,SUM('31_P&amp;L'!$B$7:AQ$7)-SUM('30_CASHFLOW'!$B$17:AQ$17))</f>
        <v>0</v>
      </c>
      <c r="AR17" s="196">
        <f>MAX(0,SUM('31_P&amp;L'!$B$7:AR$7)-SUM('30_CASHFLOW'!$B$17:AR$17))</f>
        <v>0</v>
      </c>
      <c r="AS17" s="196">
        <f>MAX(0,SUM('31_P&amp;L'!$B$7:AS$7)-SUM('30_CASHFLOW'!$B$17:AS$17))</f>
        <v>0</v>
      </c>
      <c r="AT17" s="196">
        <f>MAX(0,SUM('31_P&amp;L'!$B$7:AT$7)-SUM('30_CASHFLOW'!$B$17:AT$17))</f>
        <v>0</v>
      </c>
      <c r="AU17" s="196">
        <f>MAX(0,SUM('31_P&amp;L'!$B$7:AU$7)-SUM('30_CASHFLOW'!$B$17:AU$17))</f>
        <v>0</v>
      </c>
      <c r="AV17" s="196">
        <f>MAX(0,SUM('31_P&amp;L'!$B$7:AV$7)-SUM('30_CASHFLOW'!$B$17:AV$17))</f>
        <v>0</v>
      </c>
      <c r="AW17" s="196">
        <f>MAX(0,SUM('31_P&amp;L'!$B$7:AW$7)-SUM('30_CASHFLOW'!$B$17:AW$17))</f>
        <v>0</v>
      </c>
      <c r="AX17" s="196">
        <f>MAX(0,SUM('31_P&amp;L'!$B$7:AX$7)-SUM('30_CASHFLOW'!$B$17:AX$17))</f>
        <v>0</v>
      </c>
      <c r="AY17" s="196">
        <f>MAX(0,SUM('31_P&amp;L'!$B$7:AY$7)-SUM('30_CASHFLOW'!$B$17:AY$17))</f>
        <v>0</v>
      </c>
      <c r="AZ17" s="196">
        <f>MAX(0,SUM('31_P&amp;L'!$B$7:AZ$7)-SUM('30_CASHFLOW'!$B$17:AZ$17))</f>
        <v>0</v>
      </c>
      <c r="BA17" s="196">
        <f>MAX(0,SUM('31_P&amp;L'!$B$7:BA$7)-SUM('30_CASHFLOW'!$B$17:BA$17))</f>
        <v>0</v>
      </c>
      <c r="BB17" s="196">
        <f>MAX(0,SUM('31_P&amp;L'!$B$7:BB$7)-SUM('30_CASHFLOW'!$B$17:BB$17))</f>
        <v>0</v>
      </c>
      <c r="BC17" s="196">
        <f>MAX(0,SUM('31_P&amp;L'!$B$7:BC$7)-SUM('30_CASHFLOW'!$B$17:BC$17))</f>
        <v>0</v>
      </c>
      <c r="BD17" s="196">
        <f>MAX(0,SUM('31_P&amp;L'!$B$7:BD$7)-SUM('30_CASHFLOW'!$B$17:BD$17))</f>
        <v>0</v>
      </c>
      <c r="BE17" s="196">
        <f>MAX(0,SUM('31_P&amp;L'!$B$7:BE$7)-SUM('30_CASHFLOW'!$B$17:BE$17))</f>
        <v>0</v>
      </c>
      <c r="BF17" s="196">
        <f>MAX(0,SUM('31_P&amp;L'!$B$7:BF$7)-SUM('30_CASHFLOW'!$B$17:BF$17))</f>
        <v>0</v>
      </c>
      <c r="BG17" s="196">
        <f>MAX(0,SUM('31_P&amp;L'!$B$7:BG$7)-SUM('30_CASHFLOW'!$B$17:BG$17))</f>
        <v>0</v>
      </c>
      <c r="BH17" s="196">
        <f>MAX(0,SUM('31_P&amp;L'!$B$7:BH$7)-SUM('30_CASHFLOW'!$B$17:BH$17))</f>
        <v>0</v>
      </c>
      <c r="BI17" s="196">
        <f>MAX(0,SUM('31_P&amp;L'!$B$7:BI$7)-SUM('30_CASHFLOW'!$B$17:BI$17))</f>
        <v>0</v>
      </c>
    </row>
    <row r="18" spans="1:61" x14ac:dyDescent="0.25">
      <c r="A18" t="s">
        <v>330</v>
      </c>
      <c r="B18" s="194">
        <f>MAX(0,SUM('30_CASHFLOW'!$B$39:B$39)+SUM('30_CASHFLOW'!$B$28:B$28))</f>
        <v>0</v>
      </c>
      <c r="C18" s="194">
        <f>MAX(0,SUM('30_CASHFLOW'!$B$39:C$39)+SUM('30_CASHFLOW'!$B$28:C$28))</f>
        <v>0</v>
      </c>
      <c r="D18" s="194">
        <f>MAX(0,SUM('30_CASHFLOW'!$B$39:D$39)+SUM('30_CASHFLOW'!$B$28:D$28))</f>
        <v>0</v>
      </c>
      <c r="E18" s="194">
        <f>MAX(0,SUM('30_CASHFLOW'!$B$39:E$39)+SUM('30_CASHFLOW'!$B$28:E$28))</f>
        <v>0</v>
      </c>
      <c r="F18" s="194">
        <f>MAX(0,SUM('30_CASHFLOW'!$B$39:F$39)+SUM('30_CASHFLOW'!$B$28:F$28))</f>
        <v>0</v>
      </c>
      <c r="G18" s="194">
        <f>MAX(0,SUM('30_CASHFLOW'!$B$39:G$39)+SUM('30_CASHFLOW'!$B$28:G$28))</f>
        <v>0</v>
      </c>
      <c r="H18" s="194">
        <f>MAX(0,SUM('30_CASHFLOW'!$B$39:H$39)+SUM('30_CASHFLOW'!$B$28:H$28))</f>
        <v>0</v>
      </c>
      <c r="I18" s="194">
        <f>MAX(0,SUM('30_CASHFLOW'!$B$39:I$39)+SUM('30_CASHFLOW'!$B$28:I$28))</f>
        <v>0</v>
      </c>
      <c r="J18" s="194">
        <f>MAX(0,SUM('30_CASHFLOW'!$B$39:J$39)+SUM('30_CASHFLOW'!$B$28:J$28))</f>
        <v>0</v>
      </c>
      <c r="K18" s="194">
        <f>MAX(0,SUM('30_CASHFLOW'!$B$39:K$39)+SUM('30_CASHFLOW'!$B$28:K$28))</f>
        <v>0</v>
      </c>
      <c r="L18" s="194">
        <f>MAX(0,SUM('30_CASHFLOW'!$B$39:L$39)+SUM('30_CASHFLOW'!$B$28:L$28))</f>
        <v>0</v>
      </c>
      <c r="M18" s="194">
        <f>MAX(0,SUM('30_CASHFLOW'!$B$39:M$39)+SUM('30_CASHFLOW'!$B$28:M$28))</f>
        <v>0</v>
      </c>
      <c r="N18" s="194">
        <f>MAX(0,SUM('30_CASHFLOW'!$B$39:N$39)+SUM('30_CASHFLOW'!$B$28:N$28))</f>
        <v>0</v>
      </c>
      <c r="O18" s="194">
        <f>MAX(0,SUM('30_CASHFLOW'!$B$39:O$39)+SUM('30_CASHFLOW'!$B$28:O$28))</f>
        <v>0</v>
      </c>
      <c r="P18" s="194">
        <f>MAX(0,SUM('30_CASHFLOW'!$B$39:P$39)+SUM('30_CASHFLOW'!$B$28:P$28))</f>
        <v>0</v>
      </c>
      <c r="Q18" s="194">
        <f>MAX(0,SUM('30_CASHFLOW'!$B$39:Q$39)+SUM('30_CASHFLOW'!$B$28:Q$28))</f>
        <v>0</v>
      </c>
      <c r="R18" s="194">
        <f>MAX(0,SUM('30_CASHFLOW'!$B$39:R$39)+SUM('30_CASHFLOW'!$B$28:R$28))</f>
        <v>0</v>
      </c>
      <c r="S18" s="194">
        <f>MAX(0,SUM('30_CASHFLOW'!$B$39:S$39)+SUM('30_CASHFLOW'!$B$28:S$28))</f>
        <v>0</v>
      </c>
      <c r="T18" s="194">
        <f>MAX(0,SUM('30_CASHFLOW'!$B$39:T$39)+SUM('30_CASHFLOW'!$B$28:T$28))</f>
        <v>0</v>
      </c>
      <c r="U18" s="194">
        <f>MAX(0,SUM('30_CASHFLOW'!$B$39:U$39)+SUM('30_CASHFLOW'!$B$28:U$28))</f>
        <v>0</v>
      </c>
      <c r="V18" s="194">
        <f>MAX(0,SUM('30_CASHFLOW'!$B$39:V$39)+SUM('30_CASHFLOW'!$B$28:V$28))</f>
        <v>0</v>
      </c>
      <c r="W18" s="194">
        <f>MAX(0,SUM('30_CASHFLOW'!$B$39:W$39)+SUM('30_CASHFLOW'!$B$28:W$28))</f>
        <v>0</v>
      </c>
      <c r="X18" s="194">
        <f>MAX(0,SUM('30_CASHFLOW'!$B$39:X$39)+SUM('30_CASHFLOW'!$B$28:X$28))</f>
        <v>0</v>
      </c>
      <c r="Y18" s="194">
        <f>MAX(0,SUM('30_CASHFLOW'!$B$39:Y$39)+SUM('30_CASHFLOW'!$B$28:Y$28))</f>
        <v>17470.479520000052</v>
      </c>
      <c r="Z18" s="194">
        <f>MAX(0,SUM('30_CASHFLOW'!$B$39:Z$39)+SUM('30_CASHFLOW'!$B$28:Z$28))</f>
        <v>35053.325840000063</v>
      </c>
      <c r="AA18" s="194">
        <f>MAX(0,SUM('30_CASHFLOW'!$B$39:AA$39)+SUM('30_CASHFLOW'!$B$28:AA$28))</f>
        <v>226623.53896000003</v>
      </c>
      <c r="AB18" s="194">
        <f>MAX(0,SUM('30_CASHFLOW'!$B$39:AB$39)+SUM('30_CASHFLOW'!$B$28:AB$28))</f>
        <v>310433.99088000075</v>
      </c>
      <c r="AC18" s="194">
        <f>MAX(0,SUM('30_CASHFLOW'!$B$39:AC$39)+SUM('30_CASHFLOW'!$B$28:AC$28))</f>
        <v>310433.99088000075</v>
      </c>
      <c r="AD18" s="194">
        <f>MAX(0,SUM('30_CASHFLOW'!$B$39:AD$39)+SUM('30_CASHFLOW'!$B$28:AD$28))</f>
        <v>310433.99088000087</v>
      </c>
      <c r="AE18" s="194">
        <f>MAX(0,SUM('30_CASHFLOW'!$B$39:AE$39)+SUM('30_CASHFLOW'!$B$28:AE$28))</f>
        <v>310433.99088000087</v>
      </c>
      <c r="AF18" s="194">
        <f>MAX(0,SUM('30_CASHFLOW'!$B$39:AF$39)+SUM('30_CASHFLOW'!$B$28:AF$28))</f>
        <v>310433.99088000087</v>
      </c>
      <c r="AG18" s="194">
        <f>MAX(0,SUM('30_CASHFLOW'!$B$39:AG$39)+SUM('30_CASHFLOW'!$B$28:AG$28))</f>
        <v>310433.99088000087</v>
      </c>
      <c r="AH18" s="194">
        <f>MAX(0,SUM('30_CASHFLOW'!$B$39:AH$39)+SUM('30_CASHFLOW'!$B$28:AH$28))</f>
        <v>310433.99088000087</v>
      </c>
      <c r="AI18" s="194">
        <f>MAX(0,SUM('30_CASHFLOW'!$B$39:AI$39)+SUM('30_CASHFLOW'!$B$28:AI$28))</f>
        <v>310433.99088000087</v>
      </c>
      <c r="AJ18" s="194">
        <f>MAX(0,SUM('30_CASHFLOW'!$B$39:AJ$39)+SUM('30_CASHFLOW'!$B$28:AJ$28))</f>
        <v>310433.99088000087</v>
      </c>
      <c r="AK18" s="194">
        <f>MAX(0,SUM('30_CASHFLOW'!$B$39:AK$39)+SUM('30_CASHFLOW'!$B$28:AK$28))</f>
        <v>2596045.9616939272</v>
      </c>
      <c r="AL18" s="194">
        <f>MAX(0,SUM('30_CASHFLOW'!$B$39:AL$39)+SUM('30_CASHFLOW'!$B$28:AL$28))</f>
        <v>2596045.9616939272</v>
      </c>
      <c r="AM18" s="194">
        <f>MAX(0,SUM('30_CASHFLOW'!$B$39:AM$39)+SUM('30_CASHFLOW'!$B$28:AM$28))</f>
        <v>2596045.9616939272</v>
      </c>
      <c r="AN18" s="194">
        <f>MAX(0,SUM('30_CASHFLOW'!$B$39:AN$39)+SUM('30_CASHFLOW'!$B$28:AN$28))</f>
        <v>2596045.9616939272</v>
      </c>
      <c r="AO18" s="194">
        <f>MAX(0,SUM('30_CASHFLOW'!$B$39:AO$39)+SUM('30_CASHFLOW'!$B$28:AO$28))</f>
        <v>2596045.9616939272</v>
      </c>
      <c r="AP18" s="194">
        <f>MAX(0,SUM('30_CASHFLOW'!$B$39:AP$39)+SUM('30_CASHFLOW'!$B$28:AP$28))</f>
        <v>2596045.9616939272</v>
      </c>
      <c r="AQ18" s="194">
        <f>MAX(0,SUM('30_CASHFLOW'!$B$39:AQ$39)+SUM('30_CASHFLOW'!$B$28:AQ$28))</f>
        <v>2596045.9616939272</v>
      </c>
      <c r="AR18" s="194">
        <f>MAX(0,SUM('30_CASHFLOW'!$B$39:AR$39)+SUM('30_CASHFLOW'!$B$28:AR$28))</f>
        <v>2596045.9616939272</v>
      </c>
      <c r="AS18" s="194">
        <f>MAX(0,SUM('30_CASHFLOW'!$B$39:AS$39)+SUM('30_CASHFLOW'!$B$28:AS$28))</f>
        <v>2596045.9616939272</v>
      </c>
      <c r="AT18" s="194">
        <f>MAX(0,SUM('30_CASHFLOW'!$B$39:AT$39)+SUM('30_CASHFLOW'!$B$28:AT$28))</f>
        <v>2596045.9616939272</v>
      </c>
      <c r="AU18" s="194">
        <f>MAX(0,SUM('30_CASHFLOW'!$B$39:AU$39)+SUM('30_CASHFLOW'!$B$28:AU$28))</f>
        <v>2596045.9616939272</v>
      </c>
      <c r="AV18" s="194">
        <f>MAX(0,SUM('30_CASHFLOW'!$B$39:AV$39)+SUM('30_CASHFLOW'!$B$28:AV$28))</f>
        <v>2596045.9616939272</v>
      </c>
      <c r="AW18" s="194">
        <f>MAX(0,SUM('30_CASHFLOW'!$B$39:AW$39)+SUM('30_CASHFLOW'!$B$28:AW$28))</f>
        <v>2596045.9616939272</v>
      </c>
      <c r="AX18" s="194">
        <f>MAX(0,SUM('30_CASHFLOW'!$B$39:AX$39)+SUM('30_CASHFLOW'!$B$28:AX$28))</f>
        <v>2596045.9616939272</v>
      </c>
      <c r="AY18" s="194">
        <f>MAX(0,SUM('30_CASHFLOW'!$B$39:AY$39)+SUM('30_CASHFLOW'!$B$28:AY$28))</f>
        <v>2596045.9616939272</v>
      </c>
      <c r="AZ18" s="194">
        <f>MAX(0,SUM('30_CASHFLOW'!$B$39:AZ$39)+SUM('30_CASHFLOW'!$B$28:AZ$28))</f>
        <v>2596045.9616939272</v>
      </c>
      <c r="BA18" s="194">
        <f>MAX(0,SUM('30_CASHFLOW'!$B$39:BA$39)+SUM('30_CASHFLOW'!$B$28:BA$28))</f>
        <v>2596045.9616939272</v>
      </c>
      <c r="BB18" s="194">
        <f>MAX(0,SUM('30_CASHFLOW'!$B$39:BB$39)+SUM('30_CASHFLOW'!$B$28:BB$28))</f>
        <v>2596045.9616939272</v>
      </c>
      <c r="BC18" s="194">
        <f>MAX(0,SUM('30_CASHFLOW'!$B$39:BC$39)+SUM('30_CASHFLOW'!$B$28:BC$28))</f>
        <v>2596045.9616939272</v>
      </c>
      <c r="BD18" s="194">
        <f>MAX(0,SUM('30_CASHFLOW'!$B$39:BD$39)+SUM('30_CASHFLOW'!$B$28:BD$28))</f>
        <v>2596045.9616939272</v>
      </c>
      <c r="BE18" s="194">
        <f>MAX(0,SUM('30_CASHFLOW'!$B$39:BE$39)+SUM('30_CASHFLOW'!$B$28:BE$28))</f>
        <v>2596045.9616939272</v>
      </c>
      <c r="BF18" s="194">
        <f>MAX(0,SUM('30_CASHFLOW'!$B$39:BF$39)+SUM('30_CASHFLOW'!$B$28:BF$28))</f>
        <v>2596045.9616939272</v>
      </c>
      <c r="BG18" s="194">
        <f>MAX(0,SUM('30_CASHFLOW'!$B$39:BG$39)+SUM('30_CASHFLOW'!$B$28:BG$28))</f>
        <v>2596045.9616939272</v>
      </c>
      <c r="BH18" s="194">
        <f>MAX(0,SUM('30_CASHFLOW'!$B$39:BH$39)+SUM('30_CASHFLOW'!$B$28:BH$28))</f>
        <v>2596045.9616939272</v>
      </c>
      <c r="BI18" s="194">
        <f>MAX(0,SUM('30_CASHFLOW'!$B$39:BI$39)+SUM('30_CASHFLOW'!$B$28:BI$28))</f>
        <v>2596045.9616939272</v>
      </c>
    </row>
    <row r="19" spans="1:61" ht="15.75" customHeight="1" thickBot="1" x14ac:dyDescent="0.3">
      <c r="A19" s="195" t="s">
        <v>331</v>
      </c>
      <c r="B19" s="196">
        <f t="shared" ref="B19:AG19" si="2">SUM(B14:B18)</f>
        <v>1183546</v>
      </c>
      <c r="C19" s="196">
        <f t="shared" si="2"/>
        <v>1183546</v>
      </c>
      <c r="D19" s="196">
        <f t="shared" si="2"/>
        <v>1183546</v>
      </c>
      <c r="E19" s="196">
        <f t="shared" si="2"/>
        <v>1183546</v>
      </c>
      <c r="F19" s="196">
        <f t="shared" si="2"/>
        <v>1183546</v>
      </c>
      <c r="G19" s="196">
        <f t="shared" si="2"/>
        <v>1183546</v>
      </c>
      <c r="H19" s="196">
        <f t="shared" si="2"/>
        <v>1183546</v>
      </c>
      <c r="I19" s="196">
        <f t="shared" si="2"/>
        <v>1183546</v>
      </c>
      <c r="J19" s="196">
        <f t="shared" si="2"/>
        <v>1183546</v>
      </c>
      <c r="K19" s="196">
        <f t="shared" si="2"/>
        <v>1183546</v>
      </c>
      <c r="L19" s="196">
        <f t="shared" si="2"/>
        <v>1183546</v>
      </c>
      <c r="M19" s="196">
        <f t="shared" si="2"/>
        <v>1453844.3374000001</v>
      </c>
      <c r="N19" s="196">
        <f t="shared" si="2"/>
        <v>1725381.54217975</v>
      </c>
      <c r="O19" s="196">
        <f t="shared" si="2"/>
        <v>1998163.2924814073</v>
      </c>
      <c r="P19" s="196">
        <f t="shared" si="2"/>
        <v>2272195.2924719471</v>
      </c>
      <c r="Q19" s="196">
        <f t="shared" si="2"/>
        <v>2547483.2724624439</v>
      </c>
      <c r="R19" s="196">
        <f t="shared" si="2"/>
        <v>2824032.9890278964</v>
      </c>
      <c r="S19" s="196">
        <f t="shared" si="2"/>
        <v>3101850.2251276076</v>
      </c>
      <c r="T19" s="196">
        <f t="shared" si="2"/>
        <v>3380940.7902261093</v>
      </c>
      <c r="U19" s="196">
        <f t="shared" si="2"/>
        <v>3661310.5204146462</v>
      </c>
      <c r="V19" s="196">
        <f t="shared" si="2"/>
        <v>3942965.2785332138</v>
      </c>
      <c r="W19" s="196">
        <f t="shared" si="2"/>
        <v>4225910.9542931579</v>
      </c>
      <c r="X19" s="196">
        <f t="shared" si="2"/>
        <v>4510153.4644003352</v>
      </c>
      <c r="Y19" s="196">
        <f t="shared" si="2"/>
        <v>4813169.2321988363</v>
      </c>
      <c r="Z19" s="196">
        <f t="shared" si="2"/>
        <v>5117606.1160352817</v>
      </c>
      <c r="AA19" s="196">
        <f t="shared" si="2"/>
        <v>5597345.1143436767</v>
      </c>
      <c r="AB19" s="196">
        <f t="shared" si="2"/>
        <v>5970397.9180908529</v>
      </c>
      <c r="AC19" s="196">
        <f t="shared" si="2"/>
        <v>6260100.73967057</v>
      </c>
      <c r="AD19" s="196">
        <f t="shared" si="2"/>
        <v>6549895.3310491946</v>
      </c>
      <c r="AE19" s="196">
        <f t="shared" si="2"/>
        <v>6839782.1128383037</v>
      </c>
      <c r="AF19" s="196">
        <f t="shared" si="2"/>
        <v>7129761.5075772796</v>
      </c>
      <c r="AG19" s="196">
        <f t="shared" si="2"/>
        <v>7419833.9397421423</v>
      </c>
      <c r="AH19" s="196">
        <f t="shared" ref="AH19:BI19" si="3">SUM(AH14:AH18)</f>
        <v>7709999.8357544262</v>
      </c>
      <c r="AI19" s="196">
        <f t="shared" si="3"/>
        <v>8000259.6239901017</v>
      </c>
      <c r="AJ19" s="196">
        <f t="shared" si="3"/>
        <v>8290613.734788524</v>
      </c>
      <c r="AK19" s="196">
        <f t="shared" si="3"/>
        <v>2596045.9616939272</v>
      </c>
      <c r="AL19" s="196">
        <f t="shared" si="3"/>
        <v>2596045.9616939272</v>
      </c>
      <c r="AM19" s="196">
        <f t="shared" si="3"/>
        <v>2596045.9616939272</v>
      </c>
      <c r="AN19" s="196">
        <f t="shared" si="3"/>
        <v>2596045.9616939272</v>
      </c>
      <c r="AO19" s="196">
        <f t="shared" si="3"/>
        <v>2596045.9616939272</v>
      </c>
      <c r="AP19" s="196">
        <f t="shared" si="3"/>
        <v>2596045.9616939272</v>
      </c>
      <c r="AQ19" s="196">
        <f t="shared" si="3"/>
        <v>2596045.9616939272</v>
      </c>
      <c r="AR19" s="196">
        <f t="shared" si="3"/>
        <v>2596045.9616939272</v>
      </c>
      <c r="AS19" s="196">
        <f t="shared" si="3"/>
        <v>2596045.9616939272</v>
      </c>
      <c r="AT19" s="196">
        <f t="shared" si="3"/>
        <v>2596045.9616939272</v>
      </c>
      <c r="AU19" s="196">
        <f t="shared" si="3"/>
        <v>2596045.9616939272</v>
      </c>
      <c r="AV19" s="196">
        <f t="shared" si="3"/>
        <v>2596045.9616939272</v>
      </c>
      <c r="AW19" s="196">
        <f t="shared" si="3"/>
        <v>2596045.9616939272</v>
      </c>
      <c r="AX19" s="196">
        <f t="shared" si="3"/>
        <v>2596045.9616939272</v>
      </c>
      <c r="AY19" s="196">
        <f t="shared" si="3"/>
        <v>2596045.9616939272</v>
      </c>
      <c r="AZ19" s="196">
        <f t="shared" si="3"/>
        <v>2596045.9616939272</v>
      </c>
      <c r="BA19" s="196">
        <f t="shared" si="3"/>
        <v>2596045.9616939272</v>
      </c>
      <c r="BB19" s="196">
        <f t="shared" si="3"/>
        <v>2596045.9616939272</v>
      </c>
      <c r="BC19" s="196">
        <f t="shared" si="3"/>
        <v>2596045.9616939272</v>
      </c>
      <c r="BD19" s="196">
        <f t="shared" si="3"/>
        <v>2596045.9616939272</v>
      </c>
      <c r="BE19" s="196">
        <f t="shared" si="3"/>
        <v>2596045.9616939272</v>
      </c>
      <c r="BF19" s="196">
        <f t="shared" si="3"/>
        <v>2596045.9616939272</v>
      </c>
      <c r="BG19" s="196">
        <f t="shared" si="3"/>
        <v>2596045.9616939272</v>
      </c>
      <c r="BH19" s="196">
        <f t="shared" si="3"/>
        <v>2596045.9616939272</v>
      </c>
      <c r="BI19" s="196">
        <f t="shared" si="3"/>
        <v>2596045.9616939272</v>
      </c>
    </row>
    <row r="20" spans="1:61" x14ac:dyDescent="0.25">
      <c r="A20" s="195"/>
      <c r="B20" s="194"/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194"/>
      <c r="AR20" s="194"/>
      <c r="AS20" s="194"/>
      <c r="AT20" s="194"/>
      <c r="AU20" s="194"/>
      <c r="AV20" s="194"/>
      <c r="AW20" s="194"/>
      <c r="AX20" s="194"/>
      <c r="AY20" s="194"/>
      <c r="AZ20" s="194"/>
      <c r="BA20" s="194"/>
      <c r="BB20" s="194"/>
      <c r="BC20" s="194"/>
      <c r="BD20" s="194"/>
      <c r="BE20" s="194"/>
      <c r="BF20" s="194"/>
      <c r="BG20" s="194"/>
      <c r="BH20" s="194"/>
      <c r="BI20" s="194"/>
    </row>
    <row r="21" spans="1:61" s="150" customFormat="1" x14ac:dyDescent="0.25">
      <c r="A21" s="195" t="s">
        <v>332</v>
      </c>
      <c r="B21" s="201">
        <f t="shared" ref="B21:AG21" si="4">B11+B19</f>
        <v>1183546</v>
      </c>
      <c r="C21" s="201">
        <f t="shared" si="4"/>
        <v>1183546</v>
      </c>
      <c r="D21" s="201">
        <f t="shared" si="4"/>
        <v>1183546</v>
      </c>
      <c r="E21" s="201">
        <f t="shared" si="4"/>
        <v>1183546</v>
      </c>
      <c r="F21" s="201">
        <f t="shared" si="4"/>
        <v>1183546</v>
      </c>
      <c r="G21" s="201">
        <f t="shared" si="4"/>
        <v>1183546</v>
      </c>
      <c r="H21" s="201">
        <f t="shared" si="4"/>
        <v>1183546</v>
      </c>
      <c r="I21" s="201">
        <f t="shared" si="4"/>
        <v>1183546</v>
      </c>
      <c r="J21" s="201">
        <f t="shared" si="4"/>
        <v>1183546</v>
      </c>
      <c r="K21" s="201">
        <f t="shared" si="4"/>
        <v>1183546</v>
      </c>
      <c r="L21" s="201">
        <f t="shared" si="4"/>
        <v>1183546</v>
      </c>
      <c r="M21" s="201">
        <f t="shared" si="4"/>
        <v>1453844.3374000001</v>
      </c>
      <c r="N21" s="201">
        <f t="shared" si="4"/>
        <v>1725381.54217975</v>
      </c>
      <c r="O21" s="201">
        <f t="shared" si="4"/>
        <v>1998163.2924814073</v>
      </c>
      <c r="P21" s="201">
        <f t="shared" si="4"/>
        <v>2272195.2924719471</v>
      </c>
      <c r="Q21" s="201">
        <f t="shared" si="4"/>
        <v>2547483.2724624439</v>
      </c>
      <c r="R21" s="201">
        <f t="shared" si="4"/>
        <v>2824032.9890278964</v>
      </c>
      <c r="S21" s="201">
        <f t="shared" si="4"/>
        <v>3101850.2251276076</v>
      </c>
      <c r="T21" s="201">
        <f t="shared" si="4"/>
        <v>3380940.7902261093</v>
      </c>
      <c r="U21" s="201">
        <f t="shared" si="4"/>
        <v>3661310.5204146462</v>
      </c>
      <c r="V21" s="201">
        <f t="shared" si="4"/>
        <v>3942965.2785332138</v>
      </c>
      <c r="W21" s="201">
        <f t="shared" si="4"/>
        <v>4225910.9542931579</v>
      </c>
      <c r="X21" s="201">
        <f t="shared" si="4"/>
        <v>4510153.4644003352</v>
      </c>
      <c r="Y21" s="201">
        <f t="shared" si="4"/>
        <v>4813169.2321988363</v>
      </c>
      <c r="Z21" s="201">
        <f t="shared" si="4"/>
        <v>5117606.1160352817</v>
      </c>
      <c r="AA21" s="201">
        <f t="shared" si="4"/>
        <v>5597345.1143436767</v>
      </c>
      <c r="AB21" s="201">
        <f t="shared" si="4"/>
        <v>5970397.9180908529</v>
      </c>
      <c r="AC21" s="201">
        <f t="shared" si="4"/>
        <v>6260100.73967057</v>
      </c>
      <c r="AD21" s="201">
        <f t="shared" si="4"/>
        <v>6549895.3310491946</v>
      </c>
      <c r="AE21" s="201">
        <f t="shared" si="4"/>
        <v>6839782.1128383037</v>
      </c>
      <c r="AF21" s="201">
        <f t="shared" si="4"/>
        <v>7129761.5075772796</v>
      </c>
      <c r="AG21" s="201">
        <f t="shared" si="4"/>
        <v>7419833.9397421423</v>
      </c>
      <c r="AH21" s="201">
        <f t="shared" ref="AH21:BI21" si="5">AH11+AH19</f>
        <v>7709999.8357544262</v>
      </c>
      <c r="AI21" s="201">
        <f t="shared" si="5"/>
        <v>8000259.6239901017</v>
      </c>
      <c r="AJ21" s="201">
        <f t="shared" si="5"/>
        <v>8290613.734788524</v>
      </c>
      <c r="AK21" s="201">
        <f t="shared" si="5"/>
        <v>2596045.9616939272</v>
      </c>
      <c r="AL21" s="201">
        <f t="shared" si="5"/>
        <v>2596045.9616939272</v>
      </c>
      <c r="AM21" s="201">
        <f t="shared" si="5"/>
        <v>2596045.9616939272</v>
      </c>
      <c r="AN21" s="201">
        <f t="shared" si="5"/>
        <v>2596045.9616939272</v>
      </c>
      <c r="AO21" s="201">
        <f t="shared" si="5"/>
        <v>2596045.9616939272</v>
      </c>
      <c r="AP21" s="201">
        <f t="shared" si="5"/>
        <v>2596045.9616939272</v>
      </c>
      <c r="AQ21" s="201">
        <f t="shared" si="5"/>
        <v>2596045.9616939272</v>
      </c>
      <c r="AR21" s="201">
        <f t="shared" si="5"/>
        <v>2596045.9616939272</v>
      </c>
      <c r="AS21" s="201">
        <f t="shared" si="5"/>
        <v>2596045.9616939272</v>
      </c>
      <c r="AT21" s="201">
        <f t="shared" si="5"/>
        <v>2596045.9616939272</v>
      </c>
      <c r="AU21" s="201">
        <f t="shared" si="5"/>
        <v>2596045.9616939272</v>
      </c>
      <c r="AV21" s="201">
        <f t="shared" si="5"/>
        <v>2596045.9616939272</v>
      </c>
      <c r="AW21" s="201">
        <f t="shared" si="5"/>
        <v>2596045.9616939272</v>
      </c>
      <c r="AX21" s="201">
        <f t="shared" si="5"/>
        <v>2596045.9616939272</v>
      </c>
      <c r="AY21" s="201">
        <f t="shared" si="5"/>
        <v>2596045.9616939272</v>
      </c>
      <c r="AZ21" s="201">
        <f t="shared" si="5"/>
        <v>2596045.9616939272</v>
      </c>
      <c r="BA21" s="201">
        <f t="shared" si="5"/>
        <v>2596045.9616939272</v>
      </c>
      <c r="BB21" s="201">
        <f t="shared" si="5"/>
        <v>2596045.9616939272</v>
      </c>
      <c r="BC21" s="201">
        <f t="shared" si="5"/>
        <v>2596045.9616939272</v>
      </c>
      <c r="BD21" s="201">
        <f t="shared" si="5"/>
        <v>2596045.9616939272</v>
      </c>
      <c r="BE21" s="201">
        <f t="shared" si="5"/>
        <v>2596045.9616939272</v>
      </c>
      <c r="BF21" s="201">
        <f t="shared" si="5"/>
        <v>2596045.9616939272</v>
      </c>
      <c r="BG21" s="201">
        <f t="shared" si="5"/>
        <v>2596045.9616939272</v>
      </c>
      <c r="BH21" s="201">
        <f t="shared" si="5"/>
        <v>2596045.9616939272</v>
      </c>
      <c r="BI21" s="201">
        <f t="shared" si="5"/>
        <v>2596045.9616939272</v>
      </c>
    </row>
    <row r="22" spans="1:61" ht="15" customHeight="1" thickBot="1" x14ac:dyDescent="0.4">
      <c r="A22" s="198"/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197"/>
      <c r="BA22" s="197"/>
      <c r="BB22" s="197"/>
      <c r="BC22" s="197"/>
      <c r="BD22" s="197"/>
      <c r="BE22" s="197"/>
      <c r="BF22" s="197"/>
      <c r="BG22" s="197"/>
      <c r="BH22" s="197"/>
      <c r="BI22" s="197"/>
    </row>
    <row r="23" spans="1:61" ht="30.75" customHeight="1" thickTop="1" thickBot="1" x14ac:dyDescent="0.4">
      <c r="A23" s="198" t="s">
        <v>333</v>
      </c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  <c r="AZ23" s="197"/>
      <c r="BA23" s="197"/>
      <c r="BB23" s="197"/>
      <c r="BC23" s="197"/>
      <c r="BD23" s="197"/>
      <c r="BE23" s="197"/>
      <c r="BF23" s="197"/>
      <c r="BG23" s="197"/>
      <c r="BH23" s="197"/>
      <c r="BI23" s="197"/>
    </row>
    <row r="24" spans="1:61" ht="16.5" customHeight="1" thickTop="1" thickBot="1" x14ac:dyDescent="0.3">
      <c r="A24" t="s">
        <v>334</v>
      </c>
      <c r="B24" s="193"/>
      <c r="C24" s="193"/>
      <c r="D24" s="193"/>
      <c r="E24" s="193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193"/>
      <c r="AY24" s="193"/>
      <c r="AZ24" s="193"/>
      <c r="BA24" s="193"/>
      <c r="BB24" s="193"/>
      <c r="BC24" s="193"/>
      <c r="BD24" s="193"/>
      <c r="BE24" s="193"/>
      <c r="BF24" s="193"/>
      <c r="BG24" s="193"/>
      <c r="BH24" s="193"/>
      <c r="BI24" s="193"/>
    </row>
    <row r="25" spans="1:61" x14ac:dyDescent="0.25">
      <c r="A25" t="s">
        <v>335</v>
      </c>
      <c r="B25" s="194">
        <f>'30_CASHFLOW'!B40</f>
        <v>0</v>
      </c>
      <c r="C25" s="194">
        <f>'30_CASHFLOW'!C40</f>
        <v>0</v>
      </c>
      <c r="D25" s="194">
        <f>'30_CASHFLOW'!D40</f>
        <v>0</v>
      </c>
      <c r="E25" s="194">
        <f>'30_CASHFLOW'!E40</f>
        <v>0</v>
      </c>
      <c r="F25" s="194">
        <f>'30_CASHFLOW'!F40</f>
        <v>0</v>
      </c>
      <c r="G25" s="194">
        <f>'30_CASHFLOW'!G40</f>
        <v>0</v>
      </c>
      <c r="H25" s="194">
        <f>'30_CASHFLOW'!H40</f>
        <v>0</v>
      </c>
      <c r="I25" s="194">
        <f>'30_CASHFLOW'!I40</f>
        <v>0</v>
      </c>
      <c r="J25" s="194">
        <f>'30_CASHFLOW'!J40</f>
        <v>0</v>
      </c>
      <c r="K25" s="194">
        <f>'30_CASHFLOW'!K40</f>
        <v>0</v>
      </c>
      <c r="L25" s="194">
        <f>'30_CASHFLOW'!L40</f>
        <v>0</v>
      </c>
      <c r="M25" s="194">
        <f>'30_CASHFLOW'!M40</f>
        <v>270298.33740000008</v>
      </c>
      <c r="N25" s="194">
        <f>'30_CASHFLOW'!N40</f>
        <v>541835.54217975016</v>
      </c>
      <c r="O25" s="194">
        <f>'30_CASHFLOW'!O40</f>
        <v>814617.29248140741</v>
      </c>
      <c r="P25" s="194">
        <f>'30_CASHFLOW'!P40</f>
        <v>1088649.2924719471</v>
      </c>
      <c r="Q25" s="194">
        <f>'30_CASHFLOW'!Q40</f>
        <v>1363937.2724624437</v>
      </c>
      <c r="R25" s="194">
        <f>'30_CASHFLOW'!R40</f>
        <v>1640486.9890278967</v>
      </c>
      <c r="S25" s="194">
        <f>'30_CASHFLOW'!S40</f>
        <v>1918304.2251276078</v>
      </c>
      <c r="T25" s="194">
        <f>'30_CASHFLOW'!T40</f>
        <v>2197394.7902261093</v>
      </c>
      <c r="U25" s="194">
        <f>'30_CASHFLOW'!U40</f>
        <v>2477764.5204146458</v>
      </c>
      <c r="V25" s="194">
        <f>'30_CASHFLOW'!V40</f>
        <v>2759419.2785332133</v>
      </c>
      <c r="W25" s="194">
        <f>'30_CASHFLOW'!W40</f>
        <v>3042364.954293157</v>
      </c>
      <c r="X25" s="194">
        <f>'30_CASHFLOW'!X40</f>
        <v>3326607.4644003343</v>
      </c>
      <c r="Y25" s="194">
        <f>'30_CASHFLOW'!Y40</f>
        <v>3612152.7526788362</v>
      </c>
      <c r="Z25" s="194">
        <f>'30_CASHFLOW'!Z40</f>
        <v>3899006.7901952807</v>
      </c>
      <c r="AA25" s="194">
        <f>'30_CASHFLOW'!AA40</f>
        <v>4187175.5753836762</v>
      </c>
      <c r="AB25" s="194">
        <f>'30_CASHFLOW'!AB40</f>
        <v>4368545.799210852</v>
      </c>
      <c r="AC25" s="194">
        <f>'30_CASHFLOW'!AC40</f>
        <v>4388568.3007905688</v>
      </c>
      <c r="AD25" s="194">
        <f>'30_CASHFLOW'!AD40</f>
        <v>4408682.5721691921</v>
      </c>
      <c r="AE25" s="194">
        <f>'30_CASHFLOW'!AE40</f>
        <v>4428889.0339583009</v>
      </c>
      <c r="AF25" s="194">
        <f>'30_CASHFLOW'!AF40</f>
        <v>4449188.1086972766</v>
      </c>
      <c r="AG25" s="194">
        <f>'30_CASHFLOW'!AG40</f>
        <v>4469580.220862139</v>
      </c>
      <c r="AH25" s="194">
        <f>'30_CASHFLOW'!AH40</f>
        <v>4490065.7968744235</v>
      </c>
      <c r="AI25" s="194">
        <f>'30_CASHFLOW'!AI40</f>
        <v>4510645.2651100978</v>
      </c>
      <c r="AJ25" s="194">
        <f>'30_CASHFLOW'!AJ40</f>
        <v>4531319.0559085188</v>
      </c>
      <c r="AK25" s="194">
        <f>'30_CASHFLOW'!AK40</f>
        <v>0</v>
      </c>
      <c r="AL25" s="194">
        <f>'30_CASHFLOW'!AL40</f>
        <v>0</v>
      </c>
      <c r="AM25" s="194">
        <f>'30_CASHFLOW'!AM40</f>
        <v>0</v>
      </c>
      <c r="AN25" s="194">
        <f>'30_CASHFLOW'!AN40</f>
        <v>0</v>
      </c>
      <c r="AO25" s="194">
        <f>'30_CASHFLOW'!AO40</f>
        <v>0</v>
      </c>
      <c r="AP25" s="194">
        <f>'30_CASHFLOW'!AP40</f>
        <v>0</v>
      </c>
      <c r="AQ25" s="194">
        <f>'30_CASHFLOW'!AQ40</f>
        <v>0</v>
      </c>
      <c r="AR25" s="194">
        <f>'30_CASHFLOW'!AR40</f>
        <v>0</v>
      </c>
      <c r="AS25" s="194">
        <f>'30_CASHFLOW'!AS40</f>
        <v>0</v>
      </c>
      <c r="AT25" s="194">
        <f>'30_CASHFLOW'!AT40</f>
        <v>0</v>
      </c>
      <c r="AU25" s="194">
        <f>'30_CASHFLOW'!AU40</f>
        <v>0</v>
      </c>
      <c r="AV25" s="194">
        <f>'30_CASHFLOW'!AV40</f>
        <v>0</v>
      </c>
      <c r="AW25" s="194">
        <f>'30_CASHFLOW'!AW40</f>
        <v>0</v>
      </c>
      <c r="AX25" s="194">
        <f>'30_CASHFLOW'!AX40</f>
        <v>0</v>
      </c>
      <c r="AY25" s="194">
        <f>'30_CASHFLOW'!AY40</f>
        <v>0</v>
      </c>
      <c r="AZ25" s="194">
        <f>'30_CASHFLOW'!AZ40</f>
        <v>0</v>
      </c>
      <c r="BA25" s="194">
        <f>'30_CASHFLOW'!BA40</f>
        <v>0</v>
      </c>
      <c r="BB25" s="194">
        <f>'30_CASHFLOW'!BB40</f>
        <v>0</v>
      </c>
      <c r="BC25" s="194">
        <f>'30_CASHFLOW'!BC40</f>
        <v>0</v>
      </c>
      <c r="BD25" s="194">
        <f>'30_CASHFLOW'!BD40</f>
        <v>0</v>
      </c>
      <c r="BE25" s="194">
        <f>'30_CASHFLOW'!BE40</f>
        <v>0</v>
      </c>
      <c r="BF25" s="194">
        <f>'30_CASHFLOW'!BF40</f>
        <v>0</v>
      </c>
      <c r="BG25" s="194">
        <f>'30_CASHFLOW'!BG40</f>
        <v>0</v>
      </c>
      <c r="BH25" s="194">
        <f>'30_CASHFLOW'!BH40</f>
        <v>0</v>
      </c>
      <c r="BI25" s="194">
        <f>'30_CASHFLOW'!BI40</f>
        <v>0</v>
      </c>
    </row>
    <row r="26" spans="1:61" x14ac:dyDescent="0.25">
      <c r="A26" s="195" t="s">
        <v>336</v>
      </c>
      <c r="B26" s="196">
        <f t="shared" ref="B26:AG26" si="6">B25</f>
        <v>0</v>
      </c>
      <c r="C26" s="196">
        <f t="shared" si="6"/>
        <v>0</v>
      </c>
      <c r="D26" s="196">
        <f t="shared" si="6"/>
        <v>0</v>
      </c>
      <c r="E26" s="196">
        <f t="shared" si="6"/>
        <v>0</v>
      </c>
      <c r="F26" s="196">
        <f t="shared" si="6"/>
        <v>0</v>
      </c>
      <c r="G26" s="196">
        <f t="shared" si="6"/>
        <v>0</v>
      </c>
      <c r="H26" s="196">
        <f t="shared" si="6"/>
        <v>0</v>
      </c>
      <c r="I26" s="196">
        <f t="shared" si="6"/>
        <v>0</v>
      </c>
      <c r="J26" s="196">
        <f t="shared" si="6"/>
        <v>0</v>
      </c>
      <c r="K26" s="196">
        <f t="shared" si="6"/>
        <v>0</v>
      </c>
      <c r="L26" s="196">
        <f t="shared" si="6"/>
        <v>0</v>
      </c>
      <c r="M26" s="196">
        <f t="shared" si="6"/>
        <v>270298.33740000008</v>
      </c>
      <c r="N26" s="196">
        <f t="shared" si="6"/>
        <v>541835.54217975016</v>
      </c>
      <c r="O26" s="196">
        <f t="shared" si="6"/>
        <v>814617.29248140741</v>
      </c>
      <c r="P26" s="196">
        <f t="shared" si="6"/>
        <v>1088649.2924719471</v>
      </c>
      <c r="Q26" s="196">
        <f t="shared" si="6"/>
        <v>1363937.2724624437</v>
      </c>
      <c r="R26" s="196">
        <f t="shared" si="6"/>
        <v>1640486.9890278967</v>
      </c>
      <c r="S26" s="196">
        <f t="shared" si="6"/>
        <v>1918304.2251276078</v>
      </c>
      <c r="T26" s="196">
        <f t="shared" si="6"/>
        <v>2197394.7902261093</v>
      </c>
      <c r="U26" s="196">
        <f t="shared" si="6"/>
        <v>2477764.5204146458</v>
      </c>
      <c r="V26" s="196">
        <f t="shared" si="6"/>
        <v>2759419.2785332133</v>
      </c>
      <c r="W26" s="196">
        <f t="shared" si="6"/>
        <v>3042364.954293157</v>
      </c>
      <c r="X26" s="196">
        <f t="shared" si="6"/>
        <v>3326607.4644003343</v>
      </c>
      <c r="Y26" s="196">
        <f t="shared" si="6"/>
        <v>3612152.7526788362</v>
      </c>
      <c r="Z26" s="196">
        <f t="shared" si="6"/>
        <v>3899006.7901952807</v>
      </c>
      <c r="AA26" s="196">
        <f t="shared" si="6"/>
        <v>4187175.5753836762</v>
      </c>
      <c r="AB26" s="196">
        <f t="shared" si="6"/>
        <v>4368545.799210852</v>
      </c>
      <c r="AC26" s="196">
        <f t="shared" si="6"/>
        <v>4388568.3007905688</v>
      </c>
      <c r="AD26" s="196">
        <f t="shared" si="6"/>
        <v>4408682.5721691921</v>
      </c>
      <c r="AE26" s="196">
        <f t="shared" si="6"/>
        <v>4428889.0339583009</v>
      </c>
      <c r="AF26" s="196">
        <f t="shared" si="6"/>
        <v>4449188.1086972766</v>
      </c>
      <c r="AG26" s="196">
        <f t="shared" si="6"/>
        <v>4469580.220862139</v>
      </c>
      <c r="AH26" s="196">
        <f t="shared" ref="AH26:BI26" si="7">AH25</f>
        <v>4490065.7968744235</v>
      </c>
      <c r="AI26" s="196">
        <f t="shared" si="7"/>
        <v>4510645.2651100978</v>
      </c>
      <c r="AJ26" s="196">
        <f t="shared" si="7"/>
        <v>4531319.0559085188</v>
      </c>
      <c r="AK26" s="196">
        <f t="shared" si="7"/>
        <v>0</v>
      </c>
      <c r="AL26" s="196">
        <f t="shared" si="7"/>
        <v>0</v>
      </c>
      <c r="AM26" s="196">
        <f t="shared" si="7"/>
        <v>0</v>
      </c>
      <c r="AN26" s="196">
        <f t="shared" si="7"/>
        <v>0</v>
      </c>
      <c r="AO26" s="196">
        <f t="shared" si="7"/>
        <v>0</v>
      </c>
      <c r="AP26" s="196">
        <f t="shared" si="7"/>
        <v>0</v>
      </c>
      <c r="AQ26" s="196">
        <f t="shared" si="7"/>
        <v>0</v>
      </c>
      <c r="AR26" s="196">
        <f t="shared" si="7"/>
        <v>0</v>
      </c>
      <c r="AS26" s="196">
        <f t="shared" si="7"/>
        <v>0</v>
      </c>
      <c r="AT26" s="196">
        <f t="shared" si="7"/>
        <v>0</v>
      </c>
      <c r="AU26" s="196">
        <f t="shared" si="7"/>
        <v>0</v>
      </c>
      <c r="AV26" s="196">
        <f t="shared" si="7"/>
        <v>0</v>
      </c>
      <c r="AW26" s="196">
        <f t="shared" si="7"/>
        <v>0</v>
      </c>
      <c r="AX26" s="196">
        <f t="shared" si="7"/>
        <v>0</v>
      </c>
      <c r="AY26" s="196">
        <f t="shared" si="7"/>
        <v>0</v>
      </c>
      <c r="AZ26" s="196">
        <f t="shared" si="7"/>
        <v>0</v>
      </c>
      <c r="BA26" s="196">
        <f t="shared" si="7"/>
        <v>0</v>
      </c>
      <c r="BB26" s="196">
        <f t="shared" si="7"/>
        <v>0</v>
      </c>
      <c r="BC26" s="196">
        <f t="shared" si="7"/>
        <v>0</v>
      </c>
      <c r="BD26" s="196">
        <f t="shared" si="7"/>
        <v>0</v>
      </c>
      <c r="BE26" s="196">
        <f t="shared" si="7"/>
        <v>0</v>
      </c>
      <c r="BF26" s="196">
        <f t="shared" si="7"/>
        <v>0</v>
      </c>
      <c r="BG26" s="196">
        <f t="shared" si="7"/>
        <v>0</v>
      </c>
      <c r="BH26" s="196">
        <f t="shared" si="7"/>
        <v>0</v>
      </c>
      <c r="BI26" s="196">
        <f t="shared" si="7"/>
        <v>0</v>
      </c>
    </row>
    <row r="27" spans="1:61" ht="15.75" customHeight="1" thickBot="1" x14ac:dyDescent="0.3">
      <c r="A27" t="s">
        <v>337</v>
      </c>
      <c r="B27" s="193"/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193"/>
      <c r="AR27" s="193"/>
      <c r="AS27" s="193"/>
      <c r="AT27" s="193"/>
      <c r="AU27" s="193"/>
      <c r="AV27" s="193"/>
      <c r="AW27" s="193"/>
      <c r="AX27" s="193"/>
      <c r="AY27" s="193"/>
      <c r="AZ27" s="193"/>
      <c r="BA27" s="193"/>
      <c r="BB27" s="193"/>
      <c r="BC27" s="193"/>
      <c r="BD27" s="193"/>
      <c r="BE27" s="193"/>
      <c r="BF27" s="193"/>
      <c r="BG27" s="193"/>
      <c r="BH27" s="193"/>
      <c r="BI27" s="193"/>
    </row>
    <row r="28" spans="1:61" x14ac:dyDescent="0.25">
      <c r="A28" t="s">
        <v>338</v>
      </c>
      <c r="B28" s="194">
        <f>MAX(0,SUM('30_CASHFLOW'!$B$17:B$17)-SUM('31_P&amp;L'!$B$7:B$7))</f>
        <v>0</v>
      </c>
      <c r="C28" s="194">
        <f>MAX(0,SUM('30_CASHFLOW'!$B$17:C$17)-SUM('31_P&amp;L'!$B$7:C$7))</f>
        <v>0</v>
      </c>
      <c r="D28" s="194">
        <f>MAX(0,SUM('30_CASHFLOW'!$B$17:D$17)-SUM('31_P&amp;L'!$B$7:D$7))</f>
        <v>0</v>
      </c>
      <c r="E28" s="194">
        <f>MAX(0,SUM('30_CASHFLOW'!$B$17:E$17)-SUM('31_P&amp;L'!$B$7:E$7))</f>
        <v>0</v>
      </c>
      <c r="F28" s="194">
        <f>MAX(0,SUM('30_CASHFLOW'!$B$17:F$17)-SUM('31_P&amp;L'!$B$7:F$7))</f>
        <v>0</v>
      </c>
      <c r="G28" s="194">
        <f>MAX(0,SUM('30_CASHFLOW'!$B$17:G$17)-SUM('31_P&amp;L'!$B$7:G$7))</f>
        <v>0</v>
      </c>
      <c r="H28" s="194">
        <f>MAX(0,SUM('30_CASHFLOW'!$B$17:H$17)-SUM('31_P&amp;L'!$B$7:H$7))</f>
        <v>0</v>
      </c>
      <c r="I28" s="194">
        <f>MAX(0,SUM('30_CASHFLOW'!$B$17:I$17)-SUM('31_P&amp;L'!$B$7:I$7))</f>
        <v>0</v>
      </c>
      <c r="J28" s="194">
        <f>MAX(0,SUM('30_CASHFLOW'!$B$17:J$17)-SUM('31_P&amp;L'!$B$7:J$7))</f>
        <v>0</v>
      </c>
      <c r="K28" s="194">
        <f>MAX(0,SUM('30_CASHFLOW'!$B$17:K$17)-SUM('31_P&amp;L'!$B$7:K$7))</f>
        <v>0</v>
      </c>
      <c r="L28" s="194">
        <f>MAX(0,SUM('30_CASHFLOW'!$B$17:L$17)-SUM('31_P&amp;L'!$B$7:L$7))</f>
        <v>0</v>
      </c>
      <c r="M28" s="194">
        <f>MAX(0,SUM('30_CASHFLOW'!$B$17:M$17)-SUM('31_P&amp;L'!$B$7:M$7))</f>
        <v>0</v>
      </c>
      <c r="N28" s="194">
        <f>MAX(0,SUM('30_CASHFLOW'!$B$17:N$17)-SUM('31_P&amp;L'!$B$7:N$7))</f>
        <v>0</v>
      </c>
      <c r="O28" s="194">
        <f>MAX(0,SUM('30_CASHFLOW'!$B$17:O$17)-SUM('31_P&amp;L'!$B$7:O$7))</f>
        <v>0</v>
      </c>
      <c r="P28" s="194">
        <f>MAX(0,SUM('30_CASHFLOW'!$B$17:P$17)-SUM('31_P&amp;L'!$B$7:P$7))</f>
        <v>0</v>
      </c>
      <c r="Q28" s="194">
        <f>MAX(0,SUM('30_CASHFLOW'!$B$17:Q$17)-SUM('31_P&amp;L'!$B$7:Q$7))</f>
        <v>0</v>
      </c>
      <c r="R28" s="194">
        <f>MAX(0,SUM('30_CASHFLOW'!$B$17:R$17)-SUM('31_P&amp;L'!$B$7:R$7))</f>
        <v>0</v>
      </c>
      <c r="S28" s="194">
        <f>MAX(0,SUM('30_CASHFLOW'!$B$17:S$17)-SUM('31_P&amp;L'!$B$7:S$7))</f>
        <v>0</v>
      </c>
      <c r="T28" s="194">
        <f>MAX(0,SUM('30_CASHFLOW'!$B$17:T$17)-SUM('31_P&amp;L'!$B$7:T$7))</f>
        <v>0</v>
      </c>
      <c r="U28" s="194">
        <f>MAX(0,SUM('30_CASHFLOW'!$B$17:U$17)-SUM('31_P&amp;L'!$B$7:U$7))</f>
        <v>0</v>
      </c>
      <c r="V28" s="194">
        <f>MAX(0,SUM('30_CASHFLOW'!$B$17:V$17)-SUM('31_P&amp;L'!$B$7:V$7))</f>
        <v>0</v>
      </c>
      <c r="W28" s="194">
        <f>MAX(0,SUM('30_CASHFLOW'!$B$17:W$17)-SUM('31_P&amp;L'!$B$7:W$7))</f>
        <v>0</v>
      </c>
      <c r="X28" s="194">
        <f>MAX(0,SUM('30_CASHFLOW'!$B$17:X$17)-SUM('31_P&amp;L'!$B$7:X$7))</f>
        <v>0</v>
      </c>
      <c r="Y28" s="194">
        <f>MAX(0,SUM('30_CASHFLOW'!$B$17:Y$17)-SUM('31_P&amp;L'!$B$7:Y$7))</f>
        <v>44687.5</v>
      </c>
      <c r="Z28" s="194">
        <f>MAX(0,SUM('30_CASHFLOW'!$B$17:Z$17)-SUM('31_P&amp;L'!$B$7:Z$7))</f>
        <v>89375</v>
      </c>
      <c r="AA28" s="194">
        <f>MAX(0,SUM('30_CASHFLOW'!$B$17:AA$17)-SUM('31_P&amp;L'!$B$7:AA$7))</f>
        <v>307937.5</v>
      </c>
      <c r="AB28" s="194">
        <f>MAX(0,SUM('30_CASHFLOW'!$B$17:AB$17)-SUM('31_P&amp;L'!$B$7:AB$7))</f>
        <v>526500</v>
      </c>
      <c r="AC28" s="194">
        <f>MAX(0,SUM('30_CASHFLOW'!$B$17:AC$17)-SUM('31_P&amp;L'!$B$7:AC$7))</f>
        <v>745062.5</v>
      </c>
      <c r="AD28" s="194">
        <f>MAX(0,SUM('30_CASHFLOW'!$B$17:AD$17)-SUM('31_P&amp;L'!$B$7:AD$7))</f>
        <v>963625</v>
      </c>
      <c r="AE28" s="194">
        <f>MAX(0,SUM('30_CASHFLOW'!$B$17:AE$17)-SUM('31_P&amp;L'!$B$7:AE$7))</f>
        <v>1182187.5</v>
      </c>
      <c r="AF28" s="194">
        <f>MAX(0,SUM('30_CASHFLOW'!$B$17:AF$17)-SUM('31_P&amp;L'!$B$7:AF$7))</f>
        <v>1400750</v>
      </c>
      <c r="AG28" s="194">
        <f>MAX(0,SUM('30_CASHFLOW'!$B$17:AG$17)-SUM('31_P&amp;L'!$B$7:AG$7))</f>
        <v>1619312.5</v>
      </c>
      <c r="AH28" s="194">
        <f>MAX(0,SUM('30_CASHFLOW'!$B$17:AH$17)-SUM('31_P&amp;L'!$B$7:AH$7))</f>
        <v>1837875</v>
      </c>
      <c r="AI28" s="194">
        <f>MAX(0,SUM('30_CASHFLOW'!$B$17:AI$17)-SUM('31_P&amp;L'!$B$7:AI$7))</f>
        <v>2029625</v>
      </c>
      <c r="AJ28" s="194">
        <f>MAX(0,SUM('30_CASHFLOW'!$B$17:AJ$17)-SUM('31_P&amp;L'!$B$7:AJ$7))</f>
        <v>2203500</v>
      </c>
      <c r="AK28" s="194">
        <f>MAX(0,SUM('30_CASHFLOW'!$B$17:AK$17)-SUM('31_P&amp;L'!$B$7:AK$7))</f>
        <v>0</v>
      </c>
      <c r="AL28" s="194">
        <f>MAX(0,SUM('30_CASHFLOW'!$B$17:AL$17)-SUM('31_P&amp;L'!$B$7:AL$7))</f>
        <v>0</v>
      </c>
      <c r="AM28" s="194">
        <f>MAX(0,SUM('30_CASHFLOW'!$B$17:AM$17)-SUM('31_P&amp;L'!$B$7:AM$7))</f>
        <v>0</v>
      </c>
      <c r="AN28" s="194">
        <f>MAX(0,SUM('30_CASHFLOW'!$B$17:AN$17)-SUM('31_P&amp;L'!$B$7:AN$7))</f>
        <v>0</v>
      </c>
      <c r="AO28" s="194">
        <f>MAX(0,SUM('30_CASHFLOW'!$B$17:AO$17)-SUM('31_P&amp;L'!$B$7:AO$7))</f>
        <v>0</v>
      </c>
      <c r="AP28" s="194">
        <f>MAX(0,SUM('30_CASHFLOW'!$B$17:AP$17)-SUM('31_P&amp;L'!$B$7:AP$7))</f>
        <v>0</v>
      </c>
      <c r="AQ28" s="194">
        <f>MAX(0,SUM('30_CASHFLOW'!$B$17:AQ$17)-SUM('31_P&amp;L'!$B$7:AQ$7))</f>
        <v>0</v>
      </c>
      <c r="AR28" s="194">
        <f>MAX(0,SUM('30_CASHFLOW'!$B$17:AR$17)-SUM('31_P&amp;L'!$B$7:AR$7))</f>
        <v>0</v>
      </c>
      <c r="AS28" s="194">
        <f>MAX(0,SUM('30_CASHFLOW'!$B$17:AS$17)-SUM('31_P&amp;L'!$B$7:AS$7))</f>
        <v>0</v>
      </c>
      <c r="AT28" s="194">
        <f>MAX(0,SUM('30_CASHFLOW'!$B$17:AT$17)-SUM('31_P&amp;L'!$B$7:AT$7))</f>
        <v>0</v>
      </c>
      <c r="AU28" s="194">
        <f>MAX(0,SUM('30_CASHFLOW'!$B$17:AU$17)-SUM('31_P&amp;L'!$B$7:AU$7))</f>
        <v>0</v>
      </c>
      <c r="AV28" s="194">
        <f>MAX(0,SUM('30_CASHFLOW'!$B$17:AV$17)-SUM('31_P&amp;L'!$B$7:AV$7))</f>
        <v>0</v>
      </c>
      <c r="AW28" s="194">
        <f>MAX(0,SUM('30_CASHFLOW'!$B$17:AW$17)-SUM('31_P&amp;L'!$B$7:AW$7))</f>
        <v>0</v>
      </c>
      <c r="AX28" s="194">
        <f>MAX(0,SUM('30_CASHFLOW'!$B$17:AX$17)-SUM('31_P&amp;L'!$B$7:AX$7))</f>
        <v>0</v>
      </c>
      <c r="AY28" s="194">
        <f>MAX(0,SUM('30_CASHFLOW'!$B$17:AY$17)-SUM('31_P&amp;L'!$B$7:AY$7))</f>
        <v>0</v>
      </c>
      <c r="AZ28" s="194">
        <f>MAX(0,SUM('30_CASHFLOW'!$B$17:AZ$17)-SUM('31_P&amp;L'!$B$7:AZ$7))</f>
        <v>0</v>
      </c>
      <c r="BA28" s="194">
        <f>MAX(0,SUM('30_CASHFLOW'!$B$17:BA$17)-SUM('31_P&amp;L'!$B$7:BA$7))</f>
        <v>0</v>
      </c>
      <c r="BB28" s="194">
        <f>MAX(0,SUM('30_CASHFLOW'!$B$17:BB$17)-SUM('31_P&amp;L'!$B$7:BB$7))</f>
        <v>0</v>
      </c>
      <c r="BC28" s="194">
        <f>MAX(0,SUM('30_CASHFLOW'!$B$17:BC$17)-SUM('31_P&amp;L'!$B$7:BC$7))</f>
        <v>0</v>
      </c>
      <c r="BD28" s="194">
        <f>MAX(0,SUM('30_CASHFLOW'!$B$17:BD$17)-SUM('31_P&amp;L'!$B$7:BD$7))</f>
        <v>0</v>
      </c>
      <c r="BE28" s="194">
        <f>MAX(0,SUM('30_CASHFLOW'!$B$17:BE$17)-SUM('31_P&amp;L'!$B$7:BE$7))</f>
        <v>0</v>
      </c>
      <c r="BF28" s="194">
        <f>MAX(0,SUM('30_CASHFLOW'!$B$17:BF$17)-SUM('31_P&amp;L'!$B$7:BF$7))</f>
        <v>0</v>
      </c>
      <c r="BG28" s="194">
        <f>MAX(0,SUM('30_CASHFLOW'!$B$17:BG$17)-SUM('31_P&amp;L'!$B$7:BG$7))</f>
        <v>0</v>
      </c>
      <c r="BH28" s="194">
        <f>MAX(0,SUM('30_CASHFLOW'!$B$17:BH$17)-SUM('31_P&amp;L'!$B$7:BH$7))</f>
        <v>0</v>
      </c>
      <c r="BI28" s="194">
        <f>MAX(0,SUM('30_CASHFLOW'!$B$17:BI$17)-SUM('31_P&amp;L'!$B$7:BI$7))</f>
        <v>0</v>
      </c>
    </row>
    <row r="29" spans="1:61" x14ac:dyDescent="0.25">
      <c r="A29" s="195" t="s">
        <v>339</v>
      </c>
      <c r="B29" s="196">
        <f t="shared" ref="B29:AG29" si="8">SUM(B28:B28)</f>
        <v>0</v>
      </c>
      <c r="C29" s="196">
        <f t="shared" si="8"/>
        <v>0</v>
      </c>
      <c r="D29" s="196">
        <f t="shared" si="8"/>
        <v>0</v>
      </c>
      <c r="E29" s="196">
        <f t="shared" si="8"/>
        <v>0</v>
      </c>
      <c r="F29" s="196">
        <f t="shared" si="8"/>
        <v>0</v>
      </c>
      <c r="G29" s="196">
        <f t="shared" si="8"/>
        <v>0</v>
      </c>
      <c r="H29" s="196">
        <f t="shared" si="8"/>
        <v>0</v>
      </c>
      <c r="I29" s="196">
        <f t="shared" si="8"/>
        <v>0</v>
      </c>
      <c r="J29" s="196">
        <f t="shared" si="8"/>
        <v>0</v>
      </c>
      <c r="K29" s="196">
        <f t="shared" si="8"/>
        <v>0</v>
      </c>
      <c r="L29" s="196">
        <f t="shared" si="8"/>
        <v>0</v>
      </c>
      <c r="M29" s="196">
        <f t="shared" si="8"/>
        <v>0</v>
      </c>
      <c r="N29" s="196">
        <f t="shared" si="8"/>
        <v>0</v>
      </c>
      <c r="O29" s="196">
        <f t="shared" si="8"/>
        <v>0</v>
      </c>
      <c r="P29" s="196">
        <f t="shared" si="8"/>
        <v>0</v>
      </c>
      <c r="Q29" s="196">
        <f t="shared" si="8"/>
        <v>0</v>
      </c>
      <c r="R29" s="196">
        <f t="shared" si="8"/>
        <v>0</v>
      </c>
      <c r="S29" s="196">
        <f t="shared" si="8"/>
        <v>0</v>
      </c>
      <c r="T29" s="196">
        <f t="shared" si="8"/>
        <v>0</v>
      </c>
      <c r="U29" s="196">
        <f t="shared" si="8"/>
        <v>0</v>
      </c>
      <c r="V29" s="196">
        <f t="shared" si="8"/>
        <v>0</v>
      </c>
      <c r="W29" s="196">
        <f t="shared" si="8"/>
        <v>0</v>
      </c>
      <c r="X29" s="196">
        <f t="shared" si="8"/>
        <v>0</v>
      </c>
      <c r="Y29" s="196">
        <f t="shared" si="8"/>
        <v>44687.5</v>
      </c>
      <c r="Z29" s="196">
        <f t="shared" si="8"/>
        <v>89375</v>
      </c>
      <c r="AA29" s="196">
        <f t="shared" si="8"/>
        <v>307937.5</v>
      </c>
      <c r="AB29" s="196">
        <f t="shared" si="8"/>
        <v>526500</v>
      </c>
      <c r="AC29" s="196">
        <f t="shared" si="8"/>
        <v>745062.5</v>
      </c>
      <c r="AD29" s="196">
        <f t="shared" si="8"/>
        <v>963625</v>
      </c>
      <c r="AE29" s="196">
        <f t="shared" si="8"/>
        <v>1182187.5</v>
      </c>
      <c r="AF29" s="196">
        <f t="shared" si="8"/>
        <v>1400750</v>
      </c>
      <c r="AG29" s="196">
        <f t="shared" si="8"/>
        <v>1619312.5</v>
      </c>
      <c r="AH29" s="196">
        <f t="shared" ref="AH29:BI29" si="9">SUM(AH28:AH28)</f>
        <v>1837875</v>
      </c>
      <c r="AI29" s="196">
        <f t="shared" si="9"/>
        <v>2029625</v>
      </c>
      <c r="AJ29" s="196">
        <f t="shared" si="9"/>
        <v>2203500</v>
      </c>
      <c r="AK29" s="196">
        <f t="shared" si="9"/>
        <v>0</v>
      </c>
      <c r="AL29" s="196">
        <f t="shared" si="9"/>
        <v>0</v>
      </c>
      <c r="AM29" s="196">
        <f t="shared" si="9"/>
        <v>0</v>
      </c>
      <c r="AN29" s="196">
        <f t="shared" si="9"/>
        <v>0</v>
      </c>
      <c r="AO29" s="196">
        <f t="shared" si="9"/>
        <v>0</v>
      </c>
      <c r="AP29" s="196">
        <f t="shared" si="9"/>
        <v>0</v>
      </c>
      <c r="AQ29" s="196">
        <f t="shared" si="9"/>
        <v>0</v>
      </c>
      <c r="AR29" s="196">
        <f t="shared" si="9"/>
        <v>0</v>
      </c>
      <c r="AS29" s="196">
        <f t="shared" si="9"/>
        <v>0</v>
      </c>
      <c r="AT29" s="196">
        <f t="shared" si="9"/>
        <v>0</v>
      </c>
      <c r="AU29" s="196">
        <f t="shared" si="9"/>
        <v>0</v>
      </c>
      <c r="AV29" s="196">
        <f t="shared" si="9"/>
        <v>0</v>
      </c>
      <c r="AW29" s="196">
        <f t="shared" si="9"/>
        <v>0</v>
      </c>
      <c r="AX29" s="196">
        <f t="shared" si="9"/>
        <v>0</v>
      </c>
      <c r="AY29" s="196">
        <f t="shared" si="9"/>
        <v>0</v>
      </c>
      <c r="AZ29" s="196">
        <f t="shared" si="9"/>
        <v>0</v>
      </c>
      <c r="BA29" s="196">
        <f t="shared" si="9"/>
        <v>0</v>
      </c>
      <c r="BB29" s="196">
        <f t="shared" si="9"/>
        <v>0</v>
      </c>
      <c r="BC29" s="196">
        <f t="shared" si="9"/>
        <v>0</v>
      </c>
      <c r="BD29" s="196">
        <f t="shared" si="9"/>
        <v>0</v>
      </c>
      <c r="BE29" s="196">
        <f t="shared" si="9"/>
        <v>0</v>
      </c>
      <c r="BF29" s="196">
        <f t="shared" si="9"/>
        <v>0</v>
      </c>
      <c r="BG29" s="196">
        <f t="shared" si="9"/>
        <v>0</v>
      </c>
      <c r="BH29" s="196">
        <f t="shared" si="9"/>
        <v>0</v>
      </c>
      <c r="BI29" s="196">
        <f t="shared" si="9"/>
        <v>0</v>
      </c>
    </row>
    <row r="31" spans="1:61" ht="15.75" customHeight="1" x14ac:dyDescent="0.25">
      <c r="A31" s="195" t="s">
        <v>340</v>
      </c>
      <c r="B31" s="196">
        <f t="shared" ref="B31:AG31" si="10">B26+B29</f>
        <v>0</v>
      </c>
      <c r="C31" s="196">
        <f t="shared" si="10"/>
        <v>0</v>
      </c>
      <c r="D31" s="196">
        <f t="shared" si="10"/>
        <v>0</v>
      </c>
      <c r="E31" s="196">
        <f t="shared" si="10"/>
        <v>0</v>
      </c>
      <c r="F31" s="196">
        <f t="shared" si="10"/>
        <v>0</v>
      </c>
      <c r="G31" s="196">
        <f t="shared" si="10"/>
        <v>0</v>
      </c>
      <c r="H31" s="196">
        <f t="shared" si="10"/>
        <v>0</v>
      </c>
      <c r="I31" s="196">
        <f t="shared" si="10"/>
        <v>0</v>
      </c>
      <c r="J31" s="196">
        <f t="shared" si="10"/>
        <v>0</v>
      </c>
      <c r="K31" s="196">
        <f t="shared" si="10"/>
        <v>0</v>
      </c>
      <c r="L31" s="196">
        <f t="shared" si="10"/>
        <v>0</v>
      </c>
      <c r="M31" s="196">
        <f t="shared" si="10"/>
        <v>270298.33740000008</v>
      </c>
      <c r="N31" s="196">
        <f t="shared" si="10"/>
        <v>541835.54217975016</v>
      </c>
      <c r="O31" s="196">
        <f t="shared" si="10"/>
        <v>814617.29248140741</v>
      </c>
      <c r="P31" s="196">
        <f t="shared" si="10"/>
        <v>1088649.2924719471</v>
      </c>
      <c r="Q31" s="196">
        <f t="shared" si="10"/>
        <v>1363937.2724624437</v>
      </c>
      <c r="R31" s="196">
        <f t="shared" si="10"/>
        <v>1640486.9890278967</v>
      </c>
      <c r="S31" s="196">
        <f t="shared" si="10"/>
        <v>1918304.2251276078</v>
      </c>
      <c r="T31" s="196">
        <f t="shared" si="10"/>
        <v>2197394.7902261093</v>
      </c>
      <c r="U31" s="196">
        <f t="shared" si="10"/>
        <v>2477764.5204146458</v>
      </c>
      <c r="V31" s="196">
        <f t="shared" si="10"/>
        <v>2759419.2785332133</v>
      </c>
      <c r="W31" s="196">
        <f t="shared" si="10"/>
        <v>3042364.954293157</v>
      </c>
      <c r="X31" s="196">
        <f t="shared" si="10"/>
        <v>3326607.4644003343</v>
      </c>
      <c r="Y31" s="196">
        <f t="shared" si="10"/>
        <v>3656840.2526788362</v>
      </c>
      <c r="Z31" s="196">
        <f t="shared" si="10"/>
        <v>3988381.7901952807</v>
      </c>
      <c r="AA31" s="196">
        <f t="shared" si="10"/>
        <v>4495113.0753836762</v>
      </c>
      <c r="AB31" s="196">
        <f t="shared" si="10"/>
        <v>4895045.799210852</v>
      </c>
      <c r="AC31" s="196">
        <f t="shared" si="10"/>
        <v>5133630.8007905688</v>
      </c>
      <c r="AD31" s="196">
        <f t="shared" si="10"/>
        <v>5372307.5721691921</v>
      </c>
      <c r="AE31" s="196">
        <f t="shared" si="10"/>
        <v>5611076.5339583009</v>
      </c>
      <c r="AF31" s="196">
        <f t="shared" si="10"/>
        <v>5849938.1086972766</v>
      </c>
      <c r="AG31" s="196">
        <f t="shared" si="10"/>
        <v>6088892.720862139</v>
      </c>
      <c r="AH31" s="196">
        <f t="shared" ref="AH31:BI31" si="11">AH26+AH29</f>
        <v>6327940.7968744235</v>
      </c>
      <c r="AI31" s="196">
        <f t="shared" si="11"/>
        <v>6540270.2651100978</v>
      </c>
      <c r="AJ31" s="196">
        <f t="shared" si="11"/>
        <v>6734819.0559085188</v>
      </c>
      <c r="AK31" s="196">
        <f t="shared" si="11"/>
        <v>0</v>
      </c>
      <c r="AL31" s="196">
        <f t="shared" si="11"/>
        <v>0</v>
      </c>
      <c r="AM31" s="196">
        <f t="shared" si="11"/>
        <v>0</v>
      </c>
      <c r="AN31" s="196">
        <f t="shared" si="11"/>
        <v>0</v>
      </c>
      <c r="AO31" s="196">
        <f t="shared" si="11"/>
        <v>0</v>
      </c>
      <c r="AP31" s="196">
        <f t="shared" si="11"/>
        <v>0</v>
      </c>
      <c r="AQ31" s="196">
        <f t="shared" si="11"/>
        <v>0</v>
      </c>
      <c r="AR31" s="196">
        <f t="shared" si="11"/>
        <v>0</v>
      </c>
      <c r="AS31" s="196">
        <f t="shared" si="11"/>
        <v>0</v>
      </c>
      <c r="AT31" s="196">
        <f t="shared" si="11"/>
        <v>0</v>
      </c>
      <c r="AU31" s="196">
        <f t="shared" si="11"/>
        <v>0</v>
      </c>
      <c r="AV31" s="196">
        <f t="shared" si="11"/>
        <v>0</v>
      </c>
      <c r="AW31" s="196">
        <f t="shared" si="11"/>
        <v>0</v>
      </c>
      <c r="AX31" s="196">
        <f t="shared" si="11"/>
        <v>0</v>
      </c>
      <c r="AY31" s="196">
        <f t="shared" si="11"/>
        <v>0</v>
      </c>
      <c r="AZ31" s="196">
        <f t="shared" si="11"/>
        <v>0</v>
      </c>
      <c r="BA31" s="196">
        <f t="shared" si="11"/>
        <v>0</v>
      </c>
      <c r="BB31" s="196">
        <f t="shared" si="11"/>
        <v>0</v>
      </c>
      <c r="BC31" s="196">
        <f t="shared" si="11"/>
        <v>0</v>
      </c>
      <c r="BD31" s="196">
        <f t="shared" si="11"/>
        <v>0</v>
      </c>
      <c r="BE31" s="196">
        <f t="shared" si="11"/>
        <v>0</v>
      </c>
      <c r="BF31" s="196">
        <f t="shared" si="11"/>
        <v>0</v>
      </c>
      <c r="BG31" s="196">
        <f t="shared" si="11"/>
        <v>0</v>
      </c>
      <c r="BH31" s="196">
        <f t="shared" si="11"/>
        <v>0</v>
      </c>
      <c r="BI31" s="196">
        <f t="shared" si="11"/>
        <v>0</v>
      </c>
    </row>
    <row r="33" spans="1:61" s="171" customFormat="1" ht="30.75" customHeight="1" thickTop="1" thickBot="1" x14ac:dyDescent="0.4">
      <c r="A33" s="198" t="s">
        <v>341</v>
      </c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0"/>
      <c r="AI33" s="200"/>
      <c r="AJ33" s="200"/>
      <c r="AK33" s="200"/>
      <c r="AL33" s="200"/>
      <c r="AM33" s="200"/>
      <c r="AN33" s="200"/>
      <c r="AO33" s="200"/>
      <c r="AP33" s="200"/>
      <c r="AQ33" s="200"/>
      <c r="AR33" s="200"/>
      <c r="AS33" s="200"/>
      <c r="AT33" s="200"/>
      <c r="AU33" s="200"/>
      <c r="AV33" s="200"/>
      <c r="AW33" s="200"/>
      <c r="AX33" s="200"/>
      <c r="AY33" s="200"/>
      <c r="AZ33" s="200"/>
      <c r="BA33" s="200"/>
      <c r="BB33" s="200"/>
      <c r="BC33" s="200"/>
      <c r="BD33" s="200"/>
      <c r="BE33" s="200"/>
      <c r="BF33" s="200"/>
      <c r="BG33" s="200"/>
      <c r="BH33" s="200"/>
      <c r="BI33" s="200"/>
    </row>
    <row r="34" spans="1:61" ht="15.75" customHeight="1" thickTop="1" x14ac:dyDescent="0.25">
      <c r="A34" t="s">
        <v>342</v>
      </c>
      <c r="B34" s="194">
        <f>SUM('30_CASHFLOW'!$B$28:B$28)</f>
        <v>1183546</v>
      </c>
      <c r="C34" s="194">
        <f>SUM('30_CASHFLOW'!$B$28:C$28)</f>
        <v>1183546</v>
      </c>
      <c r="D34" s="194">
        <f>SUM('30_CASHFLOW'!$B$28:D$28)</f>
        <v>1183546</v>
      </c>
      <c r="E34" s="194">
        <f>SUM('30_CASHFLOW'!$B$28:E$28)</f>
        <v>1183546</v>
      </c>
      <c r="F34" s="194">
        <f>SUM('30_CASHFLOW'!$B$28:F$28)</f>
        <v>1183546</v>
      </c>
      <c r="G34" s="194">
        <f>SUM('30_CASHFLOW'!$B$28:G$28)</f>
        <v>1183546</v>
      </c>
      <c r="H34" s="194">
        <f>SUM('30_CASHFLOW'!$B$28:H$28)</f>
        <v>1183546</v>
      </c>
      <c r="I34" s="194">
        <f>SUM('30_CASHFLOW'!$B$28:I$28)</f>
        <v>1183546</v>
      </c>
      <c r="J34" s="194">
        <f>SUM('30_CASHFLOW'!$B$28:J$28)</f>
        <v>1183546</v>
      </c>
      <c r="K34" s="194">
        <f>SUM('30_CASHFLOW'!$B$28:K$28)</f>
        <v>1183546</v>
      </c>
      <c r="L34" s="194">
        <f>SUM('30_CASHFLOW'!$B$28:L$28)</f>
        <v>1183546</v>
      </c>
      <c r="M34" s="194">
        <f>SUM('30_CASHFLOW'!$B$28:M$28)</f>
        <v>1216851.5195200001</v>
      </c>
      <c r="N34" s="194">
        <f>SUM('30_CASHFLOW'!$B$28:N$28)</f>
        <v>1218492.0748000001</v>
      </c>
      <c r="O34" s="194">
        <f>SUM('30_CASHFLOW'!$B$28:O$28)</f>
        <v>1220020.2632800001</v>
      </c>
      <c r="P34" s="194">
        <f>SUM('30_CASHFLOW'!$B$28:P$28)</f>
        <v>1221436.0849600001</v>
      </c>
      <c r="Q34" s="194">
        <f>SUM('30_CASHFLOW'!$B$28:Q$28)</f>
        <v>1222739.5398400002</v>
      </c>
      <c r="R34" s="194">
        <f>SUM('30_CASHFLOW'!$B$28:R$28)</f>
        <v>1223930.6279200001</v>
      </c>
      <c r="S34" s="194">
        <f>SUM('30_CASHFLOW'!$B$28:S$28)</f>
        <v>1225009.3492000001</v>
      </c>
      <c r="T34" s="194">
        <f>SUM('30_CASHFLOW'!$B$28:T$28)</f>
        <v>1225975.70368</v>
      </c>
      <c r="U34" s="194">
        <f>SUM('30_CASHFLOW'!$B$28:U$28)</f>
        <v>1226829.6913600001</v>
      </c>
      <c r="V34" s="194">
        <f>SUM('30_CASHFLOW'!$B$28:V$28)</f>
        <v>1227571.3122400001</v>
      </c>
      <c r="W34" s="194">
        <f>SUM('30_CASHFLOW'!$B$28:W$28)</f>
        <v>1228200.5663200002</v>
      </c>
      <c r="X34" s="194">
        <f>SUM('30_CASHFLOW'!$B$28:X$28)</f>
        <v>1228717.4536000001</v>
      </c>
      <c r="Y34" s="194">
        <f>SUM('30_CASHFLOW'!$B$28:Y$28)</f>
        <v>1228717.4536000001</v>
      </c>
      <c r="Z34" s="194">
        <f>SUM('30_CASHFLOW'!$B$28:Z$28)</f>
        <v>1228717.4536000001</v>
      </c>
      <c r="AA34" s="194">
        <f>SUM('30_CASHFLOW'!$B$28:AA$28)</f>
        <v>1228717.4536000001</v>
      </c>
      <c r="AB34" s="194">
        <f>SUM('30_CASHFLOW'!$B$28:AB$28)</f>
        <v>1228717.4536000001</v>
      </c>
      <c r="AC34" s="194">
        <f>SUM('30_CASHFLOW'!$B$28:AC$28)</f>
        <v>1306647.7736000002</v>
      </c>
      <c r="AD34" s="194">
        <f>SUM('30_CASHFLOW'!$B$28:AD$28)</f>
        <v>1384578.0936000003</v>
      </c>
      <c r="AE34" s="194">
        <f>SUM('30_CASHFLOW'!$B$28:AE$28)</f>
        <v>1462508.4136000003</v>
      </c>
      <c r="AF34" s="194">
        <f>SUM('30_CASHFLOW'!$B$28:AF$28)</f>
        <v>1540438.7336000004</v>
      </c>
      <c r="AG34" s="194">
        <f>SUM('30_CASHFLOW'!$B$28:AG$28)</f>
        <v>1618369.0536000005</v>
      </c>
      <c r="AH34" s="194">
        <f>SUM('30_CASHFLOW'!$B$28:AH$28)</f>
        <v>1696299.3736000005</v>
      </c>
      <c r="AI34" s="194">
        <f>SUM('30_CASHFLOW'!$B$28:AI$28)</f>
        <v>1784954.6936000006</v>
      </c>
      <c r="AJ34" s="194">
        <f>SUM('30_CASHFLOW'!$B$28:AJ$28)</f>
        <v>1880760.0136000006</v>
      </c>
      <c r="AK34" s="194">
        <f>SUM('30_CASHFLOW'!$B$28:AK$28)</f>
        <v>1880760.0136000006</v>
      </c>
      <c r="AL34" s="194">
        <f>SUM('30_CASHFLOW'!$B$28:AL$28)</f>
        <v>1880760.0136000006</v>
      </c>
      <c r="AM34" s="194">
        <f>SUM('30_CASHFLOW'!$B$28:AM$28)</f>
        <v>1880760.0136000006</v>
      </c>
      <c r="AN34" s="194">
        <f>SUM('30_CASHFLOW'!$B$28:AN$28)</f>
        <v>1880760.0136000006</v>
      </c>
      <c r="AO34" s="194">
        <f>SUM('30_CASHFLOW'!$B$28:AO$28)</f>
        <v>1880760.0136000006</v>
      </c>
      <c r="AP34" s="194">
        <f>SUM('30_CASHFLOW'!$B$28:AP$28)</f>
        <v>1880760.0136000006</v>
      </c>
      <c r="AQ34" s="194">
        <f>SUM('30_CASHFLOW'!$B$28:AQ$28)</f>
        <v>1880760.0136000006</v>
      </c>
      <c r="AR34" s="194">
        <f>SUM('30_CASHFLOW'!$B$28:AR$28)</f>
        <v>1880760.0136000006</v>
      </c>
      <c r="AS34" s="194">
        <f>SUM('30_CASHFLOW'!$B$28:AS$28)</f>
        <v>1880760.0136000006</v>
      </c>
      <c r="AT34" s="194">
        <f>SUM('30_CASHFLOW'!$B$28:AT$28)</f>
        <v>1880760.0136000006</v>
      </c>
      <c r="AU34" s="194">
        <f>SUM('30_CASHFLOW'!$B$28:AU$28)</f>
        <v>1880760.0136000006</v>
      </c>
      <c r="AV34" s="194">
        <f>SUM('30_CASHFLOW'!$B$28:AV$28)</f>
        <v>1880760.0136000006</v>
      </c>
      <c r="AW34" s="194">
        <f>SUM('30_CASHFLOW'!$B$28:AW$28)</f>
        <v>1880760.0136000006</v>
      </c>
      <c r="AX34" s="194">
        <f>SUM('30_CASHFLOW'!$B$28:AX$28)</f>
        <v>1880760.0136000006</v>
      </c>
      <c r="AY34" s="194">
        <f>SUM('30_CASHFLOW'!$B$28:AY$28)</f>
        <v>1880760.0136000006</v>
      </c>
      <c r="AZ34" s="194">
        <f>SUM('30_CASHFLOW'!$B$28:AZ$28)</f>
        <v>1880760.0136000006</v>
      </c>
      <c r="BA34" s="194">
        <f>SUM('30_CASHFLOW'!$B$28:BA$28)</f>
        <v>1880760.0136000006</v>
      </c>
      <c r="BB34" s="194">
        <f>SUM('30_CASHFLOW'!$B$28:BB$28)</f>
        <v>1880760.0136000006</v>
      </c>
      <c r="BC34" s="194">
        <f>SUM('30_CASHFLOW'!$B$28:BC$28)</f>
        <v>1880760.0136000006</v>
      </c>
      <c r="BD34" s="194">
        <f>SUM('30_CASHFLOW'!$B$28:BD$28)</f>
        <v>1880760.0136000006</v>
      </c>
      <c r="BE34" s="194">
        <f>SUM('30_CASHFLOW'!$B$28:BE$28)</f>
        <v>1880760.0136000006</v>
      </c>
      <c r="BF34" s="194">
        <f>SUM('30_CASHFLOW'!$B$28:BF$28)</f>
        <v>1880760.0136000006</v>
      </c>
      <c r="BG34" s="194">
        <f>SUM('30_CASHFLOW'!$B$28:BG$28)</f>
        <v>1880760.0136000006</v>
      </c>
      <c r="BH34" s="194">
        <f>SUM('30_CASHFLOW'!$B$28:BH$28)</f>
        <v>1880760.0136000006</v>
      </c>
      <c r="BI34" s="194">
        <f>SUM('30_CASHFLOW'!$B$28:BI$28)</f>
        <v>1880760.0136000006</v>
      </c>
    </row>
    <row r="35" spans="1:61" ht="15.75" customHeight="1" thickBot="1" x14ac:dyDescent="0.3">
      <c r="A35" t="s">
        <v>343</v>
      </c>
      <c r="B35" s="196">
        <f>'31_P&amp;L'!B26</f>
        <v>0</v>
      </c>
      <c r="C35" s="196">
        <f>'31_P&amp;L'!C26</f>
        <v>0</v>
      </c>
      <c r="D35" s="196">
        <f>'31_P&amp;L'!D26</f>
        <v>0</v>
      </c>
      <c r="E35" s="196">
        <f>'31_P&amp;L'!E26</f>
        <v>0</v>
      </c>
      <c r="F35" s="196">
        <f>'31_P&amp;L'!F26</f>
        <v>0</v>
      </c>
      <c r="G35" s="196">
        <f>'31_P&amp;L'!G26</f>
        <v>0</v>
      </c>
      <c r="H35" s="196">
        <f>'31_P&amp;L'!H26</f>
        <v>0</v>
      </c>
      <c r="I35" s="196">
        <f>'31_P&amp;L'!I26</f>
        <v>0</v>
      </c>
      <c r="J35" s="196">
        <f>'31_P&amp;L'!J26</f>
        <v>0</v>
      </c>
      <c r="K35" s="196">
        <f>'31_P&amp;L'!K26</f>
        <v>0</v>
      </c>
      <c r="L35" s="196">
        <f>'31_P&amp;L'!L26</f>
        <v>0</v>
      </c>
      <c r="M35" s="196">
        <f>'31_P&amp;L'!M26</f>
        <v>-33305.519520000031</v>
      </c>
      <c r="N35" s="196">
        <f>'31_P&amp;L'!N26</f>
        <v>-34946.074800000031</v>
      </c>
      <c r="O35" s="196">
        <f>'31_P&amp;L'!O26</f>
        <v>-36474.263280000036</v>
      </c>
      <c r="P35" s="196">
        <f>'31_P&amp;L'!P26</f>
        <v>-37890.084960000037</v>
      </c>
      <c r="Q35" s="196">
        <f>'31_P&amp;L'!Q26</f>
        <v>-39193.539840000041</v>
      </c>
      <c r="R35" s="196">
        <f>'31_P&amp;L'!R26</f>
        <v>-40384.627920000043</v>
      </c>
      <c r="S35" s="196">
        <f>'31_P&amp;L'!S26</f>
        <v>-41463.349200000041</v>
      </c>
      <c r="T35" s="196">
        <f>'31_P&amp;L'!T26</f>
        <v>-42429.703680000042</v>
      </c>
      <c r="U35" s="196">
        <f>'31_P&amp;L'!U26</f>
        <v>-43283.691360000041</v>
      </c>
      <c r="V35" s="196">
        <f>'31_P&amp;L'!V26</f>
        <v>-44025.312240000043</v>
      </c>
      <c r="W35" s="196">
        <f>'31_P&amp;L'!W26</f>
        <v>-44654.566320000042</v>
      </c>
      <c r="X35" s="196">
        <f>'31_P&amp;L'!X26</f>
        <v>-45171.453600000044</v>
      </c>
      <c r="Y35" s="196">
        <f>'31_P&amp;L'!Y26</f>
        <v>-72388.474080000044</v>
      </c>
      <c r="Z35" s="196">
        <f>'31_P&amp;L'!Z26</f>
        <v>-99493.127760000047</v>
      </c>
      <c r="AA35" s="196">
        <f>'31_P&amp;L'!AA26</f>
        <v>-126485.41464000005</v>
      </c>
      <c r="AB35" s="196">
        <f>'31_P&amp;L'!AB26</f>
        <v>-153365.33472000004</v>
      </c>
      <c r="AC35" s="196">
        <f>'31_P&amp;L'!AC26</f>
        <v>-180177.83472000004</v>
      </c>
      <c r="AD35" s="196">
        <f>'31_P&amp;L'!AD26</f>
        <v>-206990.33472000004</v>
      </c>
      <c r="AE35" s="196">
        <f>'31_P&amp;L'!AE26</f>
        <v>-233802.83472000004</v>
      </c>
      <c r="AF35" s="196">
        <f>'31_P&amp;L'!AF26</f>
        <v>-260615.33472000004</v>
      </c>
      <c r="AG35" s="196">
        <f>'31_P&amp;L'!AG26</f>
        <v>-287427.83472000004</v>
      </c>
      <c r="AH35" s="196">
        <f>'31_P&amp;L'!AH26</f>
        <v>-314240.33472000004</v>
      </c>
      <c r="AI35" s="196">
        <f>'31_P&amp;L'!AI26</f>
        <v>-324965.33472000004</v>
      </c>
      <c r="AJ35" s="196">
        <f>'31_P&amp;L'!AJ26</f>
        <v>-324965.33472000004</v>
      </c>
      <c r="AK35" s="196">
        <f>'31_P&amp;L'!AK26</f>
        <v>715285.94809392258</v>
      </c>
      <c r="AL35" s="196">
        <f>'31_P&amp;L'!AL26</f>
        <v>715285.94809392258</v>
      </c>
      <c r="AM35" s="196">
        <f>'31_P&amp;L'!AM26</f>
        <v>715285.94809392258</v>
      </c>
      <c r="AN35" s="196">
        <f>'31_P&amp;L'!AN26</f>
        <v>715285.94809392258</v>
      </c>
      <c r="AO35" s="196">
        <f>'31_P&amp;L'!AO26</f>
        <v>715285.94809392258</v>
      </c>
      <c r="AP35" s="196">
        <f>'31_P&amp;L'!AP26</f>
        <v>715285.94809392258</v>
      </c>
      <c r="AQ35" s="196">
        <f>'31_P&amp;L'!AQ26</f>
        <v>715285.94809392258</v>
      </c>
      <c r="AR35" s="196">
        <f>'31_P&amp;L'!AR26</f>
        <v>715285.94809392258</v>
      </c>
      <c r="AS35" s="196">
        <f>'31_P&amp;L'!AS26</f>
        <v>715285.94809392258</v>
      </c>
      <c r="AT35" s="196">
        <f>'31_P&amp;L'!AT26</f>
        <v>715285.94809392258</v>
      </c>
      <c r="AU35" s="196">
        <f>'31_P&amp;L'!AU26</f>
        <v>715285.94809392258</v>
      </c>
      <c r="AV35" s="196">
        <f>'31_P&amp;L'!AV26</f>
        <v>715285.94809392258</v>
      </c>
      <c r="AW35" s="196">
        <f>'31_P&amp;L'!AW26</f>
        <v>715285.94809392258</v>
      </c>
      <c r="AX35" s="196">
        <f>'31_P&amp;L'!AX26</f>
        <v>715285.94809392258</v>
      </c>
      <c r="AY35" s="196">
        <f>'31_P&amp;L'!AY26</f>
        <v>715285.94809392258</v>
      </c>
      <c r="AZ35" s="196">
        <f>'31_P&amp;L'!AZ26</f>
        <v>715285.94809392258</v>
      </c>
      <c r="BA35" s="196">
        <f>'31_P&amp;L'!BA26</f>
        <v>715285.94809392258</v>
      </c>
      <c r="BB35" s="196">
        <f>'31_P&amp;L'!BB26</f>
        <v>715285.94809392258</v>
      </c>
      <c r="BC35" s="196">
        <f>'31_P&amp;L'!BC26</f>
        <v>715285.94809392258</v>
      </c>
      <c r="BD35" s="196">
        <f>'31_P&amp;L'!BD26</f>
        <v>715285.94809392258</v>
      </c>
      <c r="BE35" s="196">
        <f>'31_P&amp;L'!BE26</f>
        <v>715285.94809392258</v>
      </c>
      <c r="BF35" s="196">
        <f>'31_P&amp;L'!BF26</f>
        <v>715285.94809392258</v>
      </c>
      <c r="BG35" s="196">
        <f>'31_P&amp;L'!BG26</f>
        <v>715285.94809392258</v>
      </c>
      <c r="BH35" s="196">
        <f>'31_P&amp;L'!BH26</f>
        <v>715285.94809392258</v>
      </c>
      <c r="BI35" s="196">
        <f>'31_P&amp;L'!BI26</f>
        <v>715285.94809392258</v>
      </c>
    </row>
    <row r="36" spans="1:61" x14ac:dyDescent="0.25">
      <c r="A36" s="195" t="s">
        <v>344</v>
      </c>
      <c r="B36" s="194">
        <f t="shared" ref="B36:AG36" si="12">SUM(B34:B35)</f>
        <v>1183546</v>
      </c>
      <c r="C36" s="194">
        <f t="shared" si="12"/>
        <v>1183546</v>
      </c>
      <c r="D36" s="194">
        <f t="shared" si="12"/>
        <v>1183546</v>
      </c>
      <c r="E36" s="194">
        <f t="shared" si="12"/>
        <v>1183546</v>
      </c>
      <c r="F36" s="194">
        <f t="shared" si="12"/>
        <v>1183546</v>
      </c>
      <c r="G36" s="194">
        <f t="shared" si="12"/>
        <v>1183546</v>
      </c>
      <c r="H36" s="194">
        <f t="shared" si="12"/>
        <v>1183546</v>
      </c>
      <c r="I36" s="194">
        <f t="shared" si="12"/>
        <v>1183546</v>
      </c>
      <c r="J36" s="194">
        <f t="shared" si="12"/>
        <v>1183546</v>
      </c>
      <c r="K36" s="194">
        <f t="shared" si="12"/>
        <v>1183546</v>
      </c>
      <c r="L36" s="194">
        <f t="shared" si="12"/>
        <v>1183546</v>
      </c>
      <c r="M36" s="194">
        <f t="shared" si="12"/>
        <v>1183546</v>
      </c>
      <c r="N36" s="194">
        <f t="shared" si="12"/>
        <v>1183546</v>
      </c>
      <c r="O36" s="194">
        <f t="shared" si="12"/>
        <v>1183546</v>
      </c>
      <c r="P36" s="194">
        <f t="shared" si="12"/>
        <v>1183546</v>
      </c>
      <c r="Q36" s="194">
        <f t="shared" si="12"/>
        <v>1183546.0000000002</v>
      </c>
      <c r="R36" s="194">
        <f t="shared" si="12"/>
        <v>1183546</v>
      </c>
      <c r="S36" s="194">
        <f t="shared" si="12"/>
        <v>1183546</v>
      </c>
      <c r="T36" s="194">
        <f t="shared" si="12"/>
        <v>1183546</v>
      </c>
      <c r="U36" s="194">
        <f t="shared" si="12"/>
        <v>1183546</v>
      </c>
      <c r="V36" s="194">
        <f t="shared" si="12"/>
        <v>1183546</v>
      </c>
      <c r="W36" s="194">
        <f t="shared" si="12"/>
        <v>1183546.0000000002</v>
      </c>
      <c r="X36" s="194">
        <f t="shared" si="12"/>
        <v>1183546</v>
      </c>
      <c r="Y36" s="194">
        <f t="shared" si="12"/>
        <v>1156328.9795200001</v>
      </c>
      <c r="Z36" s="194">
        <f t="shared" si="12"/>
        <v>1129224.3258400001</v>
      </c>
      <c r="AA36" s="194">
        <f t="shared" si="12"/>
        <v>1102232.03896</v>
      </c>
      <c r="AB36" s="194">
        <f t="shared" si="12"/>
        <v>1075352.11888</v>
      </c>
      <c r="AC36" s="194">
        <f t="shared" si="12"/>
        <v>1126469.9388800003</v>
      </c>
      <c r="AD36" s="194">
        <f t="shared" si="12"/>
        <v>1177587.7588800001</v>
      </c>
      <c r="AE36" s="194">
        <f t="shared" si="12"/>
        <v>1228705.5788800004</v>
      </c>
      <c r="AF36" s="194">
        <f t="shared" si="12"/>
        <v>1279823.3988800002</v>
      </c>
      <c r="AG36" s="194">
        <f t="shared" si="12"/>
        <v>1330941.2188800005</v>
      </c>
      <c r="AH36" s="194">
        <f t="shared" ref="AH36:BI36" si="13">SUM(AH34:AH35)</f>
        <v>1382059.0388800004</v>
      </c>
      <c r="AI36" s="194">
        <f t="shared" si="13"/>
        <v>1459989.3588800007</v>
      </c>
      <c r="AJ36" s="194">
        <f t="shared" si="13"/>
        <v>1555794.6788800005</v>
      </c>
      <c r="AK36" s="194">
        <f t="shared" si="13"/>
        <v>2596045.961693923</v>
      </c>
      <c r="AL36" s="194">
        <f t="shared" si="13"/>
        <v>2596045.961693923</v>
      </c>
      <c r="AM36" s="194">
        <f t="shared" si="13"/>
        <v>2596045.961693923</v>
      </c>
      <c r="AN36" s="194">
        <f t="shared" si="13"/>
        <v>2596045.961693923</v>
      </c>
      <c r="AO36" s="194">
        <f t="shared" si="13"/>
        <v>2596045.961693923</v>
      </c>
      <c r="AP36" s="194">
        <f t="shared" si="13"/>
        <v>2596045.961693923</v>
      </c>
      <c r="AQ36" s="194">
        <f t="shared" si="13"/>
        <v>2596045.961693923</v>
      </c>
      <c r="AR36" s="194">
        <f t="shared" si="13"/>
        <v>2596045.961693923</v>
      </c>
      <c r="AS36" s="194">
        <f t="shared" si="13"/>
        <v>2596045.961693923</v>
      </c>
      <c r="AT36" s="194">
        <f t="shared" si="13"/>
        <v>2596045.961693923</v>
      </c>
      <c r="AU36" s="194">
        <f t="shared" si="13"/>
        <v>2596045.961693923</v>
      </c>
      <c r="AV36" s="194">
        <f t="shared" si="13"/>
        <v>2596045.961693923</v>
      </c>
      <c r="AW36" s="194">
        <f t="shared" si="13"/>
        <v>2596045.961693923</v>
      </c>
      <c r="AX36" s="194">
        <f t="shared" si="13"/>
        <v>2596045.961693923</v>
      </c>
      <c r="AY36" s="194">
        <f t="shared" si="13"/>
        <v>2596045.961693923</v>
      </c>
      <c r="AZ36" s="194">
        <f t="shared" si="13"/>
        <v>2596045.961693923</v>
      </c>
      <c r="BA36" s="194">
        <f t="shared" si="13"/>
        <v>2596045.961693923</v>
      </c>
      <c r="BB36" s="194">
        <f t="shared" si="13"/>
        <v>2596045.961693923</v>
      </c>
      <c r="BC36" s="194">
        <f t="shared" si="13"/>
        <v>2596045.961693923</v>
      </c>
      <c r="BD36" s="194">
        <f t="shared" si="13"/>
        <v>2596045.961693923</v>
      </c>
      <c r="BE36" s="194">
        <f t="shared" si="13"/>
        <v>2596045.961693923</v>
      </c>
      <c r="BF36" s="194">
        <f t="shared" si="13"/>
        <v>2596045.961693923</v>
      </c>
      <c r="BG36" s="194">
        <f t="shared" si="13"/>
        <v>2596045.961693923</v>
      </c>
      <c r="BH36" s="194">
        <f t="shared" si="13"/>
        <v>2596045.961693923</v>
      </c>
      <c r="BI36" s="194">
        <f t="shared" si="13"/>
        <v>2596045.961693923</v>
      </c>
    </row>
    <row r="37" spans="1:61" x14ac:dyDescent="0.25"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6"/>
      <c r="AB37" s="196"/>
      <c r="AC37" s="196"/>
      <c r="AD37" s="196"/>
      <c r="AE37" s="196"/>
      <c r="AF37" s="196"/>
      <c r="AG37" s="196"/>
      <c r="AH37" s="196"/>
      <c r="AI37" s="196"/>
      <c r="AJ37" s="196"/>
      <c r="AK37" s="196"/>
      <c r="AL37" s="196"/>
      <c r="AM37" s="196"/>
      <c r="AN37" s="196"/>
      <c r="AO37" s="196"/>
      <c r="AP37" s="196"/>
      <c r="AQ37" s="196"/>
      <c r="AR37" s="196"/>
      <c r="AS37" s="196"/>
      <c r="AT37" s="196"/>
      <c r="AU37" s="196"/>
      <c r="AV37" s="196"/>
      <c r="AW37" s="196"/>
      <c r="AX37" s="196"/>
      <c r="AY37" s="196"/>
      <c r="AZ37" s="196"/>
      <c r="BA37" s="196"/>
      <c r="BB37" s="196"/>
      <c r="BC37" s="196"/>
      <c r="BD37" s="196"/>
      <c r="BE37" s="196"/>
      <c r="BF37" s="196"/>
      <c r="BG37" s="196"/>
      <c r="BH37" s="196"/>
      <c r="BI37" s="196"/>
    </row>
    <row r="38" spans="1:61" ht="21.75" customHeight="1" thickBot="1" x14ac:dyDescent="0.3">
      <c r="A38" s="195" t="s">
        <v>345</v>
      </c>
      <c r="B38" s="192">
        <f t="shared" ref="B38:AG38" si="14">B31+B36</f>
        <v>1183546</v>
      </c>
      <c r="C38" s="192">
        <f t="shared" si="14"/>
        <v>1183546</v>
      </c>
      <c r="D38" s="192">
        <f t="shared" si="14"/>
        <v>1183546</v>
      </c>
      <c r="E38" s="192">
        <f t="shared" si="14"/>
        <v>1183546</v>
      </c>
      <c r="F38" s="192">
        <f t="shared" si="14"/>
        <v>1183546</v>
      </c>
      <c r="G38" s="192">
        <f t="shared" si="14"/>
        <v>1183546</v>
      </c>
      <c r="H38" s="192">
        <f t="shared" si="14"/>
        <v>1183546</v>
      </c>
      <c r="I38" s="192">
        <f t="shared" si="14"/>
        <v>1183546</v>
      </c>
      <c r="J38" s="192">
        <f t="shared" si="14"/>
        <v>1183546</v>
      </c>
      <c r="K38" s="192">
        <f t="shared" si="14"/>
        <v>1183546</v>
      </c>
      <c r="L38" s="192">
        <f t="shared" si="14"/>
        <v>1183546</v>
      </c>
      <c r="M38" s="192">
        <f t="shared" si="14"/>
        <v>1453844.3374000001</v>
      </c>
      <c r="N38" s="192">
        <f t="shared" si="14"/>
        <v>1725381.5421797503</v>
      </c>
      <c r="O38" s="192">
        <f t="shared" si="14"/>
        <v>1998163.2924814075</v>
      </c>
      <c r="P38" s="192">
        <f t="shared" si="14"/>
        <v>2272195.2924719471</v>
      </c>
      <c r="Q38" s="192">
        <f t="shared" si="14"/>
        <v>2547483.2724624439</v>
      </c>
      <c r="R38" s="192">
        <f t="shared" si="14"/>
        <v>2824032.9890278969</v>
      </c>
      <c r="S38" s="192">
        <f t="shared" si="14"/>
        <v>3101850.2251276076</v>
      </c>
      <c r="T38" s="192">
        <f t="shared" si="14"/>
        <v>3380940.7902261093</v>
      </c>
      <c r="U38" s="192">
        <f t="shared" si="14"/>
        <v>3661310.5204146458</v>
      </c>
      <c r="V38" s="192">
        <f t="shared" si="14"/>
        <v>3942965.2785332133</v>
      </c>
      <c r="W38" s="192">
        <f t="shared" si="14"/>
        <v>4225910.954293157</v>
      </c>
      <c r="X38" s="192">
        <f t="shared" si="14"/>
        <v>4510153.4644003343</v>
      </c>
      <c r="Y38" s="192">
        <f t="shared" si="14"/>
        <v>4813169.2321988363</v>
      </c>
      <c r="Z38" s="192">
        <f t="shared" si="14"/>
        <v>5117606.1160352807</v>
      </c>
      <c r="AA38" s="192">
        <f t="shared" si="14"/>
        <v>5597345.1143436767</v>
      </c>
      <c r="AB38" s="192">
        <f t="shared" si="14"/>
        <v>5970397.918090852</v>
      </c>
      <c r="AC38" s="192">
        <f t="shared" si="14"/>
        <v>6260100.7396705691</v>
      </c>
      <c r="AD38" s="192">
        <f t="shared" si="14"/>
        <v>6549895.3310491927</v>
      </c>
      <c r="AE38" s="192">
        <f t="shared" si="14"/>
        <v>6839782.1128383018</v>
      </c>
      <c r="AF38" s="192">
        <f t="shared" si="14"/>
        <v>7129761.5075772768</v>
      </c>
      <c r="AG38" s="192">
        <f t="shared" si="14"/>
        <v>7419833.9397421395</v>
      </c>
      <c r="AH38" s="192">
        <f t="shared" ref="AH38:BI38" si="15">AH31+AH36</f>
        <v>7709999.8357544243</v>
      </c>
      <c r="AI38" s="192">
        <f t="shared" si="15"/>
        <v>8000259.623990098</v>
      </c>
      <c r="AJ38" s="192">
        <f t="shared" si="15"/>
        <v>8290613.7347885193</v>
      </c>
      <c r="AK38" s="192">
        <f t="shared" si="15"/>
        <v>2596045.961693923</v>
      </c>
      <c r="AL38" s="192">
        <f t="shared" si="15"/>
        <v>2596045.961693923</v>
      </c>
      <c r="AM38" s="192">
        <f t="shared" si="15"/>
        <v>2596045.961693923</v>
      </c>
      <c r="AN38" s="192">
        <f t="shared" si="15"/>
        <v>2596045.961693923</v>
      </c>
      <c r="AO38" s="192">
        <f t="shared" si="15"/>
        <v>2596045.961693923</v>
      </c>
      <c r="AP38" s="192">
        <f t="shared" si="15"/>
        <v>2596045.961693923</v>
      </c>
      <c r="AQ38" s="192">
        <f t="shared" si="15"/>
        <v>2596045.961693923</v>
      </c>
      <c r="AR38" s="192">
        <f t="shared" si="15"/>
        <v>2596045.961693923</v>
      </c>
      <c r="AS38" s="192">
        <f t="shared" si="15"/>
        <v>2596045.961693923</v>
      </c>
      <c r="AT38" s="192">
        <f t="shared" si="15"/>
        <v>2596045.961693923</v>
      </c>
      <c r="AU38" s="192">
        <f t="shared" si="15"/>
        <v>2596045.961693923</v>
      </c>
      <c r="AV38" s="192">
        <f t="shared" si="15"/>
        <v>2596045.961693923</v>
      </c>
      <c r="AW38" s="192">
        <f t="shared" si="15"/>
        <v>2596045.961693923</v>
      </c>
      <c r="AX38" s="192">
        <f t="shared" si="15"/>
        <v>2596045.961693923</v>
      </c>
      <c r="AY38" s="192">
        <f t="shared" si="15"/>
        <v>2596045.961693923</v>
      </c>
      <c r="AZ38" s="192">
        <f t="shared" si="15"/>
        <v>2596045.961693923</v>
      </c>
      <c r="BA38" s="192">
        <f t="shared" si="15"/>
        <v>2596045.961693923</v>
      </c>
      <c r="BB38" s="192">
        <f t="shared" si="15"/>
        <v>2596045.961693923</v>
      </c>
      <c r="BC38" s="192">
        <f t="shared" si="15"/>
        <v>2596045.961693923</v>
      </c>
      <c r="BD38" s="192">
        <f t="shared" si="15"/>
        <v>2596045.961693923</v>
      </c>
      <c r="BE38" s="192">
        <f t="shared" si="15"/>
        <v>2596045.961693923</v>
      </c>
      <c r="BF38" s="192">
        <f t="shared" si="15"/>
        <v>2596045.961693923</v>
      </c>
      <c r="BG38" s="192">
        <f t="shared" si="15"/>
        <v>2596045.961693923</v>
      </c>
      <c r="BH38" s="192">
        <f t="shared" si="15"/>
        <v>2596045.961693923</v>
      </c>
      <c r="BI38" s="192">
        <f t="shared" si="15"/>
        <v>2596045.961693923</v>
      </c>
    </row>
    <row r="39" spans="1:61" ht="21.75" customHeight="1" thickTop="1" x14ac:dyDescent="0.25">
      <c r="A39" s="191"/>
      <c r="B39" s="191"/>
      <c r="C39" s="191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1"/>
      <c r="AH39" s="191"/>
      <c r="AI39" s="191"/>
      <c r="AJ39" s="191"/>
      <c r="AK39" s="191"/>
      <c r="AL39" s="191"/>
      <c r="AM39" s="191"/>
      <c r="AN39" s="191"/>
      <c r="AO39" s="191"/>
      <c r="AP39" s="191"/>
      <c r="AQ39" s="191"/>
      <c r="AR39" s="191"/>
      <c r="AS39" s="191"/>
      <c r="AT39" s="191"/>
      <c r="AU39" s="191"/>
      <c r="AV39" s="191"/>
      <c r="AW39" s="191"/>
      <c r="AX39" s="191"/>
      <c r="AY39" s="191"/>
      <c r="AZ39" s="191"/>
      <c r="BA39" s="191"/>
      <c r="BB39" s="191"/>
      <c r="BC39" s="191"/>
      <c r="BD39" s="191"/>
      <c r="BE39" s="191"/>
      <c r="BF39" s="191"/>
      <c r="BG39" s="191"/>
      <c r="BH39" s="191"/>
      <c r="BI39" s="191"/>
    </row>
    <row r="40" spans="1:61" ht="15.75" customHeight="1" x14ac:dyDescent="0.25">
      <c r="A40" s="195" t="s">
        <v>346</v>
      </c>
      <c r="B40" s="196">
        <f t="shared" ref="B40:AG40" si="16">B21-B38</f>
        <v>0</v>
      </c>
      <c r="C40" s="196">
        <f t="shared" si="16"/>
        <v>0</v>
      </c>
      <c r="D40" s="196">
        <f t="shared" si="16"/>
        <v>0</v>
      </c>
      <c r="E40" s="196">
        <f t="shared" si="16"/>
        <v>0</v>
      </c>
      <c r="F40" s="196">
        <f t="shared" si="16"/>
        <v>0</v>
      </c>
      <c r="G40" s="196">
        <f t="shared" si="16"/>
        <v>0</v>
      </c>
      <c r="H40" s="196">
        <f t="shared" si="16"/>
        <v>0</v>
      </c>
      <c r="I40" s="196">
        <f t="shared" si="16"/>
        <v>0</v>
      </c>
      <c r="J40" s="196">
        <f t="shared" si="16"/>
        <v>0</v>
      </c>
      <c r="K40" s="196">
        <f t="shared" si="16"/>
        <v>0</v>
      </c>
      <c r="L40" s="196">
        <f t="shared" si="16"/>
        <v>0</v>
      </c>
      <c r="M40" s="196">
        <f t="shared" si="16"/>
        <v>0</v>
      </c>
      <c r="N40" s="196">
        <f t="shared" si="16"/>
        <v>0</v>
      </c>
      <c r="O40" s="196">
        <f t="shared" si="16"/>
        <v>0</v>
      </c>
      <c r="P40" s="196">
        <f t="shared" si="16"/>
        <v>0</v>
      </c>
      <c r="Q40" s="196">
        <f t="shared" si="16"/>
        <v>0</v>
      </c>
      <c r="R40" s="196">
        <f t="shared" si="16"/>
        <v>0</v>
      </c>
      <c r="S40" s="196">
        <f t="shared" si="16"/>
        <v>0</v>
      </c>
      <c r="T40" s="196">
        <f t="shared" si="16"/>
        <v>0</v>
      </c>
      <c r="U40" s="196">
        <f t="shared" si="16"/>
        <v>0</v>
      </c>
      <c r="V40" s="196">
        <f t="shared" si="16"/>
        <v>0</v>
      </c>
      <c r="W40" s="196">
        <f t="shared" si="16"/>
        <v>0</v>
      </c>
      <c r="X40" s="196">
        <f t="shared" si="16"/>
        <v>0</v>
      </c>
      <c r="Y40" s="196">
        <f t="shared" si="16"/>
        <v>0</v>
      </c>
      <c r="Z40" s="196">
        <f t="shared" si="16"/>
        <v>0</v>
      </c>
      <c r="AA40" s="196">
        <f t="shared" si="16"/>
        <v>0</v>
      </c>
      <c r="AB40" s="196">
        <f t="shared" si="16"/>
        <v>0</v>
      </c>
      <c r="AC40" s="196">
        <f t="shared" si="16"/>
        <v>0</v>
      </c>
      <c r="AD40" s="196">
        <f t="shared" si="16"/>
        <v>0</v>
      </c>
      <c r="AE40" s="196">
        <f t="shared" si="16"/>
        <v>0</v>
      </c>
      <c r="AF40" s="196">
        <f t="shared" si="16"/>
        <v>0</v>
      </c>
      <c r="AG40" s="196">
        <f t="shared" si="16"/>
        <v>0</v>
      </c>
      <c r="AH40" s="196">
        <f t="shared" ref="AH40:BI40" si="17">AH21-AH38</f>
        <v>0</v>
      </c>
      <c r="AI40" s="196">
        <f t="shared" si="17"/>
        <v>0</v>
      </c>
      <c r="AJ40" s="196">
        <f t="shared" si="17"/>
        <v>0</v>
      </c>
      <c r="AK40" s="196">
        <f t="shared" si="17"/>
        <v>4.1909515857696533E-9</v>
      </c>
      <c r="AL40" s="196">
        <f t="shared" si="17"/>
        <v>4.1909515857696533E-9</v>
      </c>
      <c r="AM40" s="196">
        <f t="shared" si="17"/>
        <v>4.1909515857696533E-9</v>
      </c>
      <c r="AN40" s="196">
        <f t="shared" si="17"/>
        <v>4.1909515857696533E-9</v>
      </c>
      <c r="AO40" s="196">
        <f t="shared" si="17"/>
        <v>4.1909515857696533E-9</v>
      </c>
      <c r="AP40" s="196">
        <f t="shared" si="17"/>
        <v>4.1909515857696533E-9</v>
      </c>
      <c r="AQ40" s="196">
        <f t="shared" si="17"/>
        <v>4.1909515857696533E-9</v>
      </c>
      <c r="AR40" s="196">
        <f t="shared" si="17"/>
        <v>4.1909515857696533E-9</v>
      </c>
      <c r="AS40" s="196">
        <f t="shared" si="17"/>
        <v>4.1909515857696533E-9</v>
      </c>
      <c r="AT40" s="196">
        <f t="shared" si="17"/>
        <v>4.1909515857696533E-9</v>
      </c>
      <c r="AU40" s="196">
        <f t="shared" si="17"/>
        <v>4.1909515857696533E-9</v>
      </c>
      <c r="AV40" s="196">
        <f t="shared" si="17"/>
        <v>4.1909515857696533E-9</v>
      </c>
      <c r="AW40" s="196">
        <f t="shared" si="17"/>
        <v>4.1909515857696533E-9</v>
      </c>
      <c r="AX40" s="196">
        <f t="shared" si="17"/>
        <v>4.1909515857696533E-9</v>
      </c>
      <c r="AY40" s="196">
        <f t="shared" si="17"/>
        <v>4.1909515857696533E-9</v>
      </c>
      <c r="AZ40" s="196">
        <f t="shared" si="17"/>
        <v>4.1909515857696533E-9</v>
      </c>
      <c r="BA40" s="196">
        <f t="shared" si="17"/>
        <v>4.1909515857696533E-9</v>
      </c>
      <c r="BB40" s="196">
        <f t="shared" si="17"/>
        <v>4.1909515857696533E-9</v>
      </c>
      <c r="BC40" s="196">
        <f t="shared" si="17"/>
        <v>4.1909515857696533E-9</v>
      </c>
      <c r="BD40" s="196">
        <f t="shared" si="17"/>
        <v>4.1909515857696533E-9</v>
      </c>
      <c r="BE40" s="196">
        <f t="shared" si="17"/>
        <v>4.1909515857696533E-9</v>
      </c>
      <c r="BF40" s="196">
        <f t="shared" si="17"/>
        <v>4.1909515857696533E-9</v>
      </c>
      <c r="BG40" s="196">
        <f t="shared" si="17"/>
        <v>4.1909515857696533E-9</v>
      </c>
      <c r="BH40" s="196">
        <f t="shared" si="17"/>
        <v>4.1909515857696533E-9</v>
      </c>
      <c r="BI40" s="196">
        <f t="shared" si="17"/>
        <v>4.1909515857696533E-9</v>
      </c>
    </row>
    <row r="41" spans="1:61" x14ac:dyDescent="0.25"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  <c r="AA41" s="196"/>
      <c r="AB41" s="196"/>
      <c r="AC41" s="196"/>
      <c r="AD41" s="196"/>
      <c r="AE41" s="196"/>
      <c r="AF41" s="196"/>
      <c r="AG41" s="196"/>
      <c r="AH41" s="196"/>
      <c r="AI41" s="196"/>
      <c r="AJ41" s="196"/>
      <c r="AK41" s="196"/>
      <c r="AL41" s="196"/>
      <c r="AM41" s="196"/>
      <c r="AN41" s="196"/>
      <c r="AO41" s="196"/>
      <c r="AP41" s="196"/>
      <c r="AQ41" s="196"/>
      <c r="AR41" s="196"/>
      <c r="AS41" s="196"/>
      <c r="AT41" s="196"/>
      <c r="AU41" s="196"/>
      <c r="AV41" s="196"/>
      <c r="AW41" s="196"/>
      <c r="AX41" s="196"/>
      <c r="AY41" s="196"/>
      <c r="AZ41" s="196"/>
      <c r="BA41" s="196"/>
      <c r="BB41" s="196"/>
      <c r="BC41" s="196"/>
      <c r="BD41" s="196"/>
      <c r="BE41" s="196"/>
      <c r="BF41" s="196"/>
      <c r="BG41" s="196"/>
      <c r="BH41" s="196"/>
      <c r="BI41" s="196"/>
    </row>
    <row r="42" spans="1:61" ht="21.75" customHeight="1" thickBot="1" x14ac:dyDescent="0.4">
      <c r="A42" s="198" t="s">
        <v>347</v>
      </c>
    </row>
    <row r="43" spans="1:61" ht="15.75" customHeight="1" thickTop="1" x14ac:dyDescent="0.25">
      <c r="A43" t="s">
        <v>348</v>
      </c>
      <c r="B43" s="14">
        <f t="shared" ref="B43:AG43" si="18">IFERROR(B25/B21,0)</f>
        <v>0</v>
      </c>
      <c r="C43" s="14">
        <f t="shared" si="18"/>
        <v>0</v>
      </c>
      <c r="D43" s="14">
        <f t="shared" si="18"/>
        <v>0</v>
      </c>
      <c r="E43" s="14">
        <f t="shared" si="18"/>
        <v>0</v>
      </c>
      <c r="F43" s="14">
        <f t="shared" si="18"/>
        <v>0</v>
      </c>
      <c r="G43" s="14">
        <f t="shared" si="18"/>
        <v>0</v>
      </c>
      <c r="H43" s="14">
        <f t="shared" si="18"/>
        <v>0</v>
      </c>
      <c r="I43" s="14">
        <f t="shared" si="18"/>
        <v>0</v>
      </c>
      <c r="J43" s="14">
        <f t="shared" si="18"/>
        <v>0</v>
      </c>
      <c r="K43" s="14">
        <f t="shared" si="18"/>
        <v>0</v>
      </c>
      <c r="L43" s="14">
        <f t="shared" si="18"/>
        <v>0</v>
      </c>
      <c r="M43" s="14">
        <f t="shared" si="18"/>
        <v>0.18591972362281325</v>
      </c>
      <c r="N43" s="14">
        <f t="shared" si="18"/>
        <v>0.31403810052078429</v>
      </c>
      <c r="O43" s="14">
        <f t="shared" si="18"/>
        <v>0.40768304349629991</v>
      </c>
      <c r="P43" s="14">
        <f t="shared" si="18"/>
        <v>0.47911783642839662</v>
      </c>
      <c r="Q43" s="14">
        <f t="shared" si="18"/>
        <v>0.53540578154377316</v>
      </c>
      <c r="R43" s="14">
        <f t="shared" si="18"/>
        <v>0.58090220454279951</v>
      </c>
      <c r="S43" s="14">
        <f t="shared" si="18"/>
        <v>0.61843870138787582</v>
      </c>
      <c r="T43" s="14">
        <f t="shared" si="18"/>
        <v>0.64993589848675015</v>
      </c>
      <c r="U43" s="14">
        <f t="shared" si="18"/>
        <v>0.67674252336675256</v>
      </c>
      <c r="V43" s="14">
        <f t="shared" si="18"/>
        <v>0.69983352213533045</v>
      </c>
      <c r="W43" s="14">
        <f t="shared" si="18"/>
        <v>0.71993115500987515</v>
      </c>
      <c r="X43" s="14">
        <f t="shared" si="18"/>
        <v>0.7375818784566871</v>
      </c>
      <c r="Y43" s="14">
        <f t="shared" si="18"/>
        <v>0.75047283368190842</v>
      </c>
      <c r="Z43" s="14">
        <f t="shared" si="18"/>
        <v>0.76188098532599147</v>
      </c>
      <c r="AA43" s="14">
        <f t="shared" si="18"/>
        <v>0.7480645716580312</v>
      </c>
      <c r="AB43" s="14">
        <f>IFERROR(AB25/AB21,0)</f>
        <v>0.73170094508671824</v>
      </c>
      <c r="AC43" s="14">
        <f t="shared" si="18"/>
        <v>0.70103796780457428</v>
      </c>
      <c r="AD43" s="14">
        <f t="shared" si="18"/>
        <v>0.67309206473426009</v>
      </c>
      <c r="AE43" s="14">
        <f t="shared" si="18"/>
        <v>0.64751902339772716</v>
      </c>
      <c r="AF43" s="14">
        <f t="shared" si="18"/>
        <v>0.62403042569780542</v>
      </c>
      <c r="AG43" s="14">
        <f t="shared" si="18"/>
        <v>0.60238278338308315</v>
      </c>
      <c r="AH43" s="14">
        <f t="shared" ref="AH43:BI43" si="19">IFERROR(AH25/AH21,0)</f>
        <v>0.58236911705914052</v>
      </c>
      <c r="AI43" s="14">
        <f t="shared" si="19"/>
        <v>0.56381236073691687</v>
      </c>
      <c r="AJ43" s="14">
        <f t="shared" si="19"/>
        <v>0.54656014631275107</v>
      </c>
      <c r="AK43" s="14">
        <f t="shared" si="19"/>
        <v>0</v>
      </c>
      <c r="AL43" s="14">
        <f t="shared" si="19"/>
        <v>0</v>
      </c>
      <c r="AM43" s="14">
        <f t="shared" si="19"/>
        <v>0</v>
      </c>
      <c r="AN43" s="14">
        <f t="shared" si="19"/>
        <v>0</v>
      </c>
      <c r="AO43" s="14">
        <f t="shared" si="19"/>
        <v>0</v>
      </c>
      <c r="AP43" s="14">
        <f t="shared" si="19"/>
        <v>0</v>
      </c>
      <c r="AQ43" s="14">
        <f t="shared" si="19"/>
        <v>0</v>
      </c>
      <c r="AR43" s="14">
        <f t="shared" si="19"/>
        <v>0</v>
      </c>
      <c r="AS43" s="14">
        <f t="shared" si="19"/>
        <v>0</v>
      </c>
      <c r="AT43" s="14">
        <f t="shared" si="19"/>
        <v>0</v>
      </c>
      <c r="AU43" s="14">
        <f t="shared" si="19"/>
        <v>0</v>
      </c>
      <c r="AV43" s="14">
        <f t="shared" si="19"/>
        <v>0</v>
      </c>
      <c r="AW43" s="14">
        <f t="shared" si="19"/>
        <v>0</v>
      </c>
      <c r="AX43" s="14">
        <f t="shared" si="19"/>
        <v>0</v>
      </c>
      <c r="AY43" s="14">
        <f t="shared" si="19"/>
        <v>0</v>
      </c>
      <c r="AZ43" s="14">
        <f t="shared" si="19"/>
        <v>0</v>
      </c>
      <c r="BA43" s="14">
        <f t="shared" si="19"/>
        <v>0</v>
      </c>
      <c r="BB43" s="14">
        <f t="shared" si="19"/>
        <v>0</v>
      </c>
      <c r="BC43" s="14">
        <f t="shared" si="19"/>
        <v>0</v>
      </c>
      <c r="BD43" s="14">
        <f t="shared" si="19"/>
        <v>0</v>
      </c>
      <c r="BE43" s="14">
        <f t="shared" si="19"/>
        <v>0</v>
      </c>
      <c r="BF43" s="14">
        <f t="shared" si="19"/>
        <v>0</v>
      </c>
      <c r="BG43" s="14">
        <f t="shared" si="19"/>
        <v>0</v>
      </c>
      <c r="BH43" s="14">
        <f t="shared" si="19"/>
        <v>0</v>
      </c>
      <c r="BI43" s="14">
        <f t="shared" si="19"/>
        <v>0</v>
      </c>
    </row>
    <row r="44" spans="1:61" x14ac:dyDescent="0.25">
      <c r="A44" t="s">
        <v>349</v>
      </c>
      <c r="B44" s="168">
        <f t="shared" ref="B44:AG44" si="20">B18</f>
        <v>0</v>
      </c>
      <c r="C44" s="168">
        <f t="shared" si="20"/>
        <v>0</v>
      </c>
      <c r="D44" s="168">
        <f t="shared" si="20"/>
        <v>0</v>
      </c>
      <c r="E44" s="168">
        <f t="shared" si="20"/>
        <v>0</v>
      </c>
      <c r="F44" s="168">
        <f t="shared" si="20"/>
        <v>0</v>
      </c>
      <c r="G44" s="168">
        <f t="shared" si="20"/>
        <v>0</v>
      </c>
      <c r="H44" s="168">
        <f t="shared" si="20"/>
        <v>0</v>
      </c>
      <c r="I44" s="168">
        <f t="shared" si="20"/>
        <v>0</v>
      </c>
      <c r="J44" s="168">
        <f t="shared" si="20"/>
        <v>0</v>
      </c>
      <c r="K44" s="168">
        <f t="shared" si="20"/>
        <v>0</v>
      </c>
      <c r="L44" s="168">
        <f t="shared" si="20"/>
        <v>0</v>
      </c>
      <c r="M44" s="168">
        <f t="shared" si="20"/>
        <v>0</v>
      </c>
      <c r="N44" s="168">
        <f t="shared" si="20"/>
        <v>0</v>
      </c>
      <c r="O44" s="168">
        <f t="shared" si="20"/>
        <v>0</v>
      </c>
      <c r="P44" s="168">
        <f t="shared" si="20"/>
        <v>0</v>
      </c>
      <c r="Q44" s="168">
        <f t="shared" si="20"/>
        <v>0</v>
      </c>
      <c r="R44" s="168">
        <f t="shared" si="20"/>
        <v>0</v>
      </c>
      <c r="S44" s="168">
        <f t="shared" si="20"/>
        <v>0</v>
      </c>
      <c r="T44" s="168">
        <f t="shared" si="20"/>
        <v>0</v>
      </c>
      <c r="U44" s="168">
        <f t="shared" si="20"/>
        <v>0</v>
      </c>
      <c r="V44" s="168">
        <f t="shared" si="20"/>
        <v>0</v>
      </c>
      <c r="W44" s="168">
        <f t="shared" si="20"/>
        <v>0</v>
      </c>
      <c r="X44" s="168">
        <f t="shared" si="20"/>
        <v>0</v>
      </c>
      <c r="Y44" s="168">
        <f t="shared" si="20"/>
        <v>17470.479520000052</v>
      </c>
      <c r="Z44" s="168">
        <f t="shared" si="20"/>
        <v>35053.325840000063</v>
      </c>
      <c r="AA44" s="168">
        <f t="shared" si="20"/>
        <v>226623.53896000003</v>
      </c>
      <c r="AB44" s="168">
        <f t="shared" si="20"/>
        <v>310433.99088000075</v>
      </c>
      <c r="AC44" s="168">
        <f t="shared" si="20"/>
        <v>310433.99088000075</v>
      </c>
      <c r="AD44" s="168">
        <f t="shared" si="20"/>
        <v>310433.99088000087</v>
      </c>
      <c r="AE44" s="168">
        <f t="shared" si="20"/>
        <v>310433.99088000087</v>
      </c>
      <c r="AF44" s="168">
        <f t="shared" si="20"/>
        <v>310433.99088000087</v>
      </c>
      <c r="AG44" s="168">
        <f t="shared" si="20"/>
        <v>310433.99088000087</v>
      </c>
      <c r="AH44" s="168">
        <f t="shared" ref="AH44:BI44" si="21">AH18</f>
        <v>310433.99088000087</v>
      </c>
      <c r="AI44" s="168">
        <f t="shared" si="21"/>
        <v>310433.99088000087</v>
      </c>
      <c r="AJ44" s="168">
        <f t="shared" si="21"/>
        <v>310433.99088000087</v>
      </c>
      <c r="AK44" s="168">
        <f t="shared" si="21"/>
        <v>2596045.9616939272</v>
      </c>
      <c r="AL44" s="168">
        <f t="shared" si="21"/>
        <v>2596045.9616939272</v>
      </c>
      <c r="AM44" s="168">
        <f t="shared" si="21"/>
        <v>2596045.9616939272</v>
      </c>
      <c r="AN44" s="168">
        <f t="shared" si="21"/>
        <v>2596045.9616939272</v>
      </c>
      <c r="AO44" s="168">
        <f t="shared" si="21"/>
        <v>2596045.9616939272</v>
      </c>
      <c r="AP44" s="168">
        <f t="shared" si="21"/>
        <v>2596045.9616939272</v>
      </c>
      <c r="AQ44" s="168">
        <f t="shared" si="21"/>
        <v>2596045.9616939272</v>
      </c>
      <c r="AR44" s="168">
        <f t="shared" si="21"/>
        <v>2596045.9616939272</v>
      </c>
      <c r="AS44" s="168">
        <f t="shared" si="21"/>
        <v>2596045.9616939272</v>
      </c>
      <c r="AT44" s="168">
        <f t="shared" si="21"/>
        <v>2596045.9616939272</v>
      </c>
      <c r="AU44" s="168">
        <f t="shared" si="21"/>
        <v>2596045.9616939272</v>
      </c>
      <c r="AV44" s="168">
        <f t="shared" si="21"/>
        <v>2596045.9616939272</v>
      </c>
      <c r="AW44" s="168">
        <f t="shared" si="21"/>
        <v>2596045.9616939272</v>
      </c>
      <c r="AX44" s="168">
        <f t="shared" si="21"/>
        <v>2596045.9616939272</v>
      </c>
      <c r="AY44" s="168">
        <f t="shared" si="21"/>
        <v>2596045.9616939272</v>
      </c>
      <c r="AZ44" s="168">
        <f t="shared" si="21"/>
        <v>2596045.9616939272</v>
      </c>
      <c r="BA44" s="168">
        <f t="shared" si="21"/>
        <v>2596045.9616939272</v>
      </c>
      <c r="BB44" s="168">
        <f t="shared" si="21"/>
        <v>2596045.9616939272</v>
      </c>
      <c r="BC44" s="168">
        <f t="shared" si="21"/>
        <v>2596045.9616939272</v>
      </c>
      <c r="BD44" s="168">
        <f t="shared" si="21"/>
        <v>2596045.9616939272</v>
      </c>
      <c r="BE44" s="168">
        <f t="shared" si="21"/>
        <v>2596045.9616939272</v>
      </c>
      <c r="BF44" s="168">
        <f t="shared" si="21"/>
        <v>2596045.9616939272</v>
      </c>
      <c r="BG44" s="168">
        <f t="shared" si="21"/>
        <v>2596045.9616939272</v>
      </c>
      <c r="BH44" s="168">
        <f t="shared" si="21"/>
        <v>2596045.9616939272</v>
      </c>
      <c r="BI44" s="168">
        <f t="shared" si="21"/>
        <v>2596045.9616939272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05A3-F3AC-41EB-A6E5-DC7ADE07C145}">
  <sheetPr>
    <tabColor rgb="FFC1FCFF"/>
  </sheetPr>
  <dimension ref="A1:U45"/>
  <sheetViews>
    <sheetView showGridLines="0" zoomScaleNormal="100" workbookViewId="0">
      <pane xSplit="1" ySplit="5" topLeftCell="B17" activePane="bottomRight" state="frozen"/>
      <selection pane="topRight"/>
      <selection pane="bottomLeft"/>
      <selection pane="bottomRight" activeCell="L45" sqref="L45"/>
    </sheetView>
  </sheetViews>
  <sheetFormatPr baseColWidth="10" defaultColWidth="9.140625" defaultRowHeight="15" outlineLevelCol="1" x14ac:dyDescent="0.25"/>
  <cols>
    <col min="1" max="1" width="41.42578125" style="138" customWidth="1"/>
    <col min="2" max="5" width="10.85546875" customWidth="1"/>
    <col min="6" max="21" width="10.85546875" customWidth="1" outlineLevel="1"/>
  </cols>
  <sheetData>
    <row r="1" spans="1:21" ht="26.25" x14ac:dyDescent="0.4">
      <c r="A1" s="199" t="s">
        <v>412</v>
      </c>
    </row>
    <row r="2" spans="1:21" x14ac:dyDescent="0.25">
      <c r="A2" s="163" t="s">
        <v>301</v>
      </c>
      <c r="B2" s="162" t="str">
        <f>'00_ESTRATEGIA'!B3</f>
        <v>Unifamiliar seg.</v>
      </c>
      <c r="C2" s="162"/>
      <c r="D2" s="162" t="s">
        <v>302</v>
      </c>
      <c r="E2" s="162" t="str">
        <f>'00_ESTRATEGIA'!B4</f>
        <v>Base</v>
      </c>
    </row>
    <row r="3" spans="1:21" x14ac:dyDescent="0.25">
      <c r="A3" s="139" t="s">
        <v>184</v>
      </c>
      <c r="B3" s="140" t="s">
        <v>185</v>
      </c>
      <c r="C3" s="140" t="s">
        <v>185</v>
      </c>
      <c r="D3" s="140" t="s">
        <v>185</v>
      </c>
      <c r="E3" s="140" t="s">
        <v>185</v>
      </c>
      <c r="F3" s="140" t="s">
        <v>186</v>
      </c>
      <c r="G3" s="140" t="s">
        <v>186</v>
      </c>
      <c r="H3" s="140" t="s">
        <v>186</v>
      </c>
      <c r="I3" s="140" t="s">
        <v>186</v>
      </c>
      <c r="J3" s="140" t="s">
        <v>187</v>
      </c>
      <c r="K3" s="140" t="s">
        <v>187</v>
      </c>
      <c r="L3" s="140" t="s">
        <v>187</v>
      </c>
      <c r="M3" s="140" t="s">
        <v>187</v>
      </c>
      <c r="N3" s="140" t="s">
        <v>188</v>
      </c>
      <c r="O3" s="140" t="s">
        <v>188</v>
      </c>
      <c r="P3" s="140" t="s">
        <v>188</v>
      </c>
      <c r="Q3" s="140" t="s">
        <v>188</v>
      </c>
      <c r="R3" s="140" t="s">
        <v>189</v>
      </c>
      <c r="S3" s="140" t="s">
        <v>189</v>
      </c>
      <c r="T3" s="140" t="s">
        <v>189</v>
      </c>
      <c r="U3" s="140" t="s">
        <v>189</v>
      </c>
    </row>
    <row r="4" spans="1:21" ht="15.75" customHeight="1" thickBot="1" x14ac:dyDescent="0.3">
      <c r="A4" s="141" t="s">
        <v>281</v>
      </c>
      <c r="B4" s="142">
        <v>2</v>
      </c>
      <c r="C4" s="142">
        <v>5</v>
      </c>
      <c r="D4" s="142">
        <v>8</v>
      </c>
      <c r="E4" s="142">
        <v>11</v>
      </c>
      <c r="F4" s="142">
        <v>14</v>
      </c>
      <c r="G4" s="142">
        <v>17</v>
      </c>
      <c r="H4" s="142">
        <v>20</v>
      </c>
      <c r="I4" s="142">
        <v>23</v>
      </c>
      <c r="J4" s="142">
        <v>26</v>
      </c>
      <c r="K4" s="142">
        <v>29</v>
      </c>
      <c r="L4" s="142">
        <v>32</v>
      </c>
      <c r="M4" s="142">
        <v>35</v>
      </c>
      <c r="N4" s="142">
        <v>38</v>
      </c>
      <c r="O4" s="142">
        <v>41</v>
      </c>
      <c r="P4" s="142">
        <v>44</v>
      </c>
      <c r="Q4" s="142">
        <v>47</v>
      </c>
      <c r="R4" s="142">
        <v>50</v>
      </c>
      <c r="S4" s="142">
        <v>53</v>
      </c>
      <c r="T4" s="142">
        <v>56</v>
      </c>
      <c r="U4" s="142">
        <v>59</v>
      </c>
    </row>
    <row r="5" spans="1:21" ht="15.75" customHeight="1" x14ac:dyDescent="0.25">
      <c r="A5" s="143" t="s">
        <v>303</v>
      </c>
      <c r="B5" s="160" t="s">
        <v>383</v>
      </c>
      <c r="C5" s="160" t="s">
        <v>384</v>
      </c>
      <c r="D5" s="160" t="s">
        <v>385</v>
      </c>
      <c r="E5" s="160" t="s">
        <v>386</v>
      </c>
      <c r="F5" s="160" t="s">
        <v>387</v>
      </c>
      <c r="G5" s="160" t="s">
        <v>388</v>
      </c>
      <c r="H5" s="160" t="s">
        <v>389</v>
      </c>
      <c r="I5" s="160" t="s">
        <v>390</v>
      </c>
      <c r="J5" s="160" t="s">
        <v>391</v>
      </c>
      <c r="K5" s="160" t="s">
        <v>392</v>
      </c>
      <c r="L5" s="160" t="s">
        <v>393</v>
      </c>
      <c r="M5" s="160" t="s">
        <v>394</v>
      </c>
      <c r="N5" s="160" t="s">
        <v>395</v>
      </c>
      <c r="O5" s="160" t="s">
        <v>396</v>
      </c>
      <c r="P5" s="160" t="s">
        <v>397</v>
      </c>
      <c r="Q5" s="160" t="s">
        <v>398</v>
      </c>
      <c r="R5" s="160" t="s">
        <v>399</v>
      </c>
      <c r="S5" s="160" t="s">
        <v>400</v>
      </c>
      <c r="T5" s="160" t="s">
        <v>401</v>
      </c>
      <c r="U5" s="160" t="s">
        <v>402</v>
      </c>
    </row>
    <row r="6" spans="1:21" x14ac:dyDescent="0.25">
      <c r="A6" s="33" t="s">
        <v>261</v>
      </c>
      <c r="B6" s="147">
        <f>SUMIFS('30_CASHFLOW'!$B6:$FZ6,'30_CASHFLOW'!$B$3:$FZ$3,"&gt;="&amp;(B$4-2),'30_CASHFLOW'!$B$3:$FZ$3,"&lt;="&amp;B$4)</f>
        <v>-1183546</v>
      </c>
      <c r="C6" s="147">
        <f>SUMIFS('30_CASHFLOW'!$B6:$FZ6,'30_CASHFLOW'!$B$3:$FZ$3,"&gt;="&amp;(C$4-2),'30_CASHFLOW'!$B$3:$FZ$3,"&lt;="&amp;C$4)</f>
        <v>0</v>
      </c>
      <c r="D6" s="147">
        <f>SUMIFS('30_CASHFLOW'!$B6:$FZ6,'30_CASHFLOW'!$B$3:$FZ$3,"&gt;="&amp;(D$4-2),'30_CASHFLOW'!$B$3:$FZ$3,"&lt;="&amp;D$4)</f>
        <v>0</v>
      </c>
      <c r="E6" s="147">
        <f>SUMIFS('30_CASHFLOW'!$B6:$FZ6,'30_CASHFLOW'!$B$3:$FZ$3,"&gt;="&amp;(E$4-2),'30_CASHFLOW'!$B$3:$FZ$3,"&lt;="&amp;E$4)</f>
        <v>0</v>
      </c>
      <c r="F6" s="147">
        <f>SUMIFS('30_CASHFLOW'!$B6:$FZ6,'30_CASHFLOW'!$B$3:$FZ$3,"&gt;="&amp;(F$4-2),'30_CASHFLOW'!$B$3:$FZ$3,"&lt;="&amp;F$4)</f>
        <v>0</v>
      </c>
      <c r="G6" s="147">
        <f>SUMIFS('30_CASHFLOW'!$B6:$FZ6,'30_CASHFLOW'!$B$3:$FZ$3,"&gt;="&amp;(G$4-2),'30_CASHFLOW'!$B$3:$FZ$3,"&lt;="&amp;G$4)</f>
        <v>0</v>
      </c>
      <c r="H6" s="147">
        <f>SUMIFS('30_CASHFLOW'!$B6:$FZ6,'30_CASHFLOW'!$B$3:$FZ$3,"&gt;="&amp;(H$4-2),'30_CASHFLOW'!$B$3:$FZ$3,"&lt;="&amp;H$4)</f>
        <v>0</v>
      </c>
      <c r="I6" s="147">
        <f>SUMIFS('30_CASHFLOW'!$B6:$FZ6,'30_CASHFLOW'!$B$3:$FZ$3,"&gt;="&amp;(I$4-2),'30_CASHFLOW'!$B$3:$FZ$3,"&lt;="&amp;I$4)</f>
        <v>0</v>
      </c>
      <c r="J6" s="147">
        <f>SUMIFS('30_CASHFLOW'!$B6:$FZ6,'30_CASHFLOW'!$B$3:$FZ$3,"&gt;="&amp;(J$4-2),'30_CASHFLOW'!$B$3:$FZ$3,"&lt;="&amp;J$4)</f>
        <v>0</v>
      </c>
      <c r="K6" s="147">
        <f>SUMIFS('30_CASHFLOW'!$B6:$FZ6,'30_CASHFLOW'!$B$3:$FZ$3,"&gt;="&amp;(K$4-2),'30_CASHFLOW'!$B$3:$FZ$3,"&lt;="&amp;K$4)</f>
        <v>0</v>
      </c>
      <c r="L6" s="147">
        <f>SUMIFS('30_CASHFLOW'!$B6:$FZ6,'30_CASHFLOW'!$B$3:$FZ$3,"&gt;="&amp;(L$4-2),'30_CASHFLOW'!$B$3:$FZ$3,"&lt;="&amp;L$4)</f>
        <v>0</v>
      </c>
      <c r="M6" s="147">
        <f>SUMIFS('30_CASHFLOW'!$B6:$FZ6,'30_CASHFLOW'!$B$3:$FZ$3,"&gt;="&amp;(M$4-2),'30_CASHFLOW'!$B$3:$FZ$3,"&lt;="&amp;M$4)</f>
        <v>0</v>
      </c>
      <c r="N6" s="147">
        <f>SUMIFS('30_CASHFLOW'!$B6:$FZ6,'30_CASHFLOW'!$B$3:$FZ$3,"&gt;="&amp;(N$4-2),'30_CASHFLOW'!$B$3:$FZ$3,"&lt;="&amp;N$4)</f>
        <v>0</v>
      </c>
      <c r="O6" s="147">
        <f>SUMIFS('30_CASHFLOW'!$B6:$FZ6,'30_CASHFLOW'!$B$3:$FZ$3,"&gt;="&amp;(O$4-2),'30_CASHFLOW'!$B$3:$FZ$3,"&lt;="&amp;O$4)</f>
        <v>0</v>
      </c>
      <c r="P6" s="147">
        <f>SUMIFS('30_CASHFLOW'!$B6:$FZ6,'30_CASHFLOW'!$B$3:$FZ$3,"&gt;="&amp;(P$4-2),'30_CASHFLOW'!$B$3:$FZ$3,"&lt;="&amp;P$4)</f>
        <v>0</v>
      </c>
      <c r="Q6" s="147">
        <f>SUMIFS('30_CASHFLOW'!$B6:$FZ6,'30_CASHFLOW'!$B$3:$FZ$3,"&gt;="&amp;(Q$4-2),'30_CASHFLOW'!$B$3:$FZ$3,"&lt;="&amp;Q$4)</f>
        <v>0</v>
      </c>
      <c r="R6" s="147">
        <f>SUMIFS('30_CASHFLOW'!$B6:$FZ6,'30_CASHFLOW'!$B$3:$FZ$3,"&gt;="&amp;(R$4-2),'30_CASHFLOW'!$B$3:$FZ$3,"&lt;="&amp;R$4)</f>
        <v>0</v>
      </c>
      <c r="S6" s="147">
        <f>SUMIFS('30_CASHFLOW'!$B6:$FZ6,'30_CASHFLOW'!$B$3:$FZ$3,"&gt;="&amp;(S$4-2),'30_CASHFLOW'!$B$3:$FZ$3,"&lt;="&amp;S$4)</f>
        <v>0</v>
      </c>
      <c r="T6" s="147">
        <f>SUMIFS('30_CASHFLOW'!$B6:$FZ6,'30_CASHFLOW'!$B$3:$FZ$3,"&gt;="&amp;(T$4-2),'30_CASHFLOW'!$B$3:$FZ$3,"&lt;="&amp;T$4)</f>
        <v>0</v>
      </c>
      <c r="U6" s="147">
        <f>SUMIFS('30_CASHFLOW'!$B6:$FZ6,'30_CASHFLOW'!$B$3:$FZ$3,"&gt;="&amp;(U$4-2),'30_CASHFLOW'!$B$3:$FZ$3,"&lt;="&amp;U$4)</f>
        <v>0</v>
      </c>
    </row>
    <row r="7" spans="1:21" x14ac:dyDescent="0.25">
      <c r="A7" s="33" t="s">
        <v>262</v>
      </c>
      <c r="B7" s="147">
        <f>SUMIFS('30_CASHFLOW'!$B7:$FZ7,'30_CASHFLOW'!$B$3:$FZ$3,"&gt;="&amp;(B$4-2),'30_CASHFLOW'!$B$3:$FZ$3,"&lt;="&amp;B$4)</f>
        <v>0</v>
      </c>
      <c r="C7" s="147">
        <f>SUMIFS('30_CASHFLOW'!$B7:$FZ7,'30_CASHFLOW'!$B$3:$FZ$3,"&gt;="&amp;(C$4-2),'30_CASHFLOW'!$B$3:$FZ$3,"&lt;="&amp;C$4)</f>
        <v>0</v>
      </c>
      <c r="D7" s="147">
        <f>SUMIFS('30_CASHFLOW'!$B7:$FZ7,'30_CASHFLOW'!$B$3:$FZ$3,"&gt;="&amp;(D$4-2),'30_CASHFLOW'!$B$3:$FZ$3,"&lt;="&amp;D$4)</f>
        <v>0</v>
      </c>
      <c r="E7" s="147">
        <f>SUMIFS('30_CASHFLOW'!$B7:$FZ7,'30_CASHFLOW'!$B$3:$FZ$3,"&gt;="&amp;(E$4-2),'30_CASHFLOW'!$B$3:$FZ$3,"&lt;="&amp;E$4)</f>
        <v>-269680.32000000007</v>
      </c>
      <c r="F7" s="147">
        <f>SUMIFS('30_CASHFLOW'!$B7:$FZ7,'30_CASHFLOW'!$B$3:$FZ$3,"&gt;="&amp;(F$4-2),'30_CASHFLOW'!$B$3:$FZ$3,"&lt;="&amp;F$4)</f>
        <v>-809040.9600000002</v>
      </c>
      <c r="G7" s="147">
        <f>SUMIFS('30_CASHFLOW'!$B7:$FZ7,'30_CASHFLOW'!$B$3:$FZ$3,"&gt;="&amp;(G$4-2),'30_CASHFLOW'!$B$3:$FZ$3,"&lt;="&amp;G$4)</f>
        <v>-809040.9600000002</v>
      </c>
      <c r="H7" s="147">
        <f>SUMIFS('30_CASHFLOW'!$B7:$FZ7,'30_CASHFLOW'!$B$3:$FZ$3,"&gt;="&amp;(H$4-2),'30_CASHFLOW'!$B$3:$FZ$3,"&lt;="&amp;H$4)</f>
        <v>-809040.9600000002</v>
      </c>
      <c r="I7" s="147">
        <f>SUMIFS('30_CASHFLOW'!$B7:$FZ7,'30_CASHFLOW'!$B$3:$FZ$3,"&gt;="&amp;(I$4-2),'30_CASHFLOW'!$B$3:$FZ$3,"&lt;="&amp;I$4)</f>
        <v>-809040.9600000002</v>
      </c>
      <c r="J7" s="147">
        <f>SUMIFS('30_CASHFLOW'!$B7:$FZ7,'30_CASHFLOW'!$B$3:$FZ$3,"&gt;="&amp;(J$4-2),'30_CASHFLOW'!$B$3:$FZ$3,"&lt;="&amp;J$4)</f>
        <v>-809040.9600000002</v>
      </c>
      <c r="K7" s="147">
        <f>SUMIFS('30_CASHFLOW'!$B7:$FZ7,'30_CASHFLOW'!$B$3:$FZ$3,"&gt;="&amp;(K$4-2),'30_CASHFLOW'!$B$3:$FZ$3,"&lt;="&amp;K$4)</f>
        <v>-809040.9600000002</v>
      </c>
      <c r="L7" s="147">
        <f>SUMIFS('30_CASHFLOW'!$B7:$FZ7,'30_CASHFLOW'!$B$3:$FZ$3,"&gt;="&amp;(L$4-2),'30_CASHFLOW'!$B$3:$FZ$3,"&lt;="&amp;L$4)</f>
        <v>-809040.9600000002</v>
      </c>
      <c r="M7" s="147">
        <f>SUMIFS('30_CASHFLOW'!$B7:$FZ7,'30_CASHFLOW'!$B$3:$FZ$3,"&gt;="&amp;(M$4-2),'30_CASHFLOW'!$B$3:$FZ$3,"&lt;="&amp;M$4)</f>
        <v>-539360.64000000013</v>
      </c>
      <c r="N7" s="147">
        <f>SUMIFS('30_CASHFLOW'!$B7:$FZ7,'30_CASHFLOW'!$B$3:$FZ$3,"&gt;="&amp;(N$4-2),'30_CASHFLOW'!$B$3:$FZ$3,"&lt;="&amp;N$4)</f>
        <v>0</v>
      </c>
      <c r="O7" s="147">
        <f>SUMIFS('30_CASHFLOW'!$B7:$FZ7,'30_CASHFLOW'!$B$3:$FZ$3,"&gt;="&amp;(O$4-2),'30_CASHFLOW'!$B$3:$FZ$3,"&lt;="&amp;O$4)</f>
        <v>0</v>
      </c>
      <c r="P7" s="147">
        <f>SUMIFS('30_CASHFLOW'!$B7:$FZ7,'30_CASHFLOW'!$B$3:$FZ$3,"&gt;="&amp;(P$4-2),'30_CASHFLOW'!$B$3:$FZ$3,"&lt;="&amp;P$4)</f>
        <v>0</v>
      </c>
      <c r="Q7" s="147">
        <f>SUMIFS('30_CASHFLOW'!$B7:$FZ7,'30_CASHFLOW'!$B$3:$FZ$3,"&gt;="&amp;(Q$4-2),'30_CASHFLOW'!$B$3:$FZ$3,"&lt;="&amp;Q$4)</f>
        <v>0</v>
      </c>
      <c r="R7" s="147">
        <f>SUMIFS('30_CASHFLOW'!$B7:$FZ7,'30_CASHFLOW'!$B$3:$FZ$3,"&gt;="&amp;(R$4-2),'30_CASHFLOW'!$B$3:$FZ$3,"&lt;="&amp;R$4)</f>
        <v>0</v>
      </c>
      <c r="S7" s="147">
        <f>SUMIFS('30_CASHFLOW'!$B7:$FZ7,'30_CASHFLOW'!$B$3:$FZ$3,"&gt;="&amp;(S$4-2),'30_CASHFLOW'!$B$3:$FZ$3,"&lt;="&amp;S$4)</f>
        <v>0</v>
      </c>
      <c r="T7" s="147">
        <f>SUMIFS('30_CASHFLOW'!$B7:$FZ7,'30_CASHFLOW'!$B$3:$FZ$3,"&gt;="&amp;(T$4-2),'30_CASHFLOW'!$B$3:$FZ$3,"&lt;="&amp;T$4)</f>
        <v>0</v>
      </c>
      <c r="U7" s="147">
        <f>SUMIFS('30_CASHFLOW'!$B7:$FZ7,'30_CASHFLOW'!$B$3:$FZ$3,"&gt;="&amp;(U$4-2),'30_CASHFLOW'!$B$3:$FZ$3,"&lt;="&amp;U$4)</f>
        <v>0</v>
      </c>
    </row>
    <row r="8" spans="1:21" s="150" customFormat="1" ht="15.75" customHeight="1" thickBot="1" x14ac:dyDescent="0.3">
      <c r="A8" s="148" t="s">
        <v>263</v>
      </c>
      <c r="B8" s="149">
        <f>SUMIFS('30_CASHFLOW'!$B8:$FZ8,'30_CASHFLOW'!$B$3:$FZ$3,"&gt;="&amp;(B$4-2),'30_CASHFLOW'!$B$3:$FZ$3,"&lt;="&amp;B$4)</f>
        <v>-1183546</v>
      </c>
      <c r="C8" s="149">
        <f>SUMIFS('30_CASHFLOW'!$B8:$FZ8,'30_CASHFLOW'!$B$3:$FZ$3,"&gt;="&amp;(C$4-2),'30_CASHFLOW'!$B$3:$FZ$3,"&lt;="&amp;C$4)</f>
        <v>0</v>
      </c>
      <c r="D8" s="149">
        <f>SUMIFS('30_CASHFLOW'!$B8:$FZ8,'30_CASHFLOW'!$B$3:$FZ$3,"&gt;="&amp;(D$4-2),'30_CASHFLOW'!$B$3:$FZ$3,"&lt;="&amp;D$4)</f>
        <v>0</v>
      </c>
      <c r="E8" s="149">
        <f>SUMIFS('30_CASHFLOW'!$B8:$FZ8,'30_CASHFLOW'!$B$3:$FZ$3,"&gt;="&amp;(E$4-2),'30_CASHFLOW'!$B$3:$FZ$3,"&lt;="&amp;E$4)</f>
        <v>-269680.32000000007</v>
      </c>
      <c r="F8" s="149">
        <f>SUMIFS('30_CASHFLOW'!$B8:$FZ8,'30_CASHFLOW'!$B$3:$FZ$3,"&gt;="&amp;(F$4-2),'30_CASHFLOW'!$B$3:$FZ$3,"&lt;="&amp;F$4)</f>
        <v>-809040.9600000002</v>
      </c>
      <c r="G8" s="149">
        <f>SUMIFS('30_CASHFLOW'!$B8:$FZ8,'30_CASHFLOW'!$B$3:$FZ$3,"&gt;="&amp;(G$4-2),'30_CASHFLOW'!$B$3:$FZ$3,"&lt;="&amp;G$4)</f>
        <v>-809040.9600000002</v>
      </c>
      <c r="H8" s="149">
        <f>SUMIFS('30_CASHFLOW'!$B8:$FZ8,'30_CASHFLOW'!$B$3:$FZ$3,"&gt;="&amp;(H$4-2),'30_CASHFLOW'!$B$3:$FZ$3,"&lt;="&amp;H$4)</f>
        <v>-809040.9600000002</v>
      </c>
      <c r="I8" s="149">
        <f>SUMIFS('30_CASHFLOW'!$B8:$FZ8,'30_CASHFLOW'!$B$3:$FZ$3,"&gt;="&amp;(I$4-2),'30_CASHFLOW'!$B$3:$FZ$3,"&lt;="&amp;I$4)</f>
        <v>-809040.9600000002</v>
      </c>
      <c r="J8" s="149">
        <f>SUMIFS('30_CASHFLOW'!$B8:$FZ8,'30_CASHFLOW'!$B$3:$FZ$3,"&gt;="&amp;(J$4-2),'30_CASHFLOW'!$B$3:$FZ$3,"&lt;="&amp;J$4)</f>
        <v>-809040.9600000002</v>
      </c>
      <c r="K8" s="149">
        <f>SUMIFS('30_CASHFLOW'!$B8:$FZ8,'30_CASHFLOW'!$B$3:$FZ$3,"&gt;="&amp;(K$4-2),'30_CASHFLOW'!$B$3:$FZ$3,"&lt;="&amp;K$4)</f>
        <v>-809040.9600000002</v>
      </c>
      <c r="L8" s="149">
        <f>SUMIFS('30_CASHFLOW'!$B8:$FZ8,'30_CASHFLOW'!$B$3:$FZ$3,"&gt;="&amp;(L$4-2),'30_CASHFLOW'!$B$3:$FZ$3,"&lt;="&amp;L$4)</f>
        <v>-809040.9600000002</v>
      </c>
      <c r="M8" s="149">
        <f>SUMIFS('30_CASHFLOW'!$B8:$FZ8,'30_CASHFLOW'!$B$3:$FZ$3,"&gt;="&amp;(M$4-2),'30_CASHFLOW'!$B$3:$FZ$3,"&lt;="&amp;M$4)</f>
        <v>-539360.64000000013</v>
      </c>
      <c r="N8" s="149">
        <f>SUMIFS('30_CASHFLOW'!$B8:$FZ8,'30_CASHFLOW'!$B$3:$FZ$3,"&gt;="&amp;(N$4-2),'30_CASHFLOW'!$B$3:$FZ$3,"&lt;="&amp;N$4)</f>
        <v>0</v>
      </c>
      <c r="O8" s="149">
        <f>SUMIFS('30_CASHFLOW'!$B8:$FZ8,'30_CASHFLOW'!$B$3:$FZ$3,"&gt;="&amp;(O$4-2),'30_CASHFLOW'!$B$3:$FZ$3,"&lt;="&amp;O$4)</f>
        <v>0</v>
      </c>
      <c r="P8" s="149">
        <f>SUMIFS('30_CASHFLOW'!$B8:$FZ8,'30_CASHFLOW'!$B$3:$FZ$3,"&gt;="&amp;(P$4-2),'30_CASHFLOW'!$B$3:$FZ$3,"&lt;="&amp;P$4)</f>
        <v>0</v>
      </c>
      <c r="Q8" s="149">
        <f>SUMIFS('30_CASHFLOW'!$B8:$FZ8,'30_CASHFLOW'!$B$3:$FZ$3,"&gt;="&amp;(Q$4-2),'30_CASHFLOW'!$B$3:$FZ$3,"&lt;="&amp;Q$4)</f>
        <v>0</v>
      </c>
      <c r="R8" s="149">
        <f>SUMIFS('30_CASHFLOW'!$B8:$FZ8,'30_CASHFLOW'!$B$3:$FZ$3,"&gt;="&amp;(R$4-2),'30_CASHFLOW'!$B$3:$FZ$3,"&lt;="&amp;R$4)</f>
        <v>0</v>
      </c>
      <c r="S8" s="149">
        <f>SUMIFS('30_CASHFLOW'!$B8:$FZ8,'30_CASHFLOW'!$B$3:$FZ$3,"&gt;="&amp;(S$4-2),'30_CASHFLOW'!$B$3:$FZ$3,"&lt;="&amp;S$4)</f>
        <v>0</v>
      </c>
      <c r="T8" s="149">
        <f>SUMIFS('30_CASHFLOW'!$B8:$FZ8,'30_CASHFLOW'!$B$3:$FZ$3,"&gt;="&amp;(T$4-2),'30_CASHFLOW'!$B$3:$FZ$3,"&lt;="&amp;T$4)</f>
        <v>0</v>
      </c>
      <c r="U8" s="149">
        <f>SUMIFS('30_CASHFLOW'!$B8:$FZ8,'30_CASHFLOW'!$B$3:$FZ$3,"&gt;="&amp;(U$4-2),'30_CASHFLOW'!$B$3:$FZ$3,"&lt;="&amp;U$4)</f>
        <v>0</v>
      </c>
    </row>
    <row r="9" spans="1:21" ht="15.75" customHeight="1" thickTop="1" x14ac:dyDescent="0.25">
      <c r="A9" s="250" t="s">
        <v>411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</row>
    <row r="10" spans="1:21" x14ac:dyDescent="0.25">
      <c r="A10" s="33" t="s">
        <v>264</v>
      </c>
      <c r="B10" s="147">
        <f>SUMIFS('30_CASHFLOW'!$B10:$FZ10,'30_CASHFLOW'!$B$3:$FZ$3,"&gt;="&amp;(B$4-2),'30_CASHFLOW'!$B$3:$FZ$3,"&lt;="&amp;B$4)</f>
        <v>0</v>
      </c>
      <c r="C10" s="147">
        <f>SUMIFS('30_CASHFLOW'!$B10:$FZ10,'30_CASHFLOW'!$B$3:$FZ$3,"&gt;="&amp;(C$4-2),'30_CASHFLOW'!$B$3:$FZ$3,"&lt;="&amp;C$4)</f>
        <v>0</v>
      </c>
      <c r="D10" s="147">
        <f>SUMIFS('30_CASHFLOW'!$B10:$FZ10,'30_CASHFLOW'!$B$3:$FZ$3,"&gt;="&amp;(D$4-2),'30_CASHFLOW'!$B$3:$FZ$3,"&lt;="&amp;D$4)</f>
        <v>0</v>
      </c>
      <c r="E10" s="147">
        <f>SUMIFS('30_CASHFLOW'!$B10:$FZ10,'30_CASHFLOW'!$B$3:$FZ$3,"&gt;="&amp;(E$4-2),'30_CASHFLOW'!$B$3:$FZ$3,"&lt;="&amp;E$4)</f>
        <v>0</v>
      </c>
      <c r="F10" s="147">
        <f>SUMIFS('30_CASHFLOW'!$B10:$FZ10,'30_CASHFLOW'!$B$3:$FZ$3,"&gt;="&amp;(F$4-2),'30_CASHFLOW'!$B$3:$FZ$3,"&lt;="&amp;F$4)</f>
        <v>0</v>
      </c>
      <c r="G10" s="147">
        <f>SUMIFS('30_CASHFLOW'!$B10:$FZ10,'30_CASHFLOW'!$B$3:$FZ$3,"&gt;="&amp;(G$4-2),'30_CASHFLOW'!$B$3:$FZ$3,"&lt;="&amp;G$4)</f>
        <v>0</v>
      </c>
      <c r="H10" s="147">
        <f>SUMIFS('30_CASHFLOW'!$B10:$FZ10,'30_CASHFLOW'!$B$3:$FZ$3,"&gt;="&amp;(H$4-2),'30_CASHFLOW'!$B$3:$FZ$3,"&lt;="&amp;H$4)</f>
        <v>0</v>
      </c>
      <c r="I10" s="147">
        <f>SUMIFS('30_CASHFLOW'!$B10:$FZ10,'30_CASHFLOW'!$B$3:$FZ$3,"&gt;="&amp;(I$4-2),'30_CASHFLOW'!$B$3:$FZ$3,"&lt;="&amp;I$4)</f>
        <v>1.25</v>
      </c>
      <c r="J10" s="147">
        <f>SUMIFS('30_CASHFLOW'!$B10:$FZ10,'30_CASHFLOW'!$B$3:$FZ$3,"&gt;="&amp;(J$4-2),'30_CASHFLOW'!$B$3:$FZ$3,"&lt;="&amp;J$4)</f>
        <v>3.75</v>
      </c>
      <c r="K10" s="147">
        <f>SUMIFS('30_CASHFLOW'!$B10:$FZ10,'30_CASHFLOW'!$B$3:$FZ$3,"&gt;="&amp;(K$4-2),'30_CASHFLOW'!$B$3:$FZ$3,"&lt;="&amp;K$4)</f>
        <v>3.75</v>
      </c>
      <c r="L10" s="147">
        <f>SUMIFS('30_CASHFLOW'!$B10:$FZ10,'30_CASHFLOW'!$B$3:$FZ$3,"&gt;="&amp;(L$4-2),'30_CASHFLOW'!$B$3:$FZ$3,"&lt;="&amp;L$4)</f>
        <v>3.75</v>
      </c>
      <c r="M10" s="147">
        <f>SUMIFS('30_CASHFLOW'!$B10:$FZ10,'30_CASHFLOW'!$B$3:$FZ$3,"&gt;="&amp;(M$4-2),'30_CASHFLOW'!$B$3:$FZ$3,"&lt;="&amp;M$4)</f>
        <v>0.5</v>
      </c>
      <c r="N10" s="147">
        <f>SUMIFS('30_CASHFLOW'!$B10:$FZ10,'30_CASHFLOW'!$B$3:$FZ$3,"&gt;="&amp;(N$4-2),'30_CASHFLOW'!$B$3:$FZ$3,"&lt;="&amp;N$4)</f>
        <v>0</v>
      </c>
      <c r="O10" s="147">
        <f>SUMIFS('30_CASHFLOW'!$B10:$FZ10,'30_CASHFLOW'!$B$3:$FZ$3,"&gt;="&amp;(O$4-2),'30_CASHFLOW'!$B$3:$FZ$3,"&lt;="&amp;O$4)</f>
        <v>0</v>
      </c>
      <c r="P10" s="147">
        <f>SUMIFS('30_CASHFLOW'!$B10:$FZ10,'30_CASHFLOW'!$B$3:$FZ$3,"&gt;="&amp;(P$4-2),'30_CASHFLOW'!$B$3:$FZ$3,"&lt;="&amp;P$4)</f>
        <v>0</v>
      </c>
      <c r="Q10" s="147">
        <f>SUMIFS('30_CASHFLOW'!$B10:$FZ10,'30_CASHFLOW'!$B$3:$FZ$3,"&gt;="&amp;(Q$4-2),'30_CASHFLOW'!$B$3:$FZ$3,"&lt;="&amp;Q$4)</f>
        <v>0</v>
      </c>
      <c r="R10" s="147">
        <f>SUMIFS('30_CASHFLOW'!$B10:$FZ10,'30_CASHFLOW'!$B$3:$FZ$3,"&gt;="&amp;(R$4-2),'30_CASHFLOW'!$B$3:$FZ$3,"&lt;="&amp;R$4)</f>
        <v>0</v>
      </c>
      <c r="S10" s="147">
        <f>SUMIFS('30_CASHFLOW'!$B10:$FZ10,'30_CASHFLOW'!$B$3:$FZ$3,"&gt;="&amp;(S$4-2),'30_CASHFLOW'!$B$3:$FZ$3,"&lt;="&amp;S$4)</f>
        <v>0</v>
      </c>
      <c r="T10" s="147">
        <f>SUMIFS('30_CASHFLOW'!$B10:$FZ10,'30_CASHFLOW'!$B$3:$FZ$3,"&gt;="&amp;(T$4-2),'30_CASHFLOW'!$B$3:$FZ$3,"&lt;="&amp;T$4)</f>
        <v>0</v>
      </c>
      <c r="U10" s="147">
        <f>SUMIFS('30_CASHFLOW'!$B10:$FZ10,'30_CASHFLOW'!$B$3:$FZ$3,"&gt;="&amp;(U$4-2),'30_CASHFLOW'!$B$3:$FZ$3,"&lt;="&amp;U$4)</f>
        <v>0</v>
      </c>
    </row>
    <row r="11" spans="1:21" x14ac:dyDescent="0.25">
      <c r="A11" s="33" t="s">
        <v>265</v>
      </c>
      <c r="B11" s="147">
        <f>SUMIFS('30_CASHFLOW'!$B11:$FZ11,'30_CASHFLOW'!$B$3:$FZ$3,"&gt;="&amp;(B$4-2),'30_CASHFLOW'!$B$3:$FZ$3,"&lt;="&amp;B$4)</f>
        <v>0</v>
      </c>
      <c r="C11" s="147">
        <f>SUMIFS('30_CASHFLOW'!$B11:$FZ11,'30_CASHFLOW'!$B$3:$FZ$3,"&gt;="&amp;(C$4-2),'30_CASHFLOW'!$B$3:$FZ$3,"&lt;="&amp;C$4)</f>
        <v>0</v>
      </c>
      <c r="D11" s="147">
        <f>SUMIFS('30_CASHFLOW'!$B11:$FZ11,'30_CASHFLOW'!$B$3:$FZ$3,"&gt;="&amp;(D$4-2),'30_CASHFLOW'!$B$3:$FZ$3,"&lt;="&amp;D$4)</f>
        <v>0</v>
      </c>
      <c r="E11" s="147">
        <f>SUMIFS('30_CASHFLOW'!$B11:$FZ11,'30_CASHFLOW'!$B$3:$FZ$3,"&gt;="&amp;(E$4-2),'30_CASHFLOW'!$B$3:$FZ$3,"&lt;="&amp;E$4)</f>
        <v>0</v>
      </c>
      <c r="F11" s="147">
        <f>SUMIFS('30_CASHFLOW'!$B11:$FZ11,'30_CASHFLOW'!$B$3:$FZ$3,"&gt;="&amp;(F$4-2),'30_CASHFLOW'!$B$3:$FZ$3,"&lt;="&amp;F$4)</f>
        <v>0</v>
      </c>
      <c r="G11" s="147">
        <f>SUMIFS('30_CASHFLOW'!$B11:$FZ11,'30_CASHFLOW'!$B$3:$FZ$3,"&gt;="&amp;(G$4-2),'30_CASHFLOW'!$B$3:$FZ$3,"&lt;="&amp;G$4)</f>
        <v>0</v>
      </c>
      <c r="H11" s="147">
        <f>SUMIFS('30_CASHFLOW'!$B11:$FZ11,'30_CASHFLOW'!$B$3:$FZ$3,"&gt;="&amp;(H$4-2),'30_CASHFLOW'!$B$3:$FZ$3,"&lt;="&amp;H$4)</f>
        <v>0</v>
      </c>
      <c r="I11" s="147">
        <f>SUMIFS('30_CASHFLOW'!$B11:$FZ11,'30_CASHFLOW'!$B$3:$FZ$3,"&gt;="&amp;(I$4-2),'30_CASHFLOW'!$B$3:$FZ$3,"&lt;="&amp;I$4)</f>
        <v>9.6153846153846159E-2</v>
      </c>
      <c r="J11" s="147">
        <f>SUMIFS('30_CASHFLOW'!$B11:$FZ11,'30_CASHFLOW'!$B$3:$FZ$3,"&gt;="&amp;(J$4-2),'30_CASHFLOW'!$B$3:$FZ$3,"&lt;="&amp;J$4)</f>
        <v>0.28846153846153849</v>
      </c>
      <c r="K11" s="147">
        <f>SUMIFS('30_CASHFLOW'!$B11:$FZ11,'30_CASHFLOW'!$B$3:$FZ$3,"&gt;="&amp;(K$4-2),'30_CASHFLOW'!$B$3:$FZ$3,"&lt;="&amp;K$4)</f>
        <v>0.28846153846153849</v>
      </c>
      <c r="L11" s="147">
        <f>SUMIFS('30_CASHFLOW'!$B11:$FZ11,'30_CASHFLOW'!$B$3:$FZ$3,"&gt;="&amp;(L$4-2),'30_CASHFLOW'!$B$3:$FZ$3,"&lt;="&amp;L$4)</f>
        <v>0.28846153846153849</v>
      </c>
      <c r="M11" s="147">
        <f>SUMIFS('30_CASHFLOW'!$B11:$FZ11,'30_CASHFLOW'!$B$3:$FZ$3,"&gt;="&amp;(M$4-2),'30_CASHFLOW'!$B$3:$FZ$3,"&lt;="&amp;M$4)</f>
        <v>3.8461538461538464E-2</v>
      </c>
      <c r="N11" s="147">
        <f>SUMIFS('30_CASHFLOW'!$B11:$FZ11,'30_CASHFLOW'!$B$3:$FZ$3,"&gt;="&amp;(N$4-2),'30_CASHFLOW'!$B$3:$FZ$3,"&lt;="&amp;N$4)</f>
        <v>0</v>
      </c>
      <c r="O11" s="147">
        <f>SUMIFS('30_CASHFLOW'!$B11:$FZ11,'30_CASHFLOW'!$B$3:$FZ$3,"&gt;="&amp;(O$4-2),'30_CASHFLOW'!$B$3:$FZ$3,"&lt;="&amp;O$4)</f>
        <v>0</v>
      </c>
      <c r="P11" s="147">
        <f>SUMIFS('30_CASHFLOW'!$B11:$FZ11,'30_CASHFLOW'!$B$3:$FZ$3,"&gt;="&amp;(P$4-2),'30_CASHFLOW'!$B$3:$FZ$3,"&lt;="&amp;P$4)</f>
        <v>0</v>
      </c>
      <c r="Q11" s="147">
        <f>SUMIFS('30_CASHFLOW'!$B11:$FZ11,'30_CASHFLOW'!$B$3:$FZ$3,"&gt;="&amp;(Q$4-2),'30_CASHFLOW'!$B$3:$FZ$3,"&lt;="&amp;Q$4)</f>
        <v>0</v>
      </c>
      <c r="R11" s="147">
        <f>SUMIFS('30_CASHFLOW'!$B11:$FZ11,'30_CASHFLOW'!$B$3:$FZ$3,"&gt;="&amp;(R$4-2),'30_CASHFLOW'!$B$3:$FZ$3,"&lt;="&amp;R$4)</f>
        <v>0</v>
      </c>
      <c r="S11" s="147">
        <f>SUMIFS('30_CASHFLOW'!$B11:$FZ11,'30_CASHFLOW'!$B$3:$FZ$3,"&gt;="&amp;(S$4-2),'30_CASHFLOW'!$B$3:$FZ$3,"&lt;="&amp;S$4)</f>
        <v>0</v>
      </c>
      <c r="T11" s="147">
        <f>SUMIFS('30_CASHFLOW'!$B11:$FZ11,'30_CASHFLOW'!$B$3:$FZ$3,"&gt;="&amp;(T$4-2),'30_CASHFLOW'!$B$3:$FZ$3,"&lt;="&amp;T$4)</f>
        <v>0</v>
      </c>
      <c r="U11" s="147">
        <f>SUMIFS('30_CASHFLOW'!$B11:$FZ11,'30_CASHFLOW'!$B$3:$FZ$3,"&gt;="&amp;(U$4-2),'30_CASHFLOW'!$B$3:$FZ$3,"&lt;="&amp;U$4)</f>
        <v>0</v>
      </c>
    </row>
    <row r="12" spans="1:21" x14ac:dyDescent="0.25">
      <c r="A12" s="33" t="s">
        <v>266</v>
      </c>
      <c r="B12" s="147">
        <f>SUMIFS('30_CASHFLOW'!$B12:$FZ12,'30_CASHFLOW'!$B$3:$FZ$3,"&gt;="&amp;(B$4-2),'30_CASHFLOW'!$B$3:$FZ$3,"&lt;="&amp;B$4)</f>
        <v>0</v>
      </c>
      <c r="C12" s="147">
        <f>SUMIFS('30_CASHFLOW'!$B12:$FZ12,'30_CASHFLOW'!$B$3:$FZ$3,"&gt;="&amp;(C$4-2),'30_CASHFLOW'!$B$3:$FZ$3,"&lt;="&amp;C$4)</f>
        <v>0</v>
      </c>
      <c r="D12" s="147">
        <f>SUMIFS('30_CASHFLOW'!$B12:$FZ12,'30_CASHFLOW'!$B$3:$FZ$3,"&gt;="&amp;(D$4-2),'30_CASHFLOW'!$B$3:$FZ$3,"&lt;="&amp;D$4)</f>
        <v>0</v>
      </c>
      <c r="E12" s="147">
        <f>SUMIFS('30_CASHFLOW'!$B12:$FZ12,'30_CASHFLOW'!$B$3:$FZ$3,"&gt;="&amp;(E$4-2),'30_CASHFLOW'!$B$3:$FZ$3,"&lt;="&amp;E$4)</f>
        <v>0</v>
      </c>
      <c r="F12" s="147">
        <f>SUMIFS('30_CASHFLOW'!$B12:$FZ12,'30_CASHFLOW'!$B$3:$FZ$3,"&gt;="&amp;(F$4-2),'30_CASHFLOW'!$B$3:$FZ$3,"&lt;="&amp;F$4)</f>
        <v>0</v>
      </c>
      <c r="G12" s="147">
        <f>SUMIFS('30_CASHFLOW'!$B12:$FZ12,'30_CASHFLOW'!$B$3:$FZ$3,"&gt;="&amp;(G$4-2),'30_CASHFLOW'!$B$3:$FZ$3,"&lt;="&amp;G$4)</f>
        <v>0</v>
      </c>
      <c r="H12" s="147">
        <f>SUMIFS('30_CASHFLOW'!$B12:$FZ12,'30_CASHFLOW'!$B$3:$FZ$3,"&gt;="&amp;(H$4-2),'30_CASHFLOW'!$B$3:$FZ$3,"&lt;="&amp;H$4)</f>
        <v>0</v>
      </c>
      <c r="I12" s="147">
        <f>SUMIFS('30_CASHFLOW'!$B12:$FZ12,'30_CASHFLOW'!$B$3:$FZ$3,"&gt;="&amp;(I$4-2),'30_CASHFLOW'!$B$3:$FZ$3,"&lt;="&amp;I$4)</f>
        <v>44687.5</v>
      </c>
      <c r="J12" s="147">
        <f>SUMIFS('30_CASHFLOW'!$B12:$FZ12,'30_CASHFLOW'!$B$3:$FZ$3,"&gt;="&amp;(J$4-2),'30_CASHFLOW'!$B$3:$FZ$3,"&lt;="&amp;J$4)</f>
        <v>134062.5</v>
      </c>
      <c r="K12" s="147">
        <f>SUMIFS('30_CASHFLOW'!$B12:$FZ12,'30_CASHFLOW'!$B$3:$FZ$3,"&gt;="&amp;(K$4-2),'30_CASHFLOW'!$B$3:$FZ$3,"&lt;="&amp;K$4)</f>
        <v>134062.5</v>
      </c>
      <c r="L12" s="147">
        <f>SUMIFS('30_CASHFLOW'!$B12:$FZ12,'30_CASHFLOW'!$B$3:$FZ$3,"&gt;="&amp;(L$4-2),'30_CASHFLOW'!$B$3:$FZ$3,"&lt;="&amp;L$4)</f>
        <v>134062.5</v>
      </c>
      <c r="M12" s="147">
        <f>SUMIFS('30_CASHFLOW'!$B12:$FZ12,'30_CASHFLOW'!$B$3:$FZ$3,"&gt;="&amp;(M$4-2),'30_CASHFLOW'!$B$3:$FZ$3,"&lt;="&amp;M$4)</f>
        <v>17875</v>
      </c>
      <c r="N12" s="147">
        <f>SUMIFS('30_CASHFLOW'!$B12:$FZ12,'30_CASHFLOW'!$B$3:$FZ$3,"&gt;="&amp;(N$4-2),'30_CASHFLOW'!$B$3:$FZ$3,"&lt;="&amp;N$4)</f>
        <v>0</v>
      </c>
      <c r="O12" s="147">
        <f>SUMIFS('30_CASHFLOW'!$B12:$FZ12,'30_CASHFLOW'!$B$3:$FZ$3,"&gt;="&amp;(O$4-2),'30_CASHFLOW'!$B$3:$FZ$3,"&lt;="&amp;O$4)</f>
        <v>0</v>
      </c>
      <c r="P12" s="147">
        <f>SUMIFS('30_CASHFLOW'!$B12:$FZ12,'30_CASHFLOW'!$B$3:$FZ$3,"&gt;="&amp;(P$4-2),'30_CASHFLOW'!$B$3:$FZ$3,"&lt;="&amp;P$4)</f>
        <v>0</v>
      </c>
      <c r="Q12" s="147">
        <f>SUMIFS('30_CASHFLOW'!$B12:$FZ12,'30_CASHFLOW'!$B$3:$FZ$3,"&gt;="&amp;(Q$4-2),'30_CASHFLOW'!$B$3:$FZ$3,"&lt;="&amp;Q$4)</f>
        <v>0</v>
      </c>
      <c r="R12" s="147">
        <f>SUMIFS('30_CASHFLOW'!$B12:$FZ12,'30_CASHFLOW'!$B$3:$FZ$3,"&gt;="&amp;(R$4-2),'30_CASHFLOW'!$B$3:$FZ$3,"&lt;="&amp;R$4)</f>
        <v>0</v>
      </c>
      <c r="S12" s="147">
        <f>SUMIFS('30_CASHFLOW'!$B12:$FZ12,'30_CASHFLOW'!$B$3:$FZ$3,"&gt;="&amp;(S$4-2),'30_CASHFLOW'!$B$3:$FZ$3,"&lt;="&amp;S$4)</f>
        <v>0</v>
      </c>
      <c r="T12" s="147">
        <f>SUMIFS('30_CASHFLOW'!$B12:$FZ12,'30_CASHFLOW'!$B$3:$FZ$3,"&gt;="&amp;(T$4-2),'30_CASHFLOW'!$B$3:$FZ$3,"&lt;="&amp;T$4)</f>
        <v>0</v>
      </c>
      <c r="U12" s="147">
        <f>SUMIFS('30_CASHFLOW'!$B12:$FZ12,'30_CASHFLOW'!$B$3:$FZ$3,"&gt;="&amp;(U$4-2),'30_CASHFLOW'!$B$3:$FZ$3,"&lt;="&amp;U$4)</f>
        <v>0</v>
      </c>
    </row>
    <row r="13" spans="1:21" x14ac:dyDescent="0.25">
      <c r="A13" s="33" t="s">
        <v>267</v>
      </c>
      <c r="B13" s="147">
        <f>SUMIFS('30_CASHFLOW'!$B13:$FZ13,'30_CASHFLOW'!$B$3:$FZ$3,"&gt;="&amp;(B$4-2),'30_CASHFLOW'!$B$3:$FZ$3,"&lt;="&amp;B$4)</f>
        <v>0</v>
      </c>
      <c r="C13" s="147">
        <f>SUMIFS('30_CASHFLOW'!$B13:$FZ13,'30_CASHFLOW'!$B$3:$FZ$3,"&gt;="&amp;(C$4-2),'30_CASHFLOW'!$B$3:$FZ$3,"&lt;="&amp;C$4)</f>
        <v>0</v>
      </c>
      <c r="D13" s="147">
        <f>SUMIFS('30_CASHFLOW'!$B13:$FZ13,'30_CASHFLOW'!$B$3:$FZ$3,"&gt;="&amp;(D$4-2),'30_CASHFLOW'!$B$3:$FZ$3,"&lt;="&amp;D$4)</f>
        <v>0</v>
      </c>
      <c r="E13" s="147">
        <f>SUMIFS('30_CASHFLOW'!$B13:$FZ13,'30_CASHFLOW'!$B$3:$FZ$3,"&gt;="&amp;(E$4-2),'30_CASHFLOW'!$B$3:$FZ$3,"&lt;="&amp;E$4)</f>
        <v>0</v>
      </c>
      <c r="F13" s="147">
        <f>SUMIFS('30_CASHFLOW'!$B13:$FZ13,'30_CASHFLOW'!$B$3:$FZ$3,"&gt;="&amp;(F$4-2),'30_CASHFLOW'!$B$3:$FZ$3,"&lt;="&amp;F$4)</f>
        <v>0</v>
      </c>
      <c r="G13" s="147">
        <f>SUMIFS('30_CASHFLOW'!$B13:$FZ13,'30_CASHFLOW'!$B$3:$FZ$3,"&gt;="&amp;(G$4-2),'30_CASHFLOW'!$B$3:$FZ$3,"&lt;="&amp;G$4)</f>
        <v>0</v>
      </c>
      <c r="H13" s="147">
        <f>SUMIFS('30_CASHFLOW'!$B13:$FZ13,'30_CASHFLOW'!$B$3:$FZ$3,"&gt;="&amp;(H$4-2),'30_CASHFLOW'!$B$3:$FZ$3,"&lt;="&amp;H$4)</f>
        <v>0</v>
      </c>
      <c r="I13" s="147">
        <f>SUMIFS('30_CASHFLOW'!$B13:$FZ13,'30_CASHFLOW'!$B$3:$FZ$3,"&gt;="&amp;(I$4-2),'30_CASHFLOW'!$B$3:$FZ$3,"&lt;="&amp;I$4)</f>
        <v>0</v>
      </c>
      <c r="J13" s="147">
        <f>SUMIFS('30_CASHFLOW'!$B13:$FZ13,'30_CASHFLOW'!$B$3:$FZ$3,"&gt;="&amp;(J$4-2),'30_CASHFLOW'!$B$3:$FZ$3,"&lt;="&amp;J$4)</f>
        <v>178750</v>
      </c>
      <c r="K13" s="147">
        <f>SUMIFS('30_CASHFLOW'!$B13:$FZ13,'30_CASHFLOW'!$B$3:$FZ$3,"&gt;="&amp;(K$4-2),'30_CASHFLOW'!$B$3:$FZ$3,"&lt;="&amp;K$4)</f>
        <v>268125</v>
      </c>
      <c r="L13" s="147">
        <f>SUMIFS('30_CASHFLOW'!$B13:$FZ13,'30_CASHFLOW'!$B$3:$FZ$3,"&gt;="&amp;(L$4-2),'30_CASHFLOW'!$B$3:$FZ$3,"&lt;="&amp;L$4)</f>
        <v>268125</v>
      </c>
      <c r="M13" s="147">
        <f>SUMIFS('30_CASHFLOW'!$B13:$FZ13,'30_CASHFLOW'!$B$3:$FZ$3,"&gt;="&amp;(M$4-2),'30_CASHFLOW'!$B$3:$FZ$3,"&lt;="&amp;M$4)</f>
        <v>214500</v>
      </c>
      <c r="N13" s="147">
        <f>SUMIFS('30_CASHFLOW'!$B13:$FZ13,'30_CASHFLOW'!$B$3:$FZ$3,"&gt;="&amp;(N$4-2),'30_CASHFLOW'!$B$3:$FZ$3,"&lt;="&amp;N$4)</f>
        <v>0</v>
      </c>
      <c r="O13" s="147">
        <f>SUMIFS('30_CASHFLOW'!$B13:$FZ13,'30_CASHFLOW'!$B$3:$FZ$3,"&gt;="&amp;(O$4-2),'30_CASHFLOW'!$B$3:$FZ$3,"&lt;="&amp;O$4)</f>
        <v>0</v>
      </c>
      <c r="P13" s="147">
        <f>SUMIFS('30_CASHFLOW'!$B13:$FZ13,'30_CASHFLOW'!$B$3:$FZ$3,"&gt;="&amp;(P$4-2),'30_CASHFLOW'!$B$3:$FZ$3,"&lt;="&amp;P$4)</f>
        <v>0</v>
      </c>
      <c r="Q13" s="147">
        <f>SUMIFS('30_CASHFLOW'!$B13:$FZ13,'30_CASHFLOW'!$B$3:$FZ$3,"&gt;="&amp;(Q$4-2),'30_CASHFLOW'!$B$3:$FZ$3,"&lt;="&amp;Q$4)</f>
        <v>0</v>
      </c>
      <c r="R13" s="147">
        <f>SUMIFS('30_CASHFLOW'!$B13:$FZ13,'30_CASHFLOW'!$B$3:$FZ$3,"&gt;="&amp;(R$4-2),'30_CASHFLOW'!$B$3:$FZ$3,"&lt;="&amp;R$4)</f>
        <v>0</v>
      </c>
      <c r="S13" s="147">
        <f>SUMIFS('30_CASHFLOW'!$B13:$FZ13,'30_CASHFLOW'!$B$3:$FZ$3,"&gt;="&amp;(S$4-2),'30_CASHFLOW'!$B$3:$FZ$3,"&lt;="&amp;S$4)</f>
        <v>0</v>
      </c>
      <c r="T13" s="147">
        <f>SUMIFS('30_CASHFLOW'!$B13:$FZ13,'30_CASHFLOW'!$B$3:$FZ$3,"&gt;="&amp;(T$4-2),'30_CASHFLOW'!$B$3:$FZ$3,"&lt;="&amp;T$4)</f>
        <v>0</v>
      </c>
      <c r="U13" s="147">
        <f>SUMIFS('30_CASHFLOW'!$B13:$FZ13,'30_CASHFLOW'!$B$3:$FZ$3,"&gt;="&amp;(U$4-2),'30_CASHFLOW'!$B$3:$FZ$3,"&lt;="&amp;U$4)</f>
        <v>0</v>
      </c>
    </row>
    <row r="14" spans="1:21" x14ac:dyDescent="0.25">
      <c r="A14" s="33" t="s">
        <v>268</v>
      </c>
      <c r="B14" s="147">
        <f>SUMIFS('30_CASHFLOW'!$B14:$FZ14,'30_CASHFLOW'!$B$3:$FZ$3,"&gt;="&amp;(B$4-2),'30_CASHFLOW'!$B$3:$FZ$3,"&lt;="&amp;B$4)</f>
        <v>0</v>
      </c>
      <c r="C14" s="147">
        <f>SUMIFS('30_CASHFLOW'!$B14:$FZ14,'30_CASHFLOW'!$B$3:$FZ$3,"&gt;="&amp;(C$4-2),'30_CASHFLOW'!$B$3:$FZ$3,"&lt;="&amp;C$4)</f>
        <v>0</v>
      </c>
      <c r="D14" s="147">
        <f>SUMIFS('30_CASHFLOW'!$B14:$FZ14,'30_CASHFLOW'!$B$3:$FZ$3,"&gt;="&amp;(D$4-2),'30_CASHFLOW'!$B$3:$FZ$3,"&lt;="&amp;D$4)</f>
        <v>0</v>
      </c>
      <c r="E14" s="147">
        <f>SUMIFS('30_CASHFLOW'!$B14:$FZ14,'30_CASHFLOW'!$B$3:$FZ$3,"&gt;="&amp;(E$4-2),'30_CASHFLOW'!$B$3:$FZ$3,"&lt;="&amp;E$4)</f>
        <v>0</v>
      </c>
      <c r="F14" s="147">
        <f>SUMIFS('30_CASHFLOW'!$B14:$FZ14,'30_CASHFLOW'!$B$3:$FZ$3,"&gt;="&amp;(F$4-2),'30_CASHFLOW'!$B$3:$FZ$3,"&lt;="&amp;F$4)</f>
        <v>0</v>
      </c>
      <c r="G14" s="147">
        <f>SUMIFS('30_CASHFLOW'!$B14:$FZ14,'30_CASHFLOW'!$B$3:$FZ$3,"&gt;="&amp;(G$4-2),'30_CASHFLOW'!$B$3:$FZ$3,"&lt;="&amp;G$4)</f>
        <v>0</v>
      </c>
      <c r="H14" s="147">
        <f>SUMIFS('30_CASHFLOW'!$B14:$FZ14,'30_CASHFLOW'!$B$3:$FZ$3,"&gt;="&amp;(H$4-2),'30_CASHFLOW'!$B$3:$FZ$3,"&lt;="&amp;H$4)</f>
        <v>0</v>
      </c>
      <c r="I14" s="147">
        <f>SUMIFS('30_CASHFLOW'!$B14:$FZ14,'30_CASHFLOW'!$B$3:$FZ$3,"&gt;="&amp;(I$4-2),'30_CASHFLOW'!$B$3:$FZ$3,"&lt;="&amp;I$4)</f>
        <v>0</v>
      </c>
      <c r="J14" s="147">
        <f>SUMIFS('30_CASHFLOW'!$B14:$FZ14,'30_CASHFLOW'!$B$3:$FZ$3,"&gt;="&amp;(J$4-2),'30_CASHFLOW'!$B$3:$FZ$3,"&lt;="&amp;J$4)</f>
        <v>169000</v>
      </c>
      <c r="K14" s="147">
        <f>SUMIFS('30_CASHFLOW'!$B14:$FZ14,'30_CASHFLOW'!$B$3:$FZ$3,"&gt;="&amp;(K$4-2),'30_CASHFLOW'!$B$3:$FZ$3,"&lt;="&amp;K$4)</f>
        <v>253500</v>
      </c>
      <c r="L14" s="147">
        <f>SUMIFS('30_CASHFLOW'!$B14:$FZ14,'30_CASHFLOW'!$B$3:$FZ$3,"&gt;="&amp;(L$4-2),'30_CASHFLOW'!$B$3:$FZ$3,"&lt;="&amp;L$4)</f>
        <v>253500</v>
      </c>
      <c r="M14" s="147">
        <f>SUMIFS('30_CASHFLOW'!$B14:$FZ14,'30_CASHFLOW'!$B$3:$FZ$3,"&gt;="&amp;(M$4-2),'30_CASHFLOW'!$B$3:$FZ$3,"&lt;="&amp;M$4)</f>
        <v>253500</v>
      </c>
      <c r="N14" s="147">
        <f>SUMIFS('30_CASHFLOW'!$B14:$FZ14,'30_CASHFLOW'!$B$3:$FZ$3,"&gt;="&amp;(N$4-2),'30_CASHFLOW'!$B$3:$FZ$3,"&lt;="&amp;N$4)</f>
        <v>0</v>
      </c>
      <c r="O14" s="147">
        <f>SUMIFS('30_CASHFLOW'!$B14:$FZ14,'30_CASHFLOW'!$B$3:$FZ$3,"&gt;="&amp;(O$4-2),'30_CASHFLOW'!$B$3:$FZ$3,"&lt;="&amp;O$4)</f>
        <v>0</v>
      </c>
      <c r="P14" s="147">
        <f>SUMIFS('30_CASHFLOW'!$B14:$FZ14,'30_CASHFLOW'!$B$3:$FZ$3,"&gt;="&amp;(P$4-2),'30_CASHFLOW'!$B$3:$FZ$3,"&lt;="&amp;P$4)</f>
        <v>0</v>
      </c>
      <c r="Q14" s="147">
        <f>SUMIFS('30_CASHFLOW'!$B14:$FZ14,'30_CASHFLOW'!$B$3:$FZ$3,"&gt;="&amp;(Q$4-2),'30_CASHFLOW'!$B$3:$FZ$3,"&lt;="&amp;Q$4)</f>
        <v>0</v>
      </c>
      <c r="R14" s="147">
        <f>SUMIFS('30_CASHFLOW'!$B14:$FZ14,'30_CASHFLOW'!$B$3:$FZ$3,"&gt;="&amp;(R$4-2),'30_CASHFLOW'!$B$3:$FZ$3,"&lt;="&amp;R$4)</f>
        <v>0</v>
      </c>
      <c r="S14" s="147">
        <f>SUMIFS('30_CASHFLOW'!$B14:$FZ14,'30_CASHFLOW'!$B$3:$FZ$3,"&gt;="&amp;(S$4-2),'30_CASHFLOW'!$B$3:$FZ$3,"&lt;="&amp;S$4)</f>
        <v>0</v>
      </c>
      <c r="T14" s="147">
        <f>SUMIFS('30_CASHFLOW'!$B14:$FZ14,'30_CASHFLOW'!$B$3:$FZ$3,"&gt;="&amp;(T$4-2),'30_CASHFLOW'!$B$3:$FZ$3,"&lt;="&amp;T$4)</f>
        <v>0</v>
      </c>
      <c r="U14" s="147">
        <f>SUMIFS('30_CASHFLOW'!$B14:$FZ14,'30_CASHFLOW'!$B$3:$FZ$3,"&gt;="&amp;(U$4-2),'30_CASHFLOW'!$B$3:$FZ$3,"&lt;="&amp;U$4)</f>
        <v>0</v>
      </c>
    </row>
    <row r="15" spans="1:21" x14ac:dyDescent="0.25">
      <c r="A15" s="33" t="s">
        <v>269</v>
      </c>
      <c r="B15" s="147">
        <f>SUMIFS('30_CASHFLOW'!$B15:$FZ15,'30_CASHFLOW'!$B$3:$FZ$3,"&gt;="&amp;(B$4-2),'30_CASHFLOW'!$B$3:$FZ$3,"&lt;="&amp;B$4)</f>
        <v>0</v>
      </c>
      <c r="C15" s="147">
        <f>SUMIFS('30_CASHFLOW'!$B15:$FZ15,'30_CASHFLOW'!$B$3:$FZ$3,"&gt;="&amp;(C$4-2),'30_CASHFLOW'!$B$3:$FZ$3,"&lt;="&amp;C$4)</f>
        <v>0</v>
      </c>
      <c r="D15" s="147">
        <f>SUMIFS('30_CASHFLOW'!$B15:$FZ15,'30_CASHFLOW'!$B$3:$FZ$3,"&gt;="&amp;(D$4-2),'30_CASHFLOW'!$B$3:$FZ$3,"&lt;="&amp;D$4)</f>
        <v>0</v>
      </c>
      <c r="E15" s="147">
        <f>SUMIFS('30_CASHFLOW'!$B15:$FZ15,'30_CASHFLOW'!$B$3:$FZ$3,"&gt;="&amp;(E$4-2),'30_CASHFLOW'!$B$3:$FZ$3,"&lt;="&amp;E$4)</f>
        <v>0</v>
      </c>
      <c r="F15" s="147">
        <f>SUMIFS('30_CASHFLOW'!$B15:$FZ15,'30_CASHFLOW'!$B$3:$FZ$3,"&gt;="&amp;(F$4-2),'30_CASHFLOW'!$B$3:$FZ$3,"&lt;="&amp;F$4)</f>
        <v>0</v>
      </c>
      <c r="G15" s="147">
        <f>SUMIFS('30_CASHFLOW'!$B15:$FZ15,'30_CASHFLOW'!$B$3:$FZ$3,"&gt;="&amp;(G$4-2),'30_CASHFLOW'!$B$3:$FZ$3,"&lt;="&amp;G$4)</f>
        <v>0</v>
      </c>
      <c r="H15" s="147">
        <f>SUMIFS('30_CASHFLOW'!$B15:$FZ15,'30_CASHFLOW'!$B$3:$FZ$3,"&gt;="&amp;(H$4-2),'30_CASHFLOW'!$B$3:$FZ$3,"&lt;="&amp;H$4)</f>
        <v>0</v>
      </c>
      <c r="I15" s="147">
        <f>SUMIFS('30_CASHFLOW'!$B15:$FZ15,'30_CASHFLOW'!$B$3:$FZ$3,"&gt;="&amp;(I$4-2),'30_CASHFLOW'!$B$3:$FZ$3,"&lt;="&amp;I$4)</f>
        <v>0</v>
      </c>
      <c r="J15" s="147">
        <f>SUMIFS('30_CASHFLOW'!$B15:$FZ15,'30_CASHFLOW'!$B$3:$FZ$3,"&gt;="&amp;(J$4-2),'30_CASHFLOW'!$B$3:$FZ$3,"&lt;="&amp;J$4)</f>
        <v>0</v>
      </c>
      <c r="K15" s="147">
        <f>SUMIFS('30_CASHFLOW'!$B15:$FZ15,'30_CASHFLOW'!$B$3:$FZ$3,"&gt;="&amp;(K$4-2),'30_CASHFLOW'!$B$3:$FZ$3,"&lt;="&amp;K$4)</f>
        <v>0</v>
      </c>
      <c r="L15" s="147">
        <f>SUMIFS('30_CASHFLOW'!$B15:$FZ15,'30_CASHFLOW'!$B$3:$FZ$3,"&gt;="&amp;(L$4-2),'30_CASHFLOW'!$B$3:$FZ$3,"&lt;="&amp;L$4)</f>
        <v>0</v>
      </c>
      <c r="M15" s="147">
        <f>SUMIFS('30_CASHFLOW'!$B15:$FZ15,'30_CASHFLOW'!$B$3:$FZ$3,"&gt;="&amp;(M$4-2),'30_CASHFLOW'!$B$3:$FZ$3,"&lt;="&amp;M$4)</f>
        <v>6971250</v>
      </c>
      <c r="N15" s="147">
        <f>SUMIFS('30_CASHFLOW'!$B15:$FZ15,'30_CASHFLOW'!$B$3:$FZ$3,"&gt;="&amp;(N$4-2),'30_CASHFLOW'!$B$3:$FZ$3,"&lt;="&amp;N$4)</f>
        <v>0</v>
      </c>
      <c r="O15" s="147">
        <f>SUMIFS('30_CASHFLOW'!$B15:$FZ15,'30_CASHFLOW'!$B$3:$FZ$3,"&gt;="&amp;(O$4-2),'30_CASHFLOW'!$B$3:$FZ$3,"&lt;="&amp;O$4)</f>
        <v>0</v>
      </c>
      <c r="P15" s="147">
        <f>SUMIFS('30_CASHFLOW'!$B15:$FZ15,'30_CASHFLOW'!$B$3:$FZ$3,"&gt;="&amp;(P$4-2),'30_CASHFLOW'!$B$3:$FZ$3,"&lt;="&amp;P$4)</f>
        <v>0</v>
      </c>
      <c r="Q15" s="147">
        <f>SUMIFS('30_CASHFLOW'!$B15:$FZ15,'30_CASHFLOW'!$B$3:$FZ$3,"&gt;="&amp;(Q$4-2),'30_CASHFLOW'!$B$3:$FZ$3,"&lt;="&amp;Q$4)</f>
        <v>0</v>
      </c>
      <c r="R15" s="147">
        <f>SUMIFS('30_CASHFLOW'!$B15:$FZ15,'30_CASHFLOW'!$B$3:$FZ$3,"&gt;="&amp;(R$4-2),'30_CASHFLOW'!$B$3:$FZ$3,"&lt;="&amp;R$4)</f>
        <v>0</v>
      </c>
      <c r="S15" s="147">
        <f>SUMIFS('30_CASHFLOW'!$B15:$FZ15,'30_CASHFLOW'!$B$3:$FZ$3,"&gt;="&amp;(S$4-2),'30_CASHFLOW'!$B$3:$FZ$3,"&lt;="&amp;S$4)</f>
        <v>0</v>
      </c>
      <c r="T15" s="147">
        <f>SUMIFS('30_CASHFLOW'!$B15:$FZ15,'30_CASHFLOW'!$B$3:$FZ$3,"&gt;="&amp;(T$4-2),'30_CASHFLOW'!$B$3:$FZ$3,"&lt;="&amp;T$4)</f>
        <v>0</v>
      </c>
      <c r="U15" s="147">
        <f>SUMIFS('30_CASHFLOW'!$B15:$FZ15,'30_CASHFLOW'!$B$3:$FZ$3,"&gt;="&amp;(U$4-2),'30_CASHFLOW'!$B$3:$FZ$3,"&lt;="&amp;U$4)</f>
        <v>0</v>
      </c>
    </row>
    <row r="16" spans="1:21" x14ac:dyDescent="0.25">
      <c r="A16" s="33" t="s">
        <v>270</v>
      </c>
      <c r="B16" s="147">
        <f>SUMIFS('30_CASHFLOW'!$B16:$FZ16,'30_CASHFLOW'!$B$3:$FZ$3,"&gt;="&amp;(B$4-2),'30_CASHFLOW'!$B$3:$FZ$3,"&lt;="&amp;B$4)</f>
        <v>0</v>
      </c>
      <c r="C16" s="147">
        <f>SUMIFS('30_CASHFLOW'!$B16:$FZ16,'30_CASHFLOW'!$B$3:$FZ$3,"&gt;="&amp;(C$4-2),'30_CASHFLOW'!$B$3:$FZ$3,"&lt;="&amp;C$4)</f>
        <v>0</v>
      </c>
      <c r="D16" s="147">
        <f>SUMIFS('30_CASHFLOW'!$B16:$FZ16,'30_CASHFLOW'!$B$3:$FZ$3,"&gt;="&amp;(D$4-2),'30_CASHFLOW'!$B$3:$FZ$3,"&lt;="&amp;D$4)</f>
        <v>0</v>
      </c>
      <c r="E16" s="147">
        <f>SUMIFS('30_CASHFLOW'!$B16:$FZ16,'30_CASHFLOW'!$B$3:$FZ$3,"&gt;="&amp;(E$4-2),'30_CASHFLOW'!$B$3:$FZ$3,"&lt;="&amp;E$4)</f>
        <v>0</v>
      </c>
      <c r="F16" s="147">
        <f>SUMIFS('30_CASHFLOW'!$B16:$FZ16,'30_CASHFLOW'!$B$3:$FZ$3,"&gt;="&amp;(F$4-2),'30_CASHFLOW'!$B$3:$FZ$3,"&lt;="&amp;F$4)</f>
        <v>0</v>
      </c>
      <c r="G16" s="147">
        <f>SUMIFS('30_CASHFLOW'!$B16:$FZ16,'30_CASHFLOW'!$B$3:$FZ$3,"&gt;="&amp;(G$4-2),'30_CASHFLOW'!$B$3:$FZ$3,"&lt;="&amp;G$4)</f>
        <v>0</v>
      </c>
      <c r="H16" s="147">
        <f>SUMIFS('30_CASHFLOW'!$B16:$FZ16,'30_CASHFLOW'!$B$3:$FZ$3,"&gt;="&amp;(H$4-2),'30_CASHFLOW'!$B$3:$FZ$3,"&lt;="&amp;H$4)</f>
        <v>0</v>
      </c>
      <c r="I16" s="147">
        <f>SUMIFS('30_CASHFLOW'!$B16:$FZ16,'30_CASHFLOW'!$B$3:$FZ$3,"&gt;="&amp;(I$4-2),'30_CASHFLOW'!$B$3:$FZ$3,"&lt;="&amp;I$4)</f>
        <v>0</v>
      </c>
      <c r="J16" s="147">
        <f>SUMIFS('30_CASHFLOW'!$B16:$FZ16,'30_CASHFLOW'!$B$3:$FZ$3,"&gt;="&amp;(J$4-2),'30_CASHFLOW'!$B$3:$FZ$3,"&lt;="&amp;J$4)</f>
        <v>0</v>
      </c>
      <c r="K16" s="147">
        <f>SUMIFS('30_CASHFLOW'!$B16:$FZ16,'30_CASHFLOW'!$B$3:$FZ$3,"&gt;="&amp;(K$4-2),'30_CASHFLOW'!$B$3:$FZ$3,"&lt;="&amp;K$4)</f>
        <v>0</v>
      </c>
      <c r="L16" s="147">
        <f>SUMIFS('30_CASHFLOW'!$B16:$FZ16,'30_CASHFLOW'!$B$3:$FZ$3,"&gt;="&amp;(L$4-2),'30_CASHFLOW'!$B$3:$FZ$3,"&lt;="&amp;L$4)</f>
        <v>0</v>
      </c>
      <c r="M16" s="147">
        <f>SUMIFS('30_CASHFLOW'!$B16:$FZ16,'30_CASHFLOW'!$B$3:$FZ$3,"&gt;="&amp;(M$4-2),'30_CASHFLOW'!$B$3:$FZ$3,"&lt;="&amp;M$4)</f>
        <v>0</v>
      </c>
      <c r="N16" s="147">
        <f>SUMIFS('30_CASHFLOW'!$B16:$FZ16,'30_CASHFLOW'!$B$3:$FZ$3,"&gt;="&amp;(N$4-2),'30_CASHFLOW'!$B$3:$FZ$3,"&lt;="&amp;N$4)</f>
        <v>0</v>
      </c>
      <c r="O16" s="147">
        <f>SUMIFS('30_CASHFLOW'!$B16:$FZ16,'30_CASHFLOW'!$B$3:$FZ$3,"&gt;="&amp;(O$4-2),'30_CASHFLOW'!$B$3:$FZ$3,"&lt;="&amp;O$4)</f>
        <v>0</v>
      </c>
      <c r="P16" s="147">
        <f>SUMIFS('30_CASHFLOW'!$B16:$FZ16,'30_CASHFLOW'!$B$3:$FZ$3,"&gt;="&amp;(P$4-2),'30_CASHFLOW'!$B$3:$FZ$3,"&lt;="&amp;P$4)</f>
        <v>0</v>
      </c>
      <c r="Q16" s="147">
        <f>SUMIFS('30_CASHFLOW'!$B16:$FZ16,'30_CASHFLOW'!$B$3:$FZ$3,"&gt;="&amp;(Q$4-2),'30_CASHFLOW'!$B$3:$FZ$3,"&lt;="&amp;Q$4)</f>
        <v>0</v>
      </c>
      <c r="R16" s="147">
        <f>SUMIFS('30_CASHFLOW'!$B16:$FZ16,'30_CASHFLOW'!$B$3:$FZ$3,"&gt;="&amp;(R$4-2),'30_CASHFLOW'!$B$3:$FZ$3,"&lt;="&amp;R$4)</f>
        <v>0</v>
      </c>
      <c r="S16" s="147">
        <f>SUMIFS('30_CASHFLOW'!$B16:$FZ16,'30_CASHFLOW'!$B$3:$FZ$3,"&gt;="&amp;(S$4-2),'30_CASHFLOW'!$B$3:$FZ$3,"&lt;="&amp;S$4)</f>
        <v>0</v>
      </c>
      <c r="T16" s="147">
        <f>SUMIFS('30_CASHFLOW'!$B16:$FZ16,'30_CASHFLOW'!$B$3:$FZ$3,"&gt;="&amp;(T$4-2),'30_CASHFLOW'!$B$3:$FZ$3,"&lt;="&amp;T$4)</f>
        <v>0</v>
      </c>
      <c r="U16" s="147">
        <f>SUMIFS('30_CASHFLOW'!$B16:$FZ16,'30_CASHFLOW'!$B$3:$FZ$3,"&gt;="&amp;(U$4-2),'30_CASHFLOW'!$B$3:$FZ$3,"&lt;="&amp;U$4)</f>
        <v>0</v>
      </c>
    </row>
    <row r="17" spans="1:21" x14ac:dyDescent="0.25">
      <c r="A17" s="33" t="s">
        <v>271</v>
      </c>
      <c r="B17" s="147">
        <f>SUMIFS('30_CASHFLOW'!$B17:$FZ17,'30_CASHFLOW'!$B$3:$FZ$3,"&gt;="&amp;(B$4-2),'30_CASHFLOW'!$B$3:$FZ$3,"&lt;="&amp;B$4)</f>
        <v>0</v>
      </c>
      <c r="C17" s="147">
        <f>SUMIFS('30_CASHFLOW'!$B17:$FZ17,'30_CASHFLOW'!$B$3:$FZ$3,"&gt;="&amp;(C$4-2),'30_CASHFLOW'!$B$3:$FZ$3,"&lt;="&amp;C$4)</f>
        <v>0</v>
      </c>
      <c r="D17" s="147">
        <f>SUMIFS('30_CASHFLOW'!$B17:$FZ17,'30_CASHFLOW'!$B$3:$FZ$3,"&gt;="&amp;(D$4-2),'30_CASHFLOW'!$B$3:$FZ$3,"&lt;="&amp;D$4)</f>
        <v>0</v>
      </c>
      <c r="E17" s="147">
        <f>SUMIFS('30_CASHFLOW'!$B17:$FZ17,'30_CASHFLOW'!$B$3:$FZ$3,"&gt;="&amp;(E$4-2),'30_CASHFLOW'!$B$3:$FZ$3,"&lt;="&amp;E$4)</f>
        <v>0</v>
      </c>
      <c r="F17" s="147">
        <f>SUMIFS('30_CASHFLOW'!$B17:$FZ17,'30_CASHFLOW'!$B$3:$FZ$3,"&gt;="&amp;(F$4-2),'30_CASHFLOW'!$B$3:$FZ$3,"&lt;="&amp;F$4)</f>
        <v>0</v>
      </c>
      <c r="G17" s="147">
        <f>SUMIFS('30_CASHFLOW'!$B17:$FZ17,'30_CASHFLOW'!$B$3:$FZ$3,"&gt;="&amp;(G$4-2),'30_CASHFLOW'!$B$3:$FZ$3,"&lt;="&amp;G$4)</f>
        <v>0</v>
      </c>
      <c r="H17" s="147">
        <f>SUMIFS('30_CASHFLOW'!$B17:$FZ17,'30_CASHFLOW'!$B$3:$FZ$3,"&gt;="&amp;(H$4-2),'30_CASHFLOW'!$B$3:$FZ$3,"&lt;="&amp;H$4)</f>
        <v>0</v>
      </c>
      <c r="I17" s="147">
        <f>SUMIFS('30_CASHFLOW'!$B17:$FZ17,'30_CASHFLOW'!$B$3:$FZ$3,"&gt;="&amp;(I$4-2),'30_CASHFLOW'!$B$3:$FZ$3,"&lt;="&amp;I$4)</f>
        <v>44687.5</v>
      </c>
      <c r="J17" s="147">
        <f>SUMIFS('30_CASHFLOW'!$B17:$FZ17,'30_CASHFLOW'!$B$3:$FZ$3,"&gt;="&amp;(J$4-2),'30_CASHFLOW'!$B$3:$FZ$3,"&lt;="&amp;J$4)</f>
        <v>481812.5</v>
      </c>
      <c r="K17" s="147">
        <f>SUMIFS('30_CASHFLOW'!$B17:$FZ17,'30_CASHFLOW'!$B$3:$FZ$3,"&gt;="&amp;(K$4-2),'30_CASHFLOW'!$B$3:$FZ$3,"&lt;="&amp;K$4)</f>
        <v>655687.5</v>
      </c>
      <c r="L17" s="147">
        <f>SUMIFS('30_CASHFLOW'!$B17:$FZ17,'30_CASHFLOW'!$B$3:$FZ$3,"&gt;="&amp;(L$4-2),'30_CASHFLOW'!$B$3:$FZ$3,"&lt;="&amp;L$4)</f>
        <v>655687.5</v>
      </c>
      <c r="M17" s="147">
        <f>SUMIFS('30_CASHFLOW'!$B17:$FZ17,'30_CASHFLOW'!$B$3:$FZ$3,"&gt;="&amp;(M$4-2),'30_CASHFLOW'!$B$3:$FZ$3,"&lt;="&amp;M$4)</f>
        <v>7457125</v>
      </c>
      <c r="N17" s="147">
        <f>SUMIFS('30_CASHFLOW'!$B17:$FZ17,'30_CASHFLOW'!$B$3:$FZ$3,"&gt;="&amp;(N$4-2),'30_CASHFLOW'!$B$3:$FZ$3,"&lt;="&amp;N$4)</f>
        <v>0</v>
      </c>
      <c r="O17" s="147">
        <f>SUMIFS('30_CASHFLOW'!$B17:$FZ17,'30_CASHFLOW'!$B$3:$FZ$3,"&gt;="&amp;(O$4-2),'30_CASHFLOW'!$B$3:$FZ$3,"&lt;="&amp;O$4)</f>
        <v>0</v>
      </c>
      <c r="P17" s="147">
        <f>SUMIFS('30_CASHFLOW'!$B17:$FZ17,'30_CASHFLOW'!$B$3:$FZ$3,"&gt;="&amp;(P$4-2),'30_CASHFLOW'!$B$3:$FZ$3,"&lt;="&amp;P$4)</f>
        <v>0</v>
      </c>
      <c r="Q17" s="147">
        <f>SUMIFS('30_CASHFLOW'!$B17:$FZ17,'30_CASHFLOW'!$B$3:$FZ$3,"&gt;="&amp;(Q$4-2),'30_CASHFLOW'!$B$3:$FZ$3,"&lt;="&amp;Q$4)</f>
        <v>0</v>
      </c>
      <c r="R17" s="147">
        <f>SUMIFS('30_CASHFLOW'!$B17:$FZ17,'30_CASHFLOW'!$B$3:$FZ$3,"&gt;="&amp;(R$4-2),'30_CASHFLOW'!$B$3:$FZ$3,"&lt;="&amp;R$4)</f>
        <v>0</v>
      </c>
      <c r="S17" s="147">
        <f>SUMIFS('30_CASHFLOW'!$B17:$FZ17,'30_CASHFLOW'!$B$3:$FZ$3,"&gt;="&amp;(S$4-2),'30_CASHFLOW'!$B$3:$FZ$3,"&lt;="&amp;S$4)</f>
        <v>0</v>
      </c>
      <c r="T17" s="147">
        <f>SUMIFS('30_CASHFLOW'!$B17:$FZ17,'30_CASHFLOW'!$B$3:$FZ$3,"&gt;="&amp;(T$4-2),'30_CASHFLOW'!$B$3:$FZ$3,"&lt;="&amp;T$4)</f>
        <v>0</v>
      </c>
      <c r="U17" s="147">
        <f>SUMIFS('30_CASHFLOW'!$B17:$FZ17,'30_CASHFLOW'!$B$3:$FZ$3,"&gt;="&amp;(U$4-2),'30_CASHFLOW'!$B$3:$FZ$3,"&lt;="&amp;U$4)</f>
        <v>0</v>
      </c>
    </row>
    <row r="18" spans="1:21" ht="15.75" customHeight="1" x14ac:dyDescent="0.25">
      <c r="A18" s="138" t="s">
        <v>272</v>
      </c>
      <c r="B18" s="147">
        <f>SUMIFS('30_CASHFLOW'!$B18:$FZ18,'30_CASHFLOW'!$B$3:$FZ$3,"&gt;="&amp;(B$4-2),'30_CASHFLOW'!$B$3:$FZ$3,"&lt;="&amp;B$4)</f>
        <v>0</v>
      </c>
      <c r="C18" s="147">
        <f>SUMIFS('30_CASHFLOW'!$B18:$FZ18,'30_CASHFLOW'!$B$3:$FZ$3,"&gt;="&amp;(C$4-2),'30_CASHFLOW'!$B$3:$FZ$3,"&lt;="&amp;C$4)</f>
        <v>0</v>
      </c>
      <c r="D18" s="147">
        <f>SUMIFS('30_CASHFLOW'!$B18:$FZ18,'30_CASHFLOW'!$B$3:$FZ$3,"&gt;="&amp;(D$4-2),'30_CASHFLOW'!$B$3:$FZ$3,"&lt;="&amp;D$4)</f>
        <v>0</v>
      </c>
      <c r="E18" s="147">
        <f>SUMIFS('30_CASHFLOW'!$B18:$FZ18,'30_CASHFLOW'!$B$3:$FZ$3,"&gt;="&amp;(E$4-2),'30_CASHFLOW'!$B$3:$FZ$3,"&lt;="&amp;E$4)</f>
        <v>0</v>
      </c>
      <c r="F18" s="147">
        <f>SUMIFS('30_CASHFLOW'!$B18:$FZ18,'30_CASHFLOW'!$B$3:$FZ$3,"&gt;="&amp;(F$4-2),'30_CASHFLOW'!$B$3:$FZ$3,"&lt;="&amp;F$4)</f>
        <v>0</v>
      </c>
      <c r="G18" s="147">
        <f>SUMIFS('30_CASHFLOW'!$B18:$FZ18,'30_CASHFLOW'!$B$3:$FZ$3,"&gt;="&amp;(G$4-2),'30_CASHFLOW'!$B$3:$FZ$3,"&lt;="&amp;G$4)</f>
        <v>0</v>
      </c>
      <c r="H18" s="147">
        <f>SUMIFS('30_CASHFLOW'!$B18:$FZ18,'30_CASHFLOW'!$B$3:$FZ$3,"&gt;="&amp;(H$4-2),'30_CASHFLOW'!$B$3:$FZ$3,"&lt;="&amp;H$4)</f>
        <v>0</v>
      </c>
      <c r="I18" s="147">
        <f>SUMIFS('30_CASHFLOW'!$B18:$FZ18,'30_CASHFLOW'!$B$3:$FZ$3,"&gt;="&amp;(I$4-2),'30_CASHFLOW'!$B$3:$FZ$3,"&lt;="&amp;I$4)</f>
        <v>26812.5</v>
      </c>
      <c r="J18" s="147">
        <f>SUMIFS('30_CASHFLOW'!$B18:$FZ18,'30_CASHFLOW'!$B$3:$FZ$3,"&gt;="&amp;(J$4-2),'30_CASHFLOW'!$B$3:$FZ$3,"&lt;="&amp;J$4)</f>
        <v>80437.5</v>
      </c>
      <c r="K18" s="147">
        <f>SUMIFS('30_CASHFLOW'!$B18:$FZ18,'30_CASHFLOW'!$B$3:$FZ$3,"&gt;="&amp;(K$4-2),'30_CASHFLOW'!$B$3:$FZ$3,"&lt;="&amp;K$4)</f>
        <v>80437.5</v>
      </c>
      <c r="L18" s="147">
        <f>SUMIFS('30_CASHFLOW'!$B18:$FZ18,'30_CASHFLOW'!$B$3:$FZ$3,"&gt;="&amp;(L$4-2),'30_CASHFLOW'!$B$3:$FZ$3,"&lt;="&amp;L$4)</f>
        <v>80437.5</v>
      </c>
      <c r="M18" s="147">
        <f>SUMIFS('30_CASHFLOW'!$B18:$FZ18,'30_CASHFLOW'!$B$3:$FZ$3,"&gt;="&amp;(M$4-2),'30_CASHFLOW'!$B$3:$FZ$3,"&lt;="&amp;M$4)</f>
        <v>10725</v>
      </c>
      <c r="N18" s="147">
        <f>SUMIFS('30_CASHFLOW'!$B18:$FZ18,'30_CASHFLOW'!$B$3:$FZ$3,"&gt;="&amp;(N$4-2),'30_CASHFLOW'!$B$3:$FZ$3,"&lt;="&amp;N$4)</f>
        <v>0</v>
      </c>
      <c r="O18" s="147">
        <f>SUMIFS('30_CASHFLOW'!$B18:$FZ18,'30_CASHFLOW'!$B$3:$FZ$3,"&gt;="&amp;(O$4-2),'30_CASHFLOW'!$B$3:$FZ$3,"&lt;="&amp;O$4)</f>
        <v>0</v>
      </c>
      <c r="P18" s="147">
        <f>SUMIFS('30_CASHFLOW'!$B18:$FZ18,'30_CASHFLOW'!$B$3:$FZ$3,"&gt;="&amp;(P$4-2),'30_CASHFLOW'!$B$3:$FZ$3,"&lt;="&amp;P$4)</f>
        <v>0</v>
      </c>
      <c r="Q18" s="147">
        <f>SUMIFS('30_CASHFLOW'!$B18:$FZ18,'30_CASHFLOW'!$B$3:$FZ$3,"&gt;="&amp;(Q$4-2),'30_CASHFLOW'!$B$3:$FZ$3,"&lt;="&amp;Q$4)</f>
        <v>0</v>
      </c>
      <c r="R18" s="147">
        <f>SUMIFS('30_CASHFLOW'!$B18:$FZ18,'30_CASHFLOW'!$B$3:$FZ$3,"&gt;="&amp;(R$4-2),'30_CASHFLOW'!$B$3:$FZ$3,"&lt;="&amp;R$4)</f>
        <v>0</v>
      </c>
      <c r="S18" s="147">
        <f>SUMIFS('30_CASHFLOW'!$B18:$FZ18,'30_CASHFLOW'!$B$3:$FZ$3,"&gt;="&amp;(S$4-2),'30_CASHFLOW'!$B$3:$FZ$3,"&lt;="&amp;S$4)</f>
        <v>0</v>
      </c>
      <c r="T18" s="147">
        <f>SUMIFS('30_CASHFLOW'!$B18:$FZ18,'30_CASHFLOW'!$B$3:$FZ$3,"&gt;="&amp;(T$4-2),'30_CASHFLOW'!$B$3:$FZ$3,"&lt;="&amp;T$4)</f>
        <v>0</v>
      </c>
      <c r="U18" s="147">
        <f>SUMIFS('30_CASHFLOW'!$B18:$FZ18,'30_CASHFLOW'!$B$3:$FZ$3,"&gt;="&amp;(U$4-2),'30_CASHFLOW'!$B$3:$FZ$3,"&lt;="&amp;U$4)</f>
        <v>0</v>
      </c>
    </row>
    <row r="19" spans="1:21" ht="15.75" customHeight="1" x14ac:dyDescent="0.25">
      <c r="A19" s="138" t="s">
        <v>273</v>
      </c>
      <c r="B19" s="147">
        <f>SUMIFS('30_CASHFLOW'!$B19:$FZ19,'30_CASHFLOW'!$B$3:$FZ$3,"&gt;="&amp;(B$4-2),'30_CASHFLOW'!$B$3:$FZ$3,"&lt;="&amp;B$4)</f>
        <v>0</v>
      </c>
      <c r="C19" s="147">
        <f>SUMIFS('30_CASHFLOW'!$B19:$FZ19,'30_CASHFLOW'!$B$3:$FZ$3,"&gt;="&amp;(C$4-2),'30_CASHFLOW'!$B$3:$FZ$3,"&lt;="&amp;C$4)</f>
        <v>0</v>
      </c>
      <c r="D19" s="147">
        <f>SUMIFS('30_CASHFLOW'!$B19:$FZ19,'30_CASHFLOW'!$B$3:$FZ$3,"&gt;="&amp;(D$4-2),'30_CASHFLOW'!$B$3:$FZ$3,"&lt;="&amp;D$4)</f>
        <v>0</v>
      </c>
      <c r="E19" s="147">
        <f>SUMIFS('30_CASHFLOW'!$B19:$FZ19,'30_CASHFLOW'!$B$3:$FZ$3,"&gt;="&amp;(E$4-2),'30_CASHFLOW'!$B$3:$FZ$3,"&lt;="&amp;E$4)</f>
        <v>0</v>
      </c>
      <c r="F19" s="147">
        <f>SUMIFS('30_CASHFLOW'!$B19:$FZ19,'30_CASHFLOW'!$B$3:$FZ$3,"&gt;="&amp;(F$4-2),'30_CASHFLOW'!$B$3:$FZ$3,"&lt;="&amp;F$4)</f>
        <v>0</v>
      </c>
      <c r="G19" s="147">
        <f>SUMIFS('30_CASHFLOW'!$B19:$FZ19,'30_CASHFLOW'!$B$3:$FZ$3,"&gt;="&amp;(G$4-2),'30_CASHFLOW'!$B$3:$FZ$3,"&lt;="&amp;G$4)</f>
        <v>0</v>
      </c>
      <c r="H19" s="147">
        <f>SUMIFS('30_CASHFLOW'!$B19:$FZ19,'30_CASHFLOW'!$B$3:$FZ$3,"&gt;="&amp;(H$4-2),'30_CASHFLOW'!$B$3:$FZ$3,"&lt;="&amp;H$4)</f>
        <v>0</v>
      </c>
      <c r="I19" s="147">
        <f>SUMIFS('30_CASHFLOW'!$B19:$FZ19,'30_CASHFLOW'!$B$3:$FZ$3,"&gt;="&amp;(I$4-2),'30_CASHFLOW'!$B$3:$FZ$3,"&lt;="&amp;I$4)</f>
        <v>17875</v>
      </c>
      <c r="J19" s="147">
        <f>SUMIFS('30_CASHFLOW'!$B19:$FZ19,'30_CASHFLOW'!$B$3:$FZ$3,"&gt;="&amp;(J$4-2),'30_CASHFLOW'!$B$3:$FZ$3,"&lt;="&amp;J$4)</f>
        <v>401375</v>
      </c>
      <c r="K19" s="147">
        <f>SUMIFS('30_CASHFLOW'!$B19:$FZ19,'30_CASHFLOW'!$B$3:$FZ$3,"&gt;="&amp;(K$4-2),'30_CASHFLOW'!$B$3:$FZ$3,"&lt;="&amp;K$4)</f>
        <v>575250</v>
      </c>
      <c r="L19" s="147">
        <f>SUMIFS('30_CASHFLOW'!$B19:$FZ19,'30_CASHFLOW'!$B$3:$FZ$3,"&gt;="&amp;(L$4-2),'30_CASHFLOW'!$B$3:$FZ$3,"&lt;="&amp;L$4)</f>
        <v>575250</v>
      </c>
      <c r="M19" s="147">
        <f>SUMIFS('30_CASHFLOW'!$B19:$FZ19,'30_CASHFLOW'!$B$3:$FZ$3,"&gt;="&amp;(M$4-2),'30_CASHFLOW'!$B$3:$FZ$3,"&lt;="&amp;M$4)</f>
        <v>7446400</v>
      </c>
      <c r="N19" s="147">
        <f>SUMIFS('30_CASHFLOW'!$B19:$FZ19,'30_CASHFLOW'!$B$3:$FZ$3,"&gt;="&amp;(N$4-2),'30_CASHFLOW'!$B$3:$FZ$3,"&lt;="&amp;N$4)</f>
        <v>0</v>
      </c>
      <c r="O19" s="147">
        <f>SUMIFS('30_CASHFLOW'!$B19:$FZ19,'30_CASHFLOW'!$B$3:$FZ$3,"&gt;="&amp;(O$4-2),'30_CASHFLOW'!$B$3:$FZ$3,"&lt;="&amp;O$4)</f>
        <v>0</v>
      </c>
      <c r="P19" s="147">
        <f>SUMIFS('30_CASHFLOW'!$B19:$FZ19,'30_CASHFLOW'!$B$3:$FZ$3,"&gt;="&amp;(P$4-2),'30_CASHFLOW'!$B$3:$FZ$3,"&lt;="&amp;P$4)</f>
        <v>0</v>
      </c>
      <c r="Q19" s="147">
        <f>SUMIFS('30_CASHFLOW'!$B19:$FZ19,'30_CASHFLOW'!$B$3:$FZ$3,"&gt;="&amp;(Q$4-2),'30_CASHFLOW'!$B$3:$FZ$3,"&lt;="&amp;Q$4)</f>
        <v>0</v>
      </c>
      <c r="R19" s="147">
        <f>SUMIFS('30_CASHFLOW'!$B19:$FZ19,'30_CASHFLOW'!$B$3:$FZ$3,"&gt;="&amp;(R$4-2),'30_CASHFLOW'!$B$3:$FZ$3,"&lt;="&amp;R$4)</f>
        <v>0</v>
      </c>
      <c r="S19" s="147">
        <f>SUMIFS('30_CASHFLOW'!$B19:$FZ19,'30_CASHFLOW'!$B$3:$FZ$3,"&gt;="&amp;(S$4-2),'30_CASHFLOW'!$B$3:$FZ$3,"&lt;="&amp;S$4)</f>
        <v>0</v>
      </c>
      <c r="T19" s="147">
        <f>SUMIFS('30_CASHFLOW'!$B19:$FZ19,'30_CASHFLOW'!$B$3:$FZ$3,"&gt;="&amp;(T$4-2),'30_CASHFLOW'!$B$3:$FZ$3,"&lt;="&amp;T$4)</f>
        <v>0</v>
      </c>
      <c r="U19" s="147">
        <f>SUMIFS('30_CASHFLOW'!$B19:$FZ19,'30_CASHFLOW'!$B$3:$FZ$3,"&gt;="&amp;(U$4-2),'30_CASHFLOW'!$B$3:$FZ$3,"&lt;="&amp;U$4)</f>
        <v>0</v>
      </c>
    </row>
    <row r="20" spans="1:21" s="254" customFormat="1" ht="15.75" customHeight="1" thickBot="1" x14ac:dyDescent="0.3">
      <c r="A20" s="252" t="s">
        <v>274</v>
      </c>
      <c r="B20" s="253">
        <f>SUMIFS('30_CASHFLOW'!$B20:$FZ20,'30_CASHFLOW'!$B$3:$FZ$3,"&gt;="&amp;(B$4-2),'30_CASHFLOW'!$B$3:$FZ$3,"&lt;="&amp;B$4)</f>
        <v>-1183546</v>
      </c>
      <c r="C20" s="253">
        <f>SUMIFS('30_CASHFLOW'!$B20:$FZ20,'30_CASHFLOW'!$B$3:$FZ$3,"&gt;="&amp;(C$4-2),'30_CASHFLOW'!$B$3:$FZ$3,"&lt;="&amp;C$4)</f>
        <v>0</v>
      </c>
      <c r="D20" s="253">
        <f>SUMIFS('30_CASHFLOW'!$B20:$FZ20,'30_CASHFLOW'!$B$3:$FZ$3,"&gt;="&amp;(D$4-2),'30_CASHFLOW'!$B$3:$FZ$3,"&lt;="&amp;D$4)</f>
        <v>0</v>
      </c>
      <c r="E20" s="253">
        <f>SUMIFS('30_CASHFLOW'!$B20:$FZ20,'30_CASHFLOW'!$B$3:$FZ$3,"&gt;="&amp;(E$4-2),'30_CASHFLOW'!$B$3:$FZ$3,"&lt;="&amp;E$4)</f>
        <v>-269680.32000000007</v>
      </c>
      <c r="F20" s="253">
        <f>SUMIFS('30_CASHFLOW'!$B20:$FZ20,'30_CASHFLOW'!$B$3:$FZ$3,"&gt;="&amp;(F$4-2),'30_CASHFLOW'!$B$3:$FZ$3,"&lt;="&amp;F$4)</f>
        <v>-809040.9600000002</v>
      </c>
      <c r="G20" s="253">
        <f>SUMIFS('30_CASHFLOW'!$B20:$FZ20,'30_CASHFLOW'!$B$3:$FZ$3,"&gt;="&amp;(G$4-2),'30_CASHFLOW'!$B$3:$FZ$3,"&lt;="&amp;G$4)</f>
        <v>-809040.9600000002</v>
      </c>
      <c r="H20" s="253">
        <f>SUMIFS('30_CASHFLOW'!$B20:$FZ20,'30_CASHFLOW'!$B$3:$FZ$3,"&gt;="&amp;(H$4-2),'30_CASHFLOW'!$B$3:$FZ$3,"&lt;="&amp;H$4)</f>
        <v>-809040.9600000002</v>
      </c>
      <c r="I20" s="253">
        <f>SUMIFS('30_CASHFLOW'!$B20:$FZ20,'30_CASHFLOW'!$B$3:$FZ$3,"&gt;="&amp;(I$4-2),'30_CASHFLOW'!$B$3:$FZ$3,"&lt;="&amp;I$4)</f>
        <v>-791165.9600000002</v>
      </c>
      <c r="J20" s="253">
        <f>SUMIFS('30_CASHFLOW'!$B20:$FZ20,'30_CASHFLOW'!$B$3:$FZ$3,"&gt;="&amp;(J$4-2),'30_CASHFLOW'!$B$3:$FZ$3,"&lt;="&amp;J$4)</f>
        <v>-407665.9600000002</v>
      </c>
      <c r="K20" s="253">
        <f>SUMIFS('30_CASHFLOW'!$B20:$FZ20,'30_CASHFLOW'!$B$3:$FZ$3,"&gt;="&amp;(K$4-2),'30_CASHFLOW'!$B$3:$FZ$3,"&lt;="&amp;K$4)</f>
        <v>-233790.9600000002</v>
      </c>
      <c r="L20" s="253">
        <f>SUMIFS('30_CASHFLOW'!$B20:$FZ20,'30_CASHFLOW'!$B$3:$FZ$3,"&gt;="&amp;(L$4-2),'30_CASHFLOW'!$B$3:$FZ$3,"&lt;="&amp;L$4)</f>
        <v>-233790.9600000002</v>
      </c>
      <c r="M20" s="253">
        <f>SUMIFS('30_CASHFLOW'!$B20:$FZ20,'30_CASHFLOW'!$B$3:$FZ$3,"&gt;="&amp;(M$4-2),'30_CASHFLOW'!$B$3:$FZ$3,"&lt;="&amp;M$4)</f>
        <v>6907039.3599999994</v>
      </c>
      <c r="N20" s="253">
        <f>SUMIFS('30_CASHFLOW'!$B20:$FZ20,'30_CASHFLOW'!$B$3:$FZ$3,"&gt;="&amp;(N$4-2),'30_CASHFLOW'!$B$3:$FZ$3,"&lt;="&amp;N$4)</f>
        <v>0</v>
      </c>
      <c r="O20" s="253">
        <f>SUMIFS('30_CASHFLOW'!$B20:$FZ20,'30_CASHFLOW'!$B$3:$FZ$3,"&gt;="&amp;(O$4-2),'30_CASHFLOW'!$B$3:$FZ$3,"&lt;="&amp;O$4)</f>
        <v>0</v>
      </c>
      <c r="P20" s="253">
        <f>SUMIFS('30_CASHFLOW'!$B20:$FZ20,'30_CASHFLOW'!$B$3:$FZ$3,"&gt;="&amp;(P$4-2),'30_CASHFLOW'!$B$3:$FZ$3,"&lt;="&amp;P$4)</f>
        <v>0</v>
      </c>
      <c r="Q20" s="253">
        <f>SUMIFS('30_CASHFLOW'!$B20:$FZ20,'30_CASHFLOW'!$B$3:$FZ$3,"&gt;="&amp;(Q$4-2),'30_CASHFLOW'!$B$3:$FZ$3,"&lt;="&amp;Q$4)</f>
        <v>0</v>
      </c>
      <c r="R20" s="253">
        <f>SUMIFS('30_CASHFLOW'!$B20:$FZ20,'30_CASHFLOW'!$B$3:$FZ$3,"&gt;="&amp;(R$4-2),'30_CASHFLOW'!$B$3:$FZ$3,"&lt;="&amp;R$4)</f>
        <v>0</v>
      </c>
      <c r="S20" s="253">
        <f>SUMIFS('30_CASHFLOW'!$B20:$FZ20,'30_CASHFLOW'!$B$3:$FZ$3,"&gt;="&amp;(S$4-2),'30_CASHFLOW'!$B$3:$FZ$3,"&lt;="&amp;S$4)</f>
        <v>0</v>
      </c>
      <c r="T20" s="253">
        <f>SUMIFS('30_CASHFLOW'!$B20:$FZ20,'30_CASHFLOW'!$B$3:$FZ$3,"&gt;="&amp;(T$4-2),'30_CASHFLOW'!$B$3:$FZ$3,"&lt;="&amp;T$4)</f>
        <v>0</v>
      </c>
      <c r="U20" s="253">
        <f>SUMIFS('30_CASHFLOW'!$B20:$FZ20,'30_CASHFLOW'!$B$3:$FZ$3,"&gt;="&amp;(U$4-2),'30_CASHFLOW'!$B$3:$FZ$3,"&lt;="&amp;U$4)</f>
        <v>0</v>
      </c>
    </row>
    <row r="21" spans="1:21" ht="15.75" hidden="1" customHeight="1" thickTop="1" x14ac:dyDescent="0.25">
      <c r="A21" s="151" t="s">
        <v>6</v>
      </c>
      <c r="B21" s="152">
        <f>SUMIFS('30_CASHFLOW'!$B21:$FZ21,'30_CASHFLOW'!$B$3:$FZ$3,"&gt;="&amp;(B$4-2),'30_CASHFLOW'!$B$3:$FZ$3,"&lt;="&amp;B$4)</f>
        <v>0</v>
      </c>
      <c r="C21" s="152">
        <f>SUMIFS('30_CASHFLOW'!$B21:$FZ21,'30_CASHFLOW'!$B$3:$FZ$3,"&gt;="&amp;(C$4-2),'30_CASHFLOW'!$B$3:$FZ$3,"&lt;="&amp;C$4)</f>
        <v>0</v>
      </c>
      <c r="D21" s="152">
        <f>SUMIFS('30_CASHFLOW'!$B21:$FZ21,'30_CASHFLOW'!$B$3:$FZ$3,"&gt;="&amp;(D$4-2),'30_CASHFLOW'!$B$3:$FZ$3,"&lt;="&amp;D$4)</f>
        <v>0</v>
      </c>
      <c r="E21" s="152">
        <f>SUMIFS('30_CASHFLOW'!$B21:$FZ21,'30_CASHFLOW'!$B$3:$FZ$3,"&gt;="&amp;(E$4-2),'30_CASHFLOW'!$B$3:$FZ$3,"&lt;="&amp;E$4)</f>
        <v>0</v>
      </c>
      <c r="F21" s="152">
        <f>SUMIFS('30_CASHFLOW'!$B21:$FZ21,'30_CASHFLOW'!$B$3:$FZ$3,"&gt;="&amp;(F$4-2),'30_CASHFLOW'!$B$3:$FZ$3,"&lt;="&amp;F$4)</f>
        <v>0</v>
      </c>
      <c r="G21" s="152">
        <f>SUMIFS('30_CASHFLOW'!$B21:$FZ21,'30_CASHFLOW'!$B$3:$FZ$3,"&gt;="&amp;(G$4-2),'30_CASHFLOW'!$B$3:$FZ$3,"&lt;="&amp;G$4)</f>
        <v>0</v>
      </c>
      <c r="H21" s="152">
        <f>SUMIFS('30_CASHFLOW'!$B21:$FZ21,'30_CASHFLOW'!$B$3:$FZ$3,"&gt;="&amp;(H$4-2),'30_CASHFLOW'!$B$3:$FZ$3,"&lt;="&amp;H$4)</f>
        <v>0</v>
      </c>
      <c r="I21" s="152">
        <f>SUMIFS('30_CASHFLOW'!$B21:$FZ21,'30_CASHFLOW'!$B$3:$FZ$3,"&gt;="&amp;(I$4-2),'30_CASHFLOW'!$B$3:$FZ$3,"&lt;="&amp;I$4)</f>
        <v>0</v>
      </c>
      <c r="J21" s="152">
        <f>SUMIFS('30_CASHFLOW'!$B21:$FZ21,'30_CASHFLOW'!$B$3:$FZ$3,"&gt;="&amp;(J$4-2),'30_CASHFLOW'!$B$3:$FZ$3,"&lt;="&amp;J$4)</f>
        <v>0</v>
      </c>
      <c r="K21" s="152">
        <f>SUMIFS('30_CASHFLOW'!$B21:$FZ21,'30_CASHFLOW'!$B$3:$FZ$3,"&gt;="&amp;(K$4-2),'30_CASHFLOW'!$B$3:$FZ$3,"&lt;="&amp;K$4)</f>
        <v>0</v>
      </c>
      <c r="L21" s="152">
        <f>SUMIFS('30_CASHFLOW'!$B21:$FZ21,'30_CASHFLOW'!$B$3:$FZ$3,"&gt;="&amp;(L$4-2),'30_CASHFLOW'!$B$3:$FZ$3,"&lt;="&amp;L$4)</f>
        <v>0</v>
      </c>
      <c r="M21" s="152">
        <f>SUMIFS('30_CASHFLOW'!$B21:$FZ21,'30_CASHFLOW'!$B$3:$FZ$3,"&gt;="&amp;(M$4-2),'30_CASHFLOW'!$B$3:$FZ$3,"&lt;="&amp;M$4)</f>
        <v>0</v>
      </c>
      <c r="N21" s="152">
        <f>SUMIFS('30_CASHFLOW'!$B21:$FZ21,'30_CASHFLOW'!$B$3:$FZ$3,"&gt;="&amp;(N$4-2),'30_CASHFLOW'!$B$3:$FZ$3,"&lt;="&amp;N$4)</f>
        <v>0</v>
      </c>
      <c r="O21" s="152">
        <f>SUMIFS('30_CASHFLOW'!$B21:$FZ21,'30_CASHFLOW'!$B$3:$FZ$3,"&gt;="&amp;(O$4-2),'30_CASHFLOW'!$B$3:$FZ$3,"&lt;="&amp;O$4)</f>
        <v>0</v>
      </c>
      <c r="P21" s="152">
        <f>SUMIFS('30_CASHFLOW'!$B21:$FZ21,'30_CASHFLOW'!$B$3:$FZ$3,"&gt;="&amp;(P$4-2),'30_CASHFLOW'!$B$3:$FZ$3,"&lt;="&amp;P$4)</f>
        <v>0</v>
      </c>
      <c r="Q21" s="152">
        <f>SUMIFS('30_CASHFLOW'!$B21:$FZ21,'30_CASHFLOW'!$B$3:$FZ$3,"&gt;="&amp;(Q$4-2),'30_CASHFLOW'!$B$3:$FZ$3,"&lt;="&amp;Q$4)</f>
        <v>0</v>
      </c>
      <c r="R21" s="152">
        <f>SUMIFS('30_CASHFLOW'!$B21:$FZ21,'30_CASHFLOW'!$B$3:$FZ$3,"&gt;="&amp;(R$4-2),'30_CASHFLOW'!$B$3:$FZ$3,"&lt;="&amp;R$4)</f>
        <v>0</v>
      </c>
      <c r="S21" s="152">
        <f>SUMIFS('30_CASHFLOW'!$B21:$FZ21,'30_CASHFLOW'!$B$3:$FZ$3,"&gt;="&amp;(S$4-2),'30_CASHFLOW'!$B$3:$FZ$3,"&lt;="&amp;S$4)</f>
        <v>0</v>
      </c>
      <c r="T21" s="152">
        <f>SUMIFS('30_CASHFLOW'!$B21:$FZ21,'30_CASHFLOW'!$B$3:$FZ$3,"&gt;="&amp;(T$4-2),'30_CASHFLOW'!$B$3:$FZ$3,"&lt;="&amp;T$4)</f>
        <v>0</v>
      </c>
      <c r="U21" s="152">
        <f>SUMIFS('30_CASHFLOW'!$B21:$FZ21,'30_CASHFLOW'!$B$3:$FZ$3,"&gt;="&amp;(U$4-2),'30_CASHFLOW'!$B$3:$FZ$3,"&lt;="&amp;U$4)</f>
        <v>0</v>
      </c>
    </row>
    <row r="22" spans="1:21" ht="15.75" hidden="1" thickBot="1" x14ac:dyDescent="0.3">
      <c r="A22" s="33" t="s">
        <v>275</v>
      </c>
      <c r="B22" s="147">
        <f>SUMIFS('30_CASHFLOW'!$B22:$FZ22,'30_CASHFLOW'!$B$3:$FZ$3,"&gt;="&amp;(B$4-2),'30_CASHFLOW'!$B$3:$FZ$3,"&lt;="&amp;B$4)</f>
        <v>0</v>
      </c>
      <c r="C22" s="147">
        <f>SUMIFS('30_CASHFLOW'!$B22:$FZ22,'30_CASHFLOW'!$B$3:$FZ$3,"&gt;="&amp;(C$4-2),'30_CASHFLOW'!$B$3:$FZ$3,"&lt;="&amp;C$4)</f>
        <v>0</v>
      </c>
      <c r="D22" s="147">
        <f>SUMIFS('30_CASHFLOW'!$B22:$FZ22,'30_CASHFLOW'!$B$3:$FZ$3,"&gt;="&amp;(D$4-2),'30_CASHFLOW'!$B$3:$FZ$3,"&lt;="&amp;D$4)</f>
        <v>0</v>
      </c>
      <c r="E22" s="147">
        <f>SUMIFS('30_CASHFLOW'!$B22:$FZ22,'30_CASHFLOW'!$B$3:$FZ$3,"&gt;="&amp;(E$4-2),'30_CASHFLOW'!$B$3:$FZ$3,"&lt;="&amp;E$4)</f>
        <v>0</v>
      </c>
      <c r="F22" s="147">
        <f>SUMIFS('30_CASHFLOW'!$B22:$FZ22,'30_CASHFLOW'!$B$3:$FZ$3,"&gt;="&amp;(F$4-2),'30_CASHFLOW'!$B$3:$FZ$3,"&lt;="&amp;F$4)</f>
        <v>0</v>
      </c>
      <c r="G22" s="147">
        <f>SUMIFS('30_CASHFLOW'!$B22:$FZ22,'30_CASHFLOW'!$B$3:$FZ$3,"&gt;="&amp;(G$4-2),'30_CASHFLOW'!$B$3:$FZ$3,"&lt;="&amp;G$4)</f>
        <v>0</v>
      </c>
      <c r="H22" s="147">
        <f>SUMIFS('30_CASHFLOW'!$B22:$FZ22,'30_CASHFLOW'!$B$3:$FZ$3,"&gt;="&amp;(H$4-2),'30_CASHFLOW'!$B$3:$FZ$3,"&lt;="&amp;H$4)</f>
        <v>0</v>
      </c>
      <c r="I22" s="147">
        <f>SUMIFS('30_CASHFLOW'!$B22:$FZ22,'30_CASHFLOW'!$B$3:$FZ$3,"&gt;="&amp;(I$4-2),'30_CASHFLOW'!$B$3:$FZ$3,"&lt;="&amp;I$4)</f>
        <v>0</v>
      </c>
      <c r="J22" s="147">
        <f>SUMIFS('30_CASHFLOW'!$B22:$FZ22,'30_CASHFLOW'!$B$3:$FZ$3,"&gt;="&amp;(J$4-2),'30_CASHFLOW'!$B$3:$FZ$3,"&lt;="&amp;J$4)</f>
        <v>0</v>
      </c>
      <c r="K22" s="147">
        <f>SUMIFS('30_CASHFLOW'!$B22:$FZ22,'30_CASHFLOW'!$B$3:$FZ$3,"&gt;="&amp;(K$4-2),'30_CASHFLOW'!$B$3:$FZ$3,"&lt;="&amp;K$4)</f>
        <v>0</v>
      </c>
      <c r="L22" s="147">
        <f>SUMIFS('30_CASHFLOW'!$B22:$FZ22,'30_CASHFLOW'!$B$3:$FZ$3,"&gt;="&amp;(L$4-2),'30_CASHFLOW'!$B$3:$FZ$3,"&lt;="&amp;L$4)</f>
        <v>0</v>
      </c>
      <c r="M22" s="147">
        <f>SUMIFS('30_CASHFLOW'!$B22:$FZ22,'30_CASHFLOW'!$B$3:$FZ$3,"&gt;="&amp;(M$4-2),'30_CASHFLOW'!$B$3:$FZ$3,"&lt;="&amp;M$4)</f>
        <v>24632.024901666562</v>
      </c>
      <c r="N22" s="147">
        <f>SUMIFS('30_CASHFLOW'!$B22:$FZ22,'30_CASHFLOW'!$B$3:$FZ$3,"&gt;="&amp;(N$4-2),'30_CASHFLOW'!$B$3:$FZ$3,"&lt;="&amp;N$4)</f>
        <v>74073.071291119442</v>
      </c>
      <c r="O22" s="147">
        <f>SUMIFS('30_CASHFLOW'!$B22:$FZ22,'30_CASHFLOW'!$B$3:$FZ$3,"&gt;="&amp;(O$4-2),'30_CASHFLOW'!$B$3:$FZ$3,"&lt;="&amp;O$4)</f>
        <v>74338.566170299106</v>
      </c>
      <c r="P22" s="147">
        <f>SUMIFS('30_CASHFLOW'!$B22:$FZ22,'30_CASHFLOW'!$B$3:$FZ$3,"&gt;="&amp;(P$4-2),'30_CASHFLOW'!$B$3:$FZ$3,"&lt;="&amp;P$4)</f>
        <v>74604.06104947874</v>
      </c>
      <c r="Q22" s="147">
        <f>SUMIFS('30_CASHFLOW'!$B22:$FZ22,'30_CASHFLOW'!$B$3:$FZ$3,"&gt;="&amp;(Q$4-2),'30_CASHFLOW'!$B$3:$FZ$3,"&lt;="&amp;Q$4)</f>
        <v>74869.555928658374</v>
      </c>
      <c r="R22" s="147">
        <f>SUMIFS('30_CASHFLOW'!$B22:$FZ22,'30_CASHFLOW'!$B$3:$FZ$3,"&gt;="&amp;(R$4-2),'30_CASHFLOW'!$B$3:$FZ$3,"&lt;="&amp;R$4)</f>
        <v>75135.050807838008</v>
      </c>
      <c r="S22" s="147">
        <f>SUMIFS('30_CASHFLOW'!$B22:$FZ22,'30_CASHFLOW'!$B$3:$FZ$3,"&gt;="&amp;(S$4-2),'30_CASHFLOW'!$B$3:$FZ$3,"&lt;="&amp;S$4)</f>
        <v>75400.545687017642</v>
      </c>
      <c r="T22" s="147">
        <f>SUMIFS('30_CASHFLOW'!$B22:$FZ22,'30_CASHFLOW'!$B$3:$FZ$3,"&gt;="&amp;(T$4-2),'30_CASHFLOW'!$B$3:$FZ$3,"&lt;="&amp;T$4)</f>
        <v>75666.040566197291</v>
      </c>
      <c r="U22" s="147">
        <f>SUMIFS('30_CASHFLOW'!$B22:$FZ22,'30_CASHFLOW'!$B$3:$FZ$3,"&gt;="&amp;(U$4-2),'30_CASHFLOW'!$B$3:$FZ$3,"&lt;="&amp;U$4)</f>
        <v>75931.535445376925</v>
      </c>
    </row>
    <row r="23" spans="1:21" ht="15.75" hidden="1" thickBot="1" x14ac:dyDescent="0.3">
      <c r="A23" s="154" t="s">
        <v>276</v>
      </c>
      <c r="B23" s="147">
        <f>SUMIFS('30_CASHFLOW'!$B23:$FZ23,'30_CASHFLOW'!$B$3:$FZ$3,"&gt;="&amp;(B$4-2),'30_CASHFLOW'!$B$3:$FZ$3,"&lt;="&amp;B$4)</f>
        <v>0</v>
      </c>
      <c r="C23" s="147">
        <f>SUMIFS('30_CASHFLOW'!$B23:$FZ23,'30_CASHFLOW'!$B$3:$FZ$3,"&gt;="&amp;(C$4-2),'30_CASHFLOW'!$B$3:$FZ$3,"&lt;="&amp;C$4)</f>
        <v>0</v>
      </c>
      <c r="D23" s="147">
        <f>SUMIFS('30_CASHFLOW'!$B23:$FZ23,'30_CASHFLOW'!$B$3:$FZ$3,"&gt;="&amp;(D$4-2),'30_CASHFLOW'!$B$3:$FZ$3,"&lt;="&amp;D$4)</f>
        <v>0</v>
      </c>
      <c r="E23" s="147">
        <f>SUMIFS('30_CASHFLOW'!$B23:$FZ23,'30_CASHFLOW'!$B$3:$FZ$3,"&gt;="&amp;(E$4-2),'30_CASHFLOW'!$B$3:$FZ$3,"&lt;="&amp;E$4)</f>
        <v>0</v>
      </c>
      <c r="F23" s="147">
        <f>SUMIFS('30_CASHFLOW'!$B23:$FZ23,'30_CASHFLOW'!$B$3:$FZ$3,"&gt;="&amp;(F$4-2),'30_CASHFLOW'!$B$3:$FZ$3,"&lt;="&amp;F$4)</f>
        <v>0</v>
      </c>
      <c r="G23" s="147">
        <f>SUMIFS('30_CASHFLOW'!$B23:$FZ23,'30_CASHFLOW'!$B$3:$FZ$3,"&gt;="&amp;(G$4-2),'30_CASHFLOW'!$B$3:$FZ$3,"&lt;="&amp;G$4)</f>
        <v>0</v>
      </c>
      <c r="H23" s="147">
        <f>SUMIFS('30_CASHFLOW'!$B23:$FZ23,'30_CASHFLOW'!$B$3:$FZ$3,"&gt;="&amp;(H$4-2),'30_CASHFLOW'!$B$3:$FZ$3,"&lt;="&amp;H$4)</f>
        <v>0</v>
      </c>
      <c r="I23" s="147">
        <f>SUMIFS('30_CASHFLOW'!$B23:$FZ23,'30_CASHFLOW'!$B$3:$FZ$3,"&gt;="&amp;(I$4-2),'30_CASHFLOW'!$B$3:$FZ$3,"&lt;="&amp;I$4)</f>
        <v>0</v>
      </c>
      <c r="J23" s="147">
        <f>SUMIFS('30_CASHFLOW'!$B23:$FZ23,'30_CASHFLOW'!$B$3:$FZ$3,"&gt;="&amp;(J$4-2),'30_CASHFLOW'!$B$3:$FZ$3,"&lt;="&amp;J$4)</f>
        <v>0</v>
      </c>
      <c r="K23" s="147">
        <f>SUMIFS('30_CASHFLOW'!$B23:$FZ23,'30_CASHFLOW'!$B$3:$FZ$3,"&gt;="&amp;(K$4-2),'30_CASHFLOW'!$B$3:$FZ$3,"&lt;="&amp;K$4)</f>
        <v>0</v>
      </c>
      <c r="L23" s="147">
        <f>SUMIFS('30_CASHFLOW'!$B23:$FZ23,'30_CASHFLOW'!$B$3:$FZ$3,"&gt;="&amp;(L$4-2),'30_CASHFLOW'!$B$3:$FZ$3,"&lt;="&amp;L$4)</f>
        <v>0</v>
      </c>
      <c r="M23" s="147">
        <f>SUMIFS('30_CASHFLOW'!$B23:$FZ23,'30_CASHFLOW'!$B$3:$FZ$3,"&gt;="&amp;(M$4-2),'30_CASHFLOW'!$B$3:$FZ$3,"&lt;="&amp;M$4)</f>
        <v>6896.9669724666383</v>
      </c>
      <c r="N23" s="147">
        <f>SUMIFS('30_CASHFLOW'!$B23:$FZ23,'30_CASHFLOW'!$B$3:$FZ$3,"&gt;="&amp;(N$4-2),'30_CASHFLOW'!$B$3:$FZ$3,"&lt;="&amp;N$4)</f>
        <v>20740.45996151345</v>
      </c>
      <c r="O23" s="147">
        <f>SUMIFS('30_CASHFLOW'!$B23:$FZ23,'30_CASHFLOW'!$B$3:$FZ$3,"&gt;="&amp;(O$4-2),'30_CASHFLOW'!$B$3:$FZ$3,"&lt;="&amp;O$4)</f>
        <v>20814.79852768375</v>
      </c>
      <c r="P23" s="147">
        <f>SUMIFS('30_CASHFLOW'!$B23:$FZ23,'30_CASHFLOW'!$B$3:$FZ$3,"&gt;="&amp;(P$4-2),'30_CASHFLOW'!$B$3:$FZ$3,"&lt;="&amp;P$4)</f>
        <v>20889.137093854046</v>
      </c>
      <c r="Q23" s="147">
        <f>SUMIFS('30_CASHFLOW'!$B23:$FZ23,'30_CASHFLOW'!$B$3:$FZ$3,"&gt;="&amp;(Q$4-2),'30_CASHFLOW'!$B$3:$FZ$3,"&lt;="&amp;Q$4)</f>
        <v>20963.475660024345</v>
      </c>
      <c r="R23" s="147">
        <f>SUMIFS('30_CASHFLOW'!$B23:$FZ23,'30_CASHFLOW'!$B$3:$FZ$3,"&gt;="&amp;(R$4-2),'30_CASHFLOW'!$B$3:$FZ$3,"&lt;="&amp;R$4)</f>
        <v>21037.814226194645</v>
      </c>
      <c r="S23" s="147">
        <f>SUMIFS('30_CASHFLOW'!$B23:$FZ23,'30_CASHFLOW'!$B$3:$FZ$3,"&gt;="&amp;(S$4-2),'30_CASHFLOW'!$B$3:$FZ$3,"&lt;="&amp;S$4)</f>
        <v>21112.152792364945</v>
      </c>
      <c r="T23" s="147">
        <f>SUMIFS('30_CASHFLOW'!$B23:$FZ23,'30_CASHFLOW'!$B$3:$FZ$3,"&gt;="&amp;(T$4-2),'30_CASHFLOW'!$B$3:$FZ$3,"&lt;="&amp;T$4)</f>
        <v>21186.491358535241</v>
      </c>
      <c r="U23" s="147">
        <f>SUMIFS('30_CASHFLOW'!$B23:$FZ23,'30_CASHFLOW'!$B$3:$FZ$3,"&gt;="&amp;(U$4-2),'30_CASHFLOW'!$B$3:$FZ$3,"&lt;="&amp;U$4)</f>
        <v>21260.82992470554</v>
      </c>
    </row>
    <row r="24" spans="1:21" ht="15.75" hidden="1" thickBot="1" x14ac:dyDescent="0.3">
      <c r="A24" s="154" t="s">
        <v>277</v>
      </c>
      <c r="B24" s="16">
        <f>SUMIFS('30_CASHFLOW'!$B24:$FZ24,'30_CASHFLOW'!$B$3:$FZ$3,"&gt;="&amp;(B$4-2),'30_CASHFLOW'!$B$3:$FZ$3,"&lt;="&amp;B$4)</f>
        <v>0</v>
      </c>
      <c r="C24" s="16">
        <f>SUMIFS('30_CASHFLOW'!$B24:$FZ24,'30_CASHFLOW'!$B$3:$FZ$3,"&gt;="&amp;(C$4-2),'30_CASHFLOW'!$B$3:$FZ$3,"&lt;="&amp;C$4)</f>
        <v>0</v>
      </c>
      <c r="D24" s="16">
        <f>SUMIFS('30_CASHFLOW'!$B24:$FZ24,'30_CASHFLOW'!$B$3:$FZ$3,"&gt;="&amp;(D$4-2),'30_CASHFLOW'!$B$3:$FZ$3,"&lt;="&amp;D$4)</f>
        <v>0</v>
      </c>
      <c r="E24" s="16">
        <f>SUMIFS('30_CASHFLOW'!$B24:$FZ24,'30_CASHFLOW'!$B$3:$FZ$3,"&gt;="&amp;(E$4-2),'30_CASHFLOW'!$B$3:$FZ$3,"&lt;="&amp;E$4)</f>
        <v>0</v>
      </c>
      <c r="F24" s="16">
        <f>SUMIFS('30_CASHFLOW'!$B24:$FZ24,'30_CASHFLOW'!$B$3:$FZ$3,"&gt;="&amp;(F$4-2),'30_CASHFLOW'!$B$3:$FZ$3,"&lt;="&amp;F$4)</f>
        <v>0</v>
      </c>
      <c r="G24" s="16">
        <f>SUMIFS('30_CASHFLOW'!$B24:$FZ24,'30_CASHFLOW'!$B$3:$FZ$3,"&gt;="&amp;(G$4-2),'30_CASHFLOW'!$B$3:$FZ$3,"&lt;="&amp;G$4)</f>
        <v>0</v>
      </c>
      <c r="H24" s="16">
        <f>SUMIFS('30_CASHFLOW'!$B24:$FZ24,'30_CASHFLOW'!$B$3:$FZ$3,"&gt;="&amp;(H$4-2),'30_CASHFLOW'!$B$3:$FZ$3,"&lt;="&amp;H$4)</f>
        <v>0</v>
      </c>
      <c r="I24" s="16">
        <f>SUMIFS('30_CASHFLOW'!$B24:$FZ24,'30_CASHFLOW'!$B$3:$FZ$3,"&gt;="&amp;(I$4-2),'30_CASHFLOW'!$B$3:$FZ$3,"&lt;="&amp;I$4)</f>
        <v>0</v>
      </c>
      <c r="J24" s="16">
        <f>SUMIFS('30_CASHFLOW'!$B24:$FZ24,'30_CASHFLOW'!$B$3:$FZ$3,"&gt;="&amp;(J$4-2),'30_CASHFLOW'!$B$3:$FZ$3,"&lt;="&amp;J$4)</f>
        <v>0</v>
      </c>
      <c r="K24" s="16">
        <f>SUMIFS('30_CASHFLOW'!$B24:$FZ24,'30_CASHFLOW'!$B$3:$FZ$3,"&gt;="&amp;(K$4-2),'30_CASHFLOW'!$B$3:$FZ$3,"&lt;="&amp;K$4)</f>
        <v>0</v>
      </c>
      <c r="L24" s="16">
        <f>SUMIFS('30_CASHFLOW'!$B24:$FZ24,'30_CASHFLOW'!$B$3:$FZ$3,"&gt;="&amp;(L$4-2),'30_CASHFLOW'!$B$3:$FZ$3,"&lt;="&amp;L$4)</f>
        <v>0</v>
      </c>
      <c r="M24" s="16">
        <f>SUMIFS('30_CASHFLOW'!$B24:$FZ24,'30_CASHFLOW'!$B$3:$FZ$3,"&gt;="&amp;(M$4-2),'30_CASHFLOW'!$B$3:$FZ$3,"&lt;="&amp;M$4)</f>
        <v>17735.057929199924</v>
      </c>
      <c r="N24" s="16">
        <f>SUMIFS('30_CASHFLOW'!$B24:$FZ24,'30_CASHFLOW'!$B$3:$FZ$3,"&gt;="&amp;(N$4-2),'30_CASHFLOW'!$B$3:$FZ$3,"&lt;="&amp;N$4)</f>
        <v>53332.611329606007</v>
      </c>
      <c r="O24" s="16">
        <f>SUMIFS('30_CASHFLOW'!$B24:$FZ24,'30_CASHFLOW'!$B$3:$FZ$3,"&gt;="&amp;(O$4-2),'30_CASHFLOW'!$B$3:$FZ$3,"&lt;="&amp;O$4)</f>
        <v>53523.767642615341</v>
      </c>
      <c r="P24" s="16">
        <f>SUMIFS('30_CASHFLOW'!$B24:$FZ24,'30_CASHFLOW'!$B$3:$FZ$3,"&gt;="&amp;(P$4-2),'30_CASHFLOW'!$B$3:$FZ$3,"&lt;="&amp;P$4)</f>
        <v>53714.923955624683</v>
      </c>
      <c r="Q24" s="16">
        <f>SUMIFS('30_CASHFLOW'!$B24:$FZ24,'30_CASHFLOW'!$B$3:$FZ$3,"&gt;="&amp;(Q$4-2),'30_CASHFLOW'!$B$3:$FZ$3,"&lt;="&amp;Q$4)</f>
        <v>53906.080268634025</v>
      </c>
      <c r="R24" s="16">
        <f>SUMIFS('30_CASHFLOW'!$B24:$FZ24,'30_CASHFLOW'!$B$3:$FZ$3,"&gt;="&amp;(R$4-2),'30_CASHFLOW'!$B$3:$FZ$3,"&lt;="&amp;R$4)</f>
        <v>54097.236581643367</v>
      </c>
      <c r="S24" s="16">
        <f>SUMIFS('30_CASHFLOW'!$B24:$FZ24,'30_CASHFLOW'!$B$3:$FZ$3,"&gt;="&amp;(S$4-2),'30_CASHFLOW'!$B$3:$FZ$3,"&lt;="&amp;S$4)</f>
        <v>54288.392894652701</v>
      </c>
      <c r="T24" s="16">
        <f>SUMIFS('30_CASHFLOW'!$B24:$FZ24,'30_CASHFLOW'!$B$3:$FZ$3,"&gt;="&amp;(T$4-2),'30_CASHFLOW'!$B$3:$FZ$3,"&lt;="&amp;T$4)</f>
        <v>54479.54920766205</v>
      </c>
      <c r="U24" s="16">
        <f>SUMIFS('30_CASHFLOW'!$B24:$FZ24,'30_CASHFLOW'!$B$3:$FZ$3,"&gt;="&amp;(U$4-2),'30_CASHFLOW'!$B$3:$FZ$3,"&lt;="&amp;U$4)</f>
        <v>54670.705520671385</v>
      </c>
    </row>
    <row r="25" spans="1:21" ht="15.75" hidden="1" thickBot="1" x14ac:dyDescent="0.3">
      <c r="A25" s="154" t="s">
        <v>278</v>
      </c>
      <c r="B25" s="16">
        <f>SUMIFS('30_CASHFLOW'!$B25:$FZ25,'30_CASHFLOW'!$B$3:$FZ$3,"&gt;="&amp;(B$4-2),'30_CASHFLOW'!$B$3:$FZ$3,"&lt;="&amp;B$4)</f>
        <v>0</v>
      </c>
      <c r="C25" s="16">
        <f>SUMIFS('30_CASHFLOW'!$B25:$FZ25,'30_CASHFLOW'!$B$3:$FZ$3,"&gt;="&amp;(C$4-2),'30_CASHFLOW'!$B$3:$FZ$3,"&lt;="&amp;C$4)</f>
        <v>0</v>
      </c>
      <c r="D25" s="16">
        <f>SUMIFS('30_CASHFLOW'!$B25:$FZ25,'30_CASHFLOW'!$B$3:$FZ$3,"&gt;="&amp;(D$4-2),'30_CASHFLOW'!$B$3:$FZ$3,"&lt;="&amp;D$4)</f>
        <v>0</v>
      </c>
      <c r="E25" s="16">
        <f>SUMIFS('30_CASHFLOW'!$B25:$FZ25,'30_CASHFLOW'!$B$3:$FZ$3,"&gt;="&amp;(E$4-2),'30_CASHFLOW'!$B$3:$FZ$3,"&lt;="&amp;E$4)</f>
        <v>0</v>
      </c>
      <c r="F25" s="16">
        <f>SUMIFS('30_CASHFLOW'!$B25:$FZ25,'30_CASHFLOW'!$B$3:$FZ$3,"&gt;="&amp;(F$4-2),'30_CASHFLOW'!$B$3:$FZ$3,"&lt;="&amp;F$4)</f>
        <v>0</v>
      </c>
      <c r="G25" s="16">
        <f>SUMIFS('30_CASHFLOW'!$B25:$FZ25,'30_CASHFLOW'!$B$3:$FZ$3,"&gt;="&amp;(G$4-2),'30_CASHFLOW'!$B$3:$FZ$3,"&lt;="&amp;G$4)</f>
        <v>0</v>
      </c>
      <c r="H25" s="16">
        <f>SUMIFS('30_CASHFLOW'!$B25:$FZ25,'30_CASHFLOW'!$B$3:$FZ$3,"&gt;="&amp;(H$4-2),'30_CASHFLOW'!$B$3:$FZ$3,"&lt;="&amp;H$4)</f>
        <v>0</v>
      </c>
      <c r="I25" s="16">
        <f>SUMIFS('30_CASHFLOW'!$B25:$FZ25,'30_CASHFLOW'!$B$3:$FZ$3,"&gt;="&amp;(I$4-2),'30_CASHFLOW'!$B$3:$FZ$3,"&lt;="&amp;I$4)</f>
        <v>0</v>
      </c>
      <c r="J25" s="16">
        <f>SUMIFS('30_CASHFLOW'!$B25:$FZ25,'30_CASHFLOW'!$B$3:$FZ$3,"&gt;="&amp;(J$4-2),'30_CASHFLOW'!$B$3:$FZ$3,"&lt;="&amp;J$4)</f>
        <v>0</v>
      </c>
      <c r="K25" s="16">
        <f>SUMIFS('30_CASHFLOW'!$B25:$FZ25,'30_CASHFLOW'!$B$3:$FZ$3,"&gt;="&amp;(K$4-2),'30_CASHFLOW'!$B$3:$FZ$3,"&lt;="&amp;K$4)</f>
        <v>0</v>
      </c>
      <c r="L25" s="16">
        <f>SUMIFS('30_CASHFLOW'!$B25:$FZ25,'30_CASHFLOW'!$B$3:$FZ$3,"&gt;="&amp;(L$4-2),'30_CASHFLOW'!$B$3:$FZ$3,"&lt;="&amp;L$4)</f>
        <v>0</v>
      </c>
      <c r="M25" s="16">
        <f>SUMIFS('30_CASHFLOW'!$B25:$FZ25,'30_CASHFLOW'!$B$3:$FZ$3,"&gt;="&amp;(M$4-2),'30_CASHFLOW'!$B$3:$FZ$3,"&lt;="&amp;M$4)</f>
        <v>0</v>
      </c>
      <c r="N25" s="16">
        <f>SUMIFS('30_CASHFLOW'!$B25:$FZ25,'30_CASHFLOW'!$B$3:$FZ$3,"&gt;="&amp;(N$4-2),'30_CASHFLOW'!$B$3:$FZ$3,"&lt;="&amp;N$4)</f>
        <v>0</v>
      </c>
      <c r="O25" s="16">
        <f>SUMIFS('30_CASHFLOW'!$B25:$FZ25,'30_CASHFLOW'!$B$3:$FZ$3,"&gt;="&amp;(O$4-2),'30_CASHFLOW'!$B$3:$FZ$3,"&lt;="&amp;O$4)</f>
        <v>0</v>
      </c>
      <c r="P25" s="16">
        <f>SUMIFS('30_CASHFLOW'!$B25:$FZ25,'30_CASHFLOW'!$B$3:$FZ$3,"&gt;="&amp;(P$4-2),'30_CASHFLOW'!$B$3:$FZ$3,"&lt;="&amp;P$4)</f>
        <v>0</v>
      </c>
      <c r="Q25" s="16">
        <f>SUMIFS('30_CASHFLOW'!$B25:$FZ25,'30_CASHFLOW'!$B$3:$FZ$3,"&gt;="&amp;(Q$4-2),'30_CASHFLOW'!$B$3:$FZ$3,"&lt;="&amp;Q$4)</f>
        <v>0</v>
      </c>
      <c r="R25" s="16">
        <f>SUMIFS('30_CASHFLOW'!$B25:$FZ25,'30_CASHFLOW'!$B$3:$FZ$3,"&gt;="&amp;(R$4-2),'30_CASHFLOW'!$B$3:$FZ$3,"&lt;="&amp;R$4)</f>
        <v>0</v>
      </c>
      <c r="S25" s="16">
        <f>SUMIFS('30_CASHFLOW'!$B25:$FZ25,'30_CASHFLOW'!$B$3:$FZ$3,"&gt;="&amp;(S$4-2),'30_CASHFLOW'!$B$3:$FZ$3,"&lt;="&amp;S$4)</f>
        <v>0</v>
      </c>
      <c r="T25" s="16">
        <f>SUMIFS('30_CASHFLOW'!$B25:$FZ25,'30_CASHFLOW'!$B$3:$FZ$3,"&gt;="&amp;(T$4-2),'30_CASHFLOW'!$B$3:$FZ$3,"&lt;="&amp;T$4)</f>
        <v>0</v>
      </c>
      <c r="U25" s="16">
        <f>SUMIFS('30_CASHFLOW'!$B25:$FZ25,'30_CASHFLOW'!$B$3:$FZ$3,"&gt;="&amp;(U$4-2),'30_CASHFLOW'!$B$3:$FZ$3,"&lt;="&amp;U$4)</f>
        <v>0</v>
      </c>
    </row>
    <row r="26" spans="1:21" ht="15.75" hidden="1" thickBot="1" x14ac:dyDescent="0.3">
      <c r="A26" s="155" t="s">
        <v>279</v>
      </c>
      <c r="B26" s="156">
        <f>SUMIFS('30_CASHFLOW'!$B26:$FZ26,'30_CASHFLOW'!$B$3:$FZ$3,"&gt;="&amp;(B$4-2),'30_CASHFLOW'!$B$3:$FZ$3,"&lt;="&amp;B$4)</f>
        <v>-1183546</v>
      </c>
      <c r="C26" s="156">
        <f>SUMIFS('30_CASHFLOW'!$B26:$FZ26,'30_CASHFLOW'!$B$3:$FZ$3,"&gt;="&amp;(C$4-2),'30_CASHFLOW'!$B$3:$FZ$3,"&lt;="&amp;C$4)</f>
        <v>0</v>
      </c>
      <c r="D26" s="156">
        <f>SUMIFS('30_CASHFLOW'!$B26:$FZ26,'30_CASHFLOW'!$B$3:$FZ$3,"&gt;="&amp;(D$4-2),'30_CASHFLOW'!$B$3:$FZ$3,"&lt;="&amp;D$4)</f>
        <v>0</v>
      </c>
      <c r="E26" s="156">
        <f>SUMIFS('30_CASHFLOW'!$B26:$FZ26,'30_CASHFLOW'!$B$3:$FZ$3,"&gt;="&amp;(E$4-2),'30_CASHFLOW'!$B$3:$FZ$3,"&lt;="&amp;E$4)</f>
        <v>-269680.32000000007</v>
      </c>
      <c r="F26" s="156">
        <f>SUMIFS('30_CASHFLOW'!$B26:$FZ26,'30_CASHFLOW'!$B$3:$FZ$3,"&gt;="&amp;(F$4-2),'30_CASHFLOW'!$B$3:$FZ$3,"&lt;="&amp;F$4)</f>
        <v>-809040.9600000002</v>
      </c>
      <c r="G26" s="156">
        <f>SUMIFS('30_CASHFLOW'!$B26:$FZ26,'30_CASHFLOW'!$B$3:$FZ$3,"&gt;="&amp;(G$4-2),'30_CASHFLOW'!$B$3:$FZ$3,"&lt;="&amp;G$4)</f>
        <v>-809040.9600000002</v>
      </c>
      <c r="H26" s="156">
        <f>SUMIFS('30_CASHFLOW'!$B26:$FZ26,'30_CASHFLOW'!$B$3:$FZ$3,"&gt;="&amp;(H$4-2),'30_CASHFLOW'!$B$3:$FZ$3,"&lt;="&amp;H$4)</f>
        <v>-809040.9600000002</v>
      </c>
      <c r="I26" s="156">
        <f>SUMIFS('30_CASHFLOW'!$B26:$FZ26,'30_CASHFLOW'!$B$3:$FZ$3,"&gt;="&amp;(I$4-2),'30_CASHFLOW'!$B$3:$FZ$3,"&lt;="&amp;I$4)</f>
        <v>-809040.9600000002</v>
      </c>
      <c r="J26" s="156">
        <f>SUMIFS('30_CASHFLOW'!$B26:$FZ26,'30_CASHFLOW'!$B$3:$FZ$3,"&gt;="&amp;(J$4-2),'30_CASHFLOW'!$B$3:$FZ$3,"&lt;="&amp;J$4)</f>
        <v>-809040.9600000002</v>
      </c>
      <c r="K26" s="156">
        <f>SUMIFS('30_CASHFLOW'!$B26:$FZ26,'30_CASHFLOW'!$B$3:$FZ$3,"&gt;="&amp;(K$4-2),'30_CASHFLOW'!$B$3:$FZ$3,"&lt;="&amp;K$4)</f>
        <v>-809040.9600000002</v>
      </c>
      <c r="L26" s="156">
        <f>SUMIFS('30_CASHFLOW'!$B26:$FZ26,'30_CASHFLOW'!$B$3:$FZ$3,"&gt;="&amp;(L$4-2),'30_CASHFLOW'!$B$3:$FZ$3,"&lt;="&amp;L$4)</f>
        <v>-809040.9600000002</v>
      </c>
      <c r="M26" s="156">
        <f>SUMIFS('30_CASHFLOW'!$B26:$FZ26,'30_CASHFLOW'!$B$3:$FZ$3,"&gt;="&amp;(M$4-2),'30_CASHFLOW'!$B$3:$FZ$3,"&lt;="&amp;M$4)</f>
        <v>-521625.58207080018</v>
      </c>
      <c r="N26" s="156">
        <f>SUMIFS('30_CASHFLOW'!$B26:$FZ26,'30_CASHFLOW'!$B$3:$FZ$3,"&gt;="&amp;(N$4-2),'30_CASHFLOW'!$B$3:$FZ$3,"&lt;="&amp;N$4)</f>
        <v>53332.611329606007</v>
      </c>
      <c r="O26" s="156">
        <f>SUMIFS('30_CASHFLOW'!$B26:$FZ26,'30_CASHFLOW'!$B$3:$FZ$3,"&gt;="&amp;(O$4-2),'30_CASHFLOW'!$B$3:$FZ$3,"&lt;="&amp;O$4)</f>
        <v>53523.767642615341</v>
      </c>
      <c r="P26" s="156">
        <f>SUMIFS('30_CASHFLOW'!$B26:$FZ26,'30_CASHFLOW'!$B$3:$FZ$3,"&gt;="&amp;(P$4-2),'30_CASHFLOW'!$B$3:$FZ$3,"&lt;="&amp;P$4)</f>
        <v>53714.923955624683</v>
      </c>
      <c r="Q26" s="156">
        <f>SUMIFS('30_CASHFLOW'!$B26:$FZ26,'30_CASHFLOW'!$B$3:$FZ$3,"&gt;="&amp;(Q$4-2),'30_CASHFLOW'!$B$3:$FZ$3,"&lt;="&amp;Q$4)</f>
        <v>53906.080268634025</v>
      </c>
      <c r="R26" s="156">
        <f>SUMIFS('30_CASHFLOW'!$B26:$FZ26,'30_CASHFLOW'!$B$3:$FZ$3,"&gt;="&amp;(R$4-2),'30_CASHFLOW'!$B$3:$FZ$3,"&lt;="&amp;R$4)</f>
        <v>54097.236581643367</v>
      </c>
      <c r="S26" s="156">
        <f>SUMIFS('30_CASHFLOW'!$B26:$FZ26,'30_CASHFLOW'!$B$3:$FZ$3,"&gt;="&amp;(S$4-2),'30_CASHFLOW'!$B$3:$FZ$3,"&lt;="&amp;S$4)</f>
        <v>54288.392894652701</v>
      </c>
      <c r="T26" s="156">
        <f>SUMIFS('30_CASHFLOW'!$B26:$FZ26,'30_CASHFLOW'!$B$3:$FZ$3,"&gt;="&amp;(T$4-2),'30_CASHFLOW'!$B$3:$FZ$3,"&lt;="&amp;T$4)</f>
        <v>54479.54920766205</v>
      </c>
      <c r="U26" s="156">
        <f>SUMIFS('30_CASHFLOW'!$B26:$FZ26,'30_CASHFLOW'!$B$3:$FZ$3,"&gt;="&amp;(U$4-2),'30_CASHFLOW'!$B$3:$FZ$3,"&lt;="&amp;U$4)</f>
        <v>54670.705520671385</v>
      </c>
    </row>
    <row r="27" spans="1:21" ht="15.75" customHeight="1" thickTop="1" x14ac:dyDescent="0.25">
      <c r="A27" s="250" t="s">
        <v>282</v>
      </c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</row>
    <row r="28" spans="1:21" x14ac:dyDescent="0.25">
      <c r="A28" s="203" t="s">
        <v>283</v>
      </c>
      <c r="B28" s="204">
        <f>SUMIFS('30_CASHFLOW'!$B28:$FZ28,'30_CASHFLOW'!$B$3:$FZ$3,"&gt;="&amp;(B$4-2),'30_CASHFLOW'!$B$3:$FZ$3,"&lt;="&amp;B$4)</f>
        <v>1183546</v>
      </c>
      <c r="C28" s="204">
        <f>SUMIFS('30_CASHFLOW'!$B28:$FZ28,'30_CASHFLOW'!$B$3:$FZ$3,"&gt;="&amp;(C$4-2),'30_CASHFLOW'!$B$3:$FZ$3,"&lt;="&amp;C$4)</f>
        <v>0</v>
      </c>
      <c r="D28" s="204">
        <f>SUMIFS('30_CASHFLOW'!$B28:$FZ28,'30_CASHFLOW'!$B$3:$FZ$3,"&gt;="&amp;(D$4-2),'30_CASHFLOW'!$B$3:$FZ$3,"&lt;="&amp;D$4)</f>
        <v>0</v>
      </c>
      <c r="E28" s="204">
        <f>SUMIFS('30_CASHFLOW'!$B28:$FZ28,'30_CASHFLOW'!$B$3:$FZ$3,"&gt;="&amp;(E$4-2),'30_CASHFLOW'!$B$3:$FZ$3,"&lt;="&amp;E$4)</f>
        <v>33305.519520000031</v>
      </c>
      <c r="F28" s="204">
        <f>SUMIFS('30_CASHFLOW'!$B28:$FZ28,'30_CASHFLOW'!$B$3:$FZ$3,"&gt;="&amp;(F$4-2),'30_CASHFLOW'!$B$3:$FZ$3,"&lt;="&amp;F$4)</f>
        <v>4584.5654400000049</v>
      </c>
      <c r="G28" s="204">
        <f>SUMIFS('30_CASHFLOW'!$B28:$FZ28,'30_CASHFLOW'!$B$3:$FZ$3,"&gt;="&amp;(G$4-2),'30_CASHFLOW'!$B$3:$FZ$3,"&lt;="&amp;G$4)</f>
        <v>3573.2642400000041</v>
      </c>
      <c r="H28" s="204">
        <f>SUMIFS('30_CASHFLOW'!$B28:$FZ28,'30_CASHFLOW'!$B$3:$FZ$3,"&gt;="&amp;(H$4-2),'30_CASHFLOW'!$B$3:$FZ$3,"&lt;="&amp;H$4)</f>
        <v>2561.9630400000033</v>
      </c>
      <c r="I28" s="204">
        <f>SUMIFS('30_CASHFLOW'!$B28:$FZ28,'30_CASHFLOW'!$B$3:$FZ$3,"&gt;="&amp;(I$4-2),'30_CASHFLOW'!$B$3:$FZ$3,"&lt;="&amp;I$4)</f>
        <v>1146.1413600000019</v>
      </c>
      <c r="J28" s="204">
        <f>SUMIFS('30_CASHFLOW'!$B28:$FZ28,'30_CASHFLOW'!$B$3:$FZ$3,"&gt;="&amp;(J$4-2),'30_CASHFLOW'!$B$3:$FZ$3,"&lt;="&amp;J$4)</f>
        <v>0</v>
      </c>
      <c r="K28" s="204">
        <f>SUMIFS('30_CASHFLOW'!$B28:$FZ28,'30_CASHFLOW'!$B$3:$FZ$3,"&gt;="&amp;(K$4-2),'30_CASHFLOW'!$B$3:$FZ$3,"&lt;="&amp;K$4)</f>
        <v>233790.9600000002</v>
      </c>
      <c r="L28" s="204">
        <f>SUMIFS('30_CASHFLOW'!$B28:$FZ28,'30_CASHFLOW'!$B$3:$FZ$3,"&gt;="&amp;(L$4-2),'30_CASHFLOW'!$B$3:$FZ$3,"&lt;="&amp;L$4)</f>
        <v>233790.9600000002</v>
      </c>
      <c r="M28" s="204">
        <f>SUMIFS('30_CASHFLOW'!$B28:$FZ28,'30_CASHFLOW'!$B$3:$FZ$3,"&gt;="&amp;(M$4-2),'30_CASHFLOW'!$B$3:$FZ$3,"&lt;="&amp;M$4)</f>
        <v>184460.64000000013</v>
      </c>
      <c r="N28" s="204">
        <f>SUMIFS('30_CASHFLOW'!$B28:$FZ28,'30_CASHFLOW'!$B$3:$FZ$3,"&gt;="&amp;(N$4-2),'30_CASHFLOW'!$B$3:$FZ$3,"&lt;="&amp;N$4)</f>
        <v>0</v>
      </c>
      <c r="O28" s="204">
        <f>SUMIFS('30_CASHFLOW'!$B28:$FZ28,'30_CASHFLOW'!$B$3:$FZ$3,"&gt;="&amp;(O$4-2),'30_CASHFLOW'!$B$3:$FZ$3,"&lt;="&amp;O$4)</f>
        <v>0</v>
      </c>
      <c r="P28" s="204">
        <f>SUMIFS('30_CASHFLOW'!$B28:$FZ28,'30_CASHFLOW'!$B$3:$FZ$3,"&gt;="&amp;(P$4-2),'30_CASHFLOW'!$B$3:$FZ$3,"&lt;="&amp;P$4)</f>
        <v>0</v>
      </c>
      <c r="Q28" s="204">
        <f>SUMIFS('30_CASHFLOW'!$B28:$FZ28,'30_CASHFLOW'!$B$3:$FZ$3,"&gt;="&amp;(Q$4-2),'30_CASHFLOW'!$B$3:$FZ$3,"&lt;="&amp;Q$4)</f>
        <v>0</v>
      </c>
      <c r="R28" s="204">
        <f>SUMIFS('30_CASHFLOW'!$B28:$FZ28,'30_CASHFLOW'!$B$3:$FZ$3,"&gt;="&amp;(R$4-2),'30_CASHFLOW'!$B$3:$FZ$3,"&lt;="&amp;R$4)</f>
        <v>0</v>
      </c>
      <c r="S28" s="204">
        <f>SUMIFS('30_CASHFLOW'!$B28:$FZ28,'30_CASHFLOW'!$B$3:$FZ$3,"&gt;="&amp;(S$4-2),'30_CASHFLOW'!$B$3:$FZ$3,"&lt;="&amp;S$4)</f>
        <v>0</v>
      </c>
      <c r="T28" s="204">
        <f>SUMIFS('30_CASHFLOW'!$B28:$FZ28,'30_CASHFLOW'!$B$3:$FZ$3,"&gt;="&amp;(T$4-2),'30_CASHFLOW'!$B$3:$FZ$3,"&lt;="&amp;T$4)</f>
        <v>0</v>
      </c>
      <c r="U28" s="204">
        <f>SUMIFS('30_CASHFLOW'!$B28:$FZ28,'30_CASHFLOW'!$B$3:$FZ$3,"&gt;="&amp;(U$4-2),'30_CASHFLOW'!$B$3:$FZ$3,"&lt;="&amp;U$4)</f>
        <v>0</v>
      </c>
    </row>
    <row r="29" spans="1:21" ht="15.75" customHeight="1" x14ac:dyDescent="0.25">
      <c r="A29" s="216" t="s">
        <v>284</v>
      </c>
      <c r="B29" s="215">
        <f>SUMIFS('30_CASHFLOW'!$B29:$FZ29,'30_CASHFLOW'!$B$3:$FZ$3,"&gt;="&amp;(B$4-2),'30_CASHFLOW'!$B$3:$FZ$3,"&lt;="&amp;B$4)</f>
        <v>0</v>
      </c>
      <c r="C29" s="215">
        <f>SUMIFS('30_CASHFLOW'!$B29:$FZ29,'30_CASHFLOW'!$B$3:$FZ$3,"&gt;="&amp;(C$4-2),'30_CASHFLOW'!$B$3:$FZ$3,"&lt;="&amp;C$4)</f>
        <v>0</v>
      </c>
      <c r="D29" s="215">
        <f>SUMIFS('30_CASHFLOW'!$B29:$FZ29,'30_CASHFLOW'!$B$3:$FZ$3,"&gt;="&amp;(D$4-2),'30_CASHFLOW'!$B$3:$FZ$3,"&lt;="&amp;D$4)</f>
        <v>0</v>
      </c>
      <c r="E29" s="215">
        <f>SUMIFS('30_CASHFLOW'!$B29:$FZ29,'30_CASHFLOW'!$B$3:$FZ$3,"&gt;="&amp;(E$4-2),'30_CASHFLOW'!$B$3:$FZ$3,"&lt;="&amp;E$4)</f>
        <v>269680.32000000007</v>
      </c>
      <c r="F29" s="215">
        <f>SUMIFS('30_CASHFLOW'!$B29:$FZ29,'30_CASHFLOW'!$B$3:$FZ$3,"&gt;="&amp;(F$4-2),'30_CASHFLOW'!$B$3:$FZ$3,"&lt;="&amp;F$4)</f>
        <v>809040.9600000002</v>
      </c>
      <c r="G29" s="215">
        <f>SUMIFS('30_CASHFLOW'!$B29:$FZ29,'30_CASHFLOW'!$B$3:$FZ$3,"&gt;="&amp;(G$4-2),'30_CASHFLOW'!$B$3:$FZ$3,"&lt;="&amp;G$4)</f>
        <v>809040.9600000002</v>
      </c>
      <c r="H29" s="215">
        <f>SUMIFS('30_CASHFLOW'!$B29:$FZ29,'30_CASHFLOW'!$B$3:$FZ$3,"&gt;="&amp;(H$4-2),'30_CASHFLOW'!$B$3:$FZ$3,"&lt;="&amp;H$4)</f>
        <v>809040.9600000002</v>
      </c>
      <c r="I29" s="215">
        <f>SUMIFS('30_CASHFLOW'!$B29:$FZ29,'30_CASHFLOW'!$B$3:$FZ$3,"&gt;="&amp;(I$4-2),'30_CASHFLOW'!$B$3:$FZ$3,"&lt;="&amp;I$4)</f>
        <v>809040.9600000002</v>
      </c>
      <c r="J29" s="215">
        <f>SUMIFS('30_CASHFLOW'!$B29:$FZ29,'30_CASHFLOW'!$B$3:$FZ$3,"&gt;="&amp;(J$4-2),'30_CASHFLOW'!$B$3:$FZ$3,"&lt;="&amp;J$4)</f>
        <v>701168.83200000087</v>
      </c>
      <c r="K29" s="215">
        <f>SUMIFS('30_CASHFLOW'!$B29:$FZ29,'30_CASHFLOW'!$B$3:$FZ$3,"&gt;="&amp;(K$4-2),'30_CASHFLOW'!$B$3:$FZ$3,"&lt;="&amp;K$4)</f>
        <v>0</v>
      </c>
      <c r="L29" s="215">
        <f>SUMIFS('30_CASHFLOW'!$B29:$FZ29,'30_CASHFLOW'!$B$3:$FZ$3,"&gt;="&amp;(L$4-2),'30_CASHFLOW'!$B$3:$FZ$3,"&lt;="&amp;L$4)</f>
        <v>0</v>
      </c>
      <c r="M29" s="215">
        <f>SUMIFS('30_CASHFLOW'!$B29:$FZ29,'30_CASHFLOW'!$B$3:$FZ$3,"&gt;="&amp;(M$4-2),'30_CASHFLOW'!$B$3:$FZ$3,"&lt;="&amp;M$4)</f>
        <v>0</v>
      </c>
      <c r="N29" s="215">
        <f>SUMIFS('30_CASHFLOW'!$B29:$FZ29,'30_CASHFLOW'!$B$3:$FZ$3,"&gt;="&amp;(N$4-2),'30_CASHFLOW'!$B$3:$FZ$3,"&lt;="&amp;N$4)</f>
        <v>0</v>
      </c>
      <c r="O29" s="215">
        <f>SUMIFS('30_CASHFLOW'!$B29:$FZ29,'30_CASHFLOW'!$B$3:$FZ$3,"&gt;="&amp;(O$4-2),'30_CASHFLOW'!$B$3:$FZ$3,"&lt;="&amp;O$4)</f>
        <v>0</v>
      </c>
      <c r="P29" s="215">
        <f>SUMIFS('30_CASHFLOW'!$B29:$FZ29,'30_CASHFLOW'!$B$3:$FZ$3,"&gt;="&amp;(P$4-2),'30_CASHFLOW'!$B$3:$FZ$3,"&lt;="&amp;P$4)</f>
        <v>0</v>
      </c>
      <c r="Q29" s="215">
        <f>SUMIFS('30_CASHFLOW'!$B29:$FZ29,'30_CASHFLOW'!$B$3:$FZ$3,"&gt;="&amp;(Q$4-2),'30_CASHFLOW'!$B$3:$FZ$3,"&lt;="&amp;Q$4)</f>
        <v>0</v>
      </c>
      <c r="R29" s="215">
        <f>SUMIFS('30_CASHFLOW'!$B29:$FZ29,'30_CASHFLOW'!$B$3:$FZ$3,"&gt;="&amp;(R$4-2),'30_CASHFLOW'!$B$3:$FZ$3,"&lt;="&amp;R$4)</f>
        <v>0</v>
      </c>
      <c r="S29" s="215">
        <f>SUMIFS('30_CASHFLOW'!$B29:$FZ29,'30_CASHFLOW'!$B$3:$FZ$3,"&gt;="&amp;(S$4-2),'30_CASHFLOW'!$B$3:$FZ$3,"&lt;="&amp;S$4)</f>
        <v>0</v>
      </c>
      <c r="T29" s="215">
        <f>SUMIFS('30_CASHFLOW'!$B29:$FZ29,'30_CASHFLOW'!$B$3:$FZ$3,"&gt;="&amp;(T$4-2),'30_CASHFLOW'!$B$3:$FZ$3,"&lt;="&amp;T$4)</f>
        <v>0</v>
      </c>
      <c r="U29" s="215">
        <f>SUMIFS('30_CASHFLOW'!$B29:$FZ29,'30_CASHFLOW'!$B$3:$FZ$3,"&gt;="&amp;(U$4-2),'30_CASHFLOW'!$B$3:$FZ$3,"&lt;="&amp;U$4)</f>
        <v>0</v>
      </c>
    </row>
    <row r="30" spans="1:21" ht="16.5" customHeight="1" thickBot="1" x14ac:dyDescent="0.3">
      <c r="A30" s="214" t="s">
        <v>285</v>
      </c>
      <c r="B30" s="204">
        <f>SUMIFS('30_CASHFLOW'!$B30:$FZ30,'30_CASHFLOW'!$B$3:$FZ$3,"&gt;="&amp;(B$4-2),'30_CASHFLOW'!$B$3:$FZ$3,"&lt;="&amp;B$4)</f>
        <v>1183546</v>
      </c>
      <c r="C30" s="204">
        <f>SUMIFS('30_CASHFLOW'!$B30:$FZ30,'30_CASHFLOW'!$B$3:$FZ$3,"&gt;="&amp;(C$4-2),'30_CASHFLOW'!$B$3:$FZ$3,"&lt;="&amp;C$4)</f>
        <v>0</v>
      </c>
      <c r="D30" s="204">
        <f>SUMIFS('30_CASHFLOW'!$B30:$FZ30,'30_CASHFLOW'!$B$3:$FZ$3,"&gt;="&amp;(D$4-2),'30_CASHFLOW'!$B$3:$FZ$3,"&lt;="&amp;D$4)</f>
        <v>0</v>
      </c>
      <c r="E30" s="204">
        <f>SUMIFS('30_CASHFLOW'!$B30:$FZ30,'30_CASHFLOW'!$B$3:$FZ$3,"&gt;="&amp;(E$4-2),'30_CASHFLOW'!$B$3:$FZ$3,"&lt;="&amp;E$4)</f>
        <v>302985.8395200001</v>
      </c>
      <c r="F30" s="204">
        <f>SUMIFS('30_CASHFLOW'!$B30:$FZ30,'30_CASHFLOW'!$B$3:$FZ$3,"&gt;="&amp;(F$4-2),'30_CASHFLOW'!$B$3:$FZ$3,"&lt;="&amp;F$4)</f>
        <v>813625.52544000023</v>
      </c>
      <c r="G30" s="204">
        <f>SUMIFS('30_CASHFLOW'!$B30:$FZ30,'30_CASHFLOW'!$B$3:$FZ$3,"&gt;="&amp;(G$4-2),'30_CASHFLOW'!$B$3:$FZ$3,"&lt;="&amp;G$4)</f>
        <v>812614.22424000013</v>
      </c>
      <c r="H30" s="204">
        <f>SUMIFS('30_CASHFLOW'!$B30:$FZ30,'30_CASHFLOW'!$B$3:$FZ$3,"&gt;="&amp;(H$4-2),'30_CASHFLOW'!$B$3:$FZ$3,"&lt;="&amp;H$4)</f>
        <v>811602.92304000026</v>
      </c>
      <c r="I30" s="204">
        <f>SUMIFS('30_CASHFLOW'!$B30:$FZ30,'30_CASHFLOW'!$B$3:$FZ$3,"&gt;="&amp;(I$4-2),'30_CASHFLOW'!$B$3:$FZ$3,"&lt;="&amp;I$4)</f>
        <v>810187.1013600002</v>
      </c>
      <c r="J30" s="204">
        <f>SUMIFS('30_CASHFLOW'!$B30:$FZ30,'30_CASHFLOW'!$B$3:$FZ$3,"&gt;="&amp;(J$4-2),'30_CASHFLOW'!$B$3:$FZ$3,"&lt;="&amp;J$4)</f>
        <v>701168.83200000087</v>
      </c>
      <c r="K30" s="204">
        <f>SUMIFS('30_CASHFLOW'!$B30:$FZ30,'30_CASHFLOW'!$B$3:$FZ$3,"&gt;="&amp;(K$4-2),'30_CASHFLOW'!$B$3:$FZ$3,"&lt;="&amp;K$4)</f>
        <v>233790.9600000002</v>
      </c>
      <c r="L30" s="204">
        <f>SUMIFS('30_CASHFLOW'!$B30:$FZ30,'30_CASHFLOW'!$B$3:$FZ$3,"&gt;="&amp;(L$4-2),'30_CASHFLOW'!$B$3:$FZ$3,"&lt;="&amp;L$4)</f>
        <v>233790.9600000002</v>
      </c>
      <c r="M30" s="204">
        <f>SUMIFS('30_CASHFLOW'!$B30:$FZ30,'30_CASHFLOW'!$B$3:$FZ$3,"&gt;="&amp;(M$4-2),'30_CASHFLOW'!$B$3:$FZ$3,"&lt;="&amp;M$4)</f>
        <v>184460.64000000013</v>
      </c>
      <c r="N30" s="204">
        <f>SUMIFS('30_CASHFLOW'!$B30:$FZ30,'30_CASHFLOW'!$B$3:$FZ$3,"&gt;="&amp;(N$4-2),'30_CASHFLOW'!$B$3:$FZ$3,"&lt;="&amp;N$4)</f>
        <v>0</v>
      </c>
      <c r="O30" s="204">
        <f>SUMIFS('30_CASHFLOW'!$B30:$FZ30,'30_CASHFLOW'!$B$3:$FZ$3,"&gt;="&amp;(O$4-2),'30_CASHFLOW'!$B$3:$FZ$3,"&lt;="&amp;O$4)</f>
        <v>0</v>
      </c>
      <c r="P30" s="204">
        <f>SUMIFS('30_CASHFLOW'!$B30:$FZ30,'30_CASHFLOW'!$B$3:$FZ$3,"&gt;="&amp;(P$4-2),'30_CASHFLOW'!$B$3:$FZ$3,"&lt;="&amp;P$4)</f>
        <v>0</v>
      </c>
      <c r="Q30" s="204">
        <f>SUMIFS('30_CASHFLOW'!$B30:$FZ30,'30_CASHFLOW'!$B$3:$FZ$3,"&gt;="&amp;(Q$4-2),'30_CASHFLOW'!$B$3:$FZ$3,"&lt;="&amp;Q$4)</f>
        <v>0</v>
      </c>
      <c r="R30" s="204">
        <f>SUMIFS('30_CASHFLOW'!$B30:$FZ30,'30_CASHFLOW'!$B$3:$FZ$3,"&gt;="&amp;(R$4-2),'30_CASHFLOW'!$B$3:$FZ$3,"&lt;="&amp;R$4)</f>
        <v>0</v>
      </c>
      <c r="S30" s="204">
        <f>SUMIFS('30_CASHFLOW'!$B30:$FZ30,'30_CASHFLOW'!$B$3:$FZ$3,"&gt;="&amp;(S$4-2),'30_CASHFLOW'!$B$3:$FZ$3,"&lt;="&amp;S$4)</f>
        <v>0</v>
      </c>
      <c r="T30" s="204">
        <f>SUMIFS('30_CASHFLOW'!$B30:$FZ30,'30_CASHFLOW'!$B$3:$FZ$3,"&gt;="&amp;(T$4-2),'30_CASHFLOW'!$B$3:$FZ$3,"&lt;="&amp;T$4)</f>
        <v>0</v>
      </c>
      <c r="U30" s="204">
        <f>SUMIFS('30_CASHFLOW'!$B30:$FZ30,'30_CASHFLOW'!$B$3:$FZ$3,"&gt;="&amp;(U$4-2),'30_CASHFLOW'!$B$3:$FZ$3,"&lt;="&amp;U$4)</f>
        <v>0</v>
      </c>
    </row>
    <row r="31" spans="1:21" ht="15.75" customHeight="1" thickTop="1" x14ac:dyDescent="0.25">
      <c r="A31" s="250" t="s">
        <v>286</v>
      </c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</row>
    <row r="32" spans="1:21" x14ac:dyDescent="0.25">
      <c r="A32" s="203" t="s">
        <v>287</v>
      </c>
      <c r="B32" s="204">
        <f>SUMIFS('30_CASHFLOW'!$B32:$FZ32,'30_CASHFLOW'!$B$3:$FZ$3,"&gt;="&amp;(B$4-2),'30_CASHFLOW'!$B$3:$FZ$3,"&lt;="&amp;B$4)</f>
        <v>0</v>
      </c>
      <c r="C32" s="204">
        <f>SUMIFS('30_CASHFLOW'!$B32:$FZ32,'30_CASHFLOW'!$B$3:$FZ$3,"&gt;="&amp;(C$4-2),'30_CASHFLOW'!$B$3:$FZ$3,"&lt;="&amp;C$4)</f>
        <v>0</v>
      </c>
      <c r="D32" s="204">
        <f>SUMIFS('30_CASHFLOW'!$B32:$FZ32,'30_CASHFLOW'!$B$3:$FZ$3,"&gt;="&amp;(D$4-2),'30_CASHFLOW'!$B$3:$FZ$3,"&lt;="&amp;D$4)</f>
        <v>0</v>
      </c>
      <c r="E32" s="204">
        <f>SUMIFS('30_CASHFLOW'!$B32:$FZ32,'30_CASHFLOW'!$B$3:$FZ$3,"&gt;="&amp;(E$4-2),'30_CASHFLOW'!$B$3:$FZ$3,"&lt;="&amp;E$4)</f>
        <v>618.01740000000018</v>
      </c>
      <c r="F32" s="204">
        <f>SUMIFS('30_CASHFLOW'!$B32:$FZ32,'30_CASHFLOW'!$B$3:$FZ$3,"&gt;="&amp;(F$4-2),'30_CASHFLOW'!$B$3:$FZ$3,"&lt;="&amp;F$4)</f>
        <v>9309.9950719469725</v>
      </c>
      <c r="G32" s="204">
        <f>SUMIFS('30_CASHFLOW'!$B32:$FZ32,'30_CASHFLOW'!$B$3:$FZ$3,"&gt;="&amp;(G$4-2),'30_CASHFLOW'!$B$3:$FZ$3,"&lt;="&amp;G$4)</f>
        <v>20613.972655660484</v>
      </c>
      <c r="H32" s="204">
        <f>SUMIFS('30_CASHFLOW'!$B32:$FZ32,'30_CASHFLOW'!$B$3:$FZ$3,"&gt;="&amp;(H$4-2),'30_CASHFLOW'!$B$3:$FZ$3,"&lt;="&amp;H$4)</f>
        <v>32074.093405605003</v>
      </c>
      <c r="I32" s="204">
        <f>SUMIFS('30_CASHFLOW'!$B32:$FZ32,'30_CASHFLOW'!$B$3:$FZ$3,"&gt;="&amp;(I$4-2),'30_CASHFLOW'!$B$3:$FZ$3,"&lt;="&amp;I$4)</f>
        <v>43692.514145622394</v>
      </c>
      <c r="J32" s="204">
        <f>SUMIFS('30_CASHFLOW'!$B32:$FZ32,'30_CASHFLOW'!$B$3:$FZ$3,"&gt;="&amp;(J$4-2),'30_CASHFLOW'!$B$3:$FZ$3,"&lt;="&amp;J$4)</f>
        <v>55224.214532014899</v>
      </c>
      <c r="K32" s="204">
        <f>SUMIFS('30_CASHFLOW'!$B32:$FZ32,'30_CASHFLOW'!$B$3:$FZ$3,"&gt;="&amp;(K$4-2),'30_CASHFLOW'!$B$3:$FZ$3,"&lt;="&amp;K$4)</f>
        <v>60343.234747448645</v>
      </c>
      <c r="L32" s="204">
        <f>SUMIFS('30_CASHFLOW'!$B32:$FZ32,'30_CASHFLOW'!$B$3:$FZ$3,"&gt;="&amp;(L$4-2),'30_CASHFLOW'!$B$3:$FZ$3,"&lt;="&amp;L$4)</f>
        <v>61176.762916122869</v>
      </c>
      <c r="M32" s="204">
        <f>SUMIFS('30_CASHFLOW'!$B32:$FZ32,'30_CASHFLOW'!$B$3:$FZ$3,"&gt;="&amp;(M$4-2),'30_CASHFLOW'!$B$3:$FZ$3,"&lt;="&amp;M$4)</f>
        <v>62021.804707009767</v>
      </c>
      <c r="N32" s="204">
        <f>SUMIFS('30_CASHFLOW'!$B32:$FZ32,'30_CASHFLOW'!$B$3:$FZ$3,"&gt;="&amp;(N$4-2),'30_CASHFLOW'!$B$3:$FZ$3,"&lt;="&amp;N$4)</f>
        <v>0</v>
      </c>
      <c r="O32" s="204">
        <f>SUMIFS('30_CASHFLOW'!$B32:$FZ32,'30_CASHFLOW'!$B$3:$FZ$3,"&gt;="&amp;(O$4-2),'30_CASHFLOW'!$B$3:$FZ$3,"&lt;="&amp;O$4)</f>
        <v>0</v>
      </c>
      <c r="P32" s="204">
        <f>SUMIFS('30_CASHFLOW'!$B32:$FZ32,'30_CASHFLOW'!$B$3:$FZ$3,"&gt;="&amp;(P$4-2),'30_CASHFLOW'!$B$3:$FZ$3,"&lt;="&amp;P$4)</f>
        <v>0</v>
      </c>
      <c r="Q32" s="204">
        <f>SUMIFS('30_CASHFLOW'!$B32:$FZ32,'30_CASHFLOW'!$B$3:$FZ$3,"&gt;="&amp;(Q$4-2),'30_CASHFLOW'!$B$3:$FZ$3,"&lt;="&amp;Q$4)</f>
        <v>0</v>
      </c>
      <c r="R32" s="204">
        <f>SUMIFS('30_CASHFLOW'!$B32:$FZ32,'30_CASHFLOW'!$B$3:$FZ$3,"&gt;="&amp;(R$4-2),'30_CASHFLOW'!$B$3:$FZ$3,"&lt;="&amp;R$4)</f>
        <v>0</v>
      </c>
      <c r="S32" s="204">
        <f>SUMIFS('30_CASHFLOW'!$B32:$FZ32,'30_CASHFLOW'!$B$3:$FZ$3,"&gt;="&amp;(S$4-2),'30_CASHFLOW'!$B$3:$FZ$3,"&lt;="&amp;S$4)</f>
        <v>0</v>
      </c>
      <c r="T32" s="204">
        <f>SUMIFS('30_CASHFLOW'!$B32:$FZ32,'30_CASHFLOW'!$B$3:$FZ$3,"&gt;="&amp;(T$4-2),'30_CASHFLOW'!$B$3:$FZ$3,"&lt;="&amp;T$4)</f>
        <v>0</v>
      </c>
      <c r="U32" s="204">
        <f>SUMIFS('30_CASHFLOW'!$B32:$FZ32,'30_CASHFLOW'!$B$3:$FZ$3,"&gt;="&amp;(U$4-2),'30_CASHFLOW'!$B$3:$FZ$3,"&lt;="&amp;U$4)</f>
        <v>0</v>
      </c>
    </row>
    <row r="33" spans="1:21" x14ac:dyDescent="0.25">
      <c r="A33" s="203" t="s">
        <v>288</v>
      </c>
      <c r="B33" s="204">
        <f>SUMIFS('30_CASHFLOW'!$B33:$FZ33,'30_CASHFLOW'!$B$3:$FZ$3,"&gt;="&amp;(B$4-2),'30_CASHFLOW'!$B$3:$FZ$3,"&lt;="&amp;B$4)</f>
        <v>0</v>
      </c>
      <c r="C33" s="204">
        <f>SUMIFS('30_CASHFLOW'!$B33:$FZ33,'30_CASHFLOW'!$B$3:$FZ$3,"&gt;="&amp;(C$4-2),'30_CASHFLOW'!$B$3:$FZ$3,"&lt;="&amp;C$4)</f>
        <v>0</v>
      </c>
      <c r="D33" s="204">
        <f>SUMIFS('30_CASHFLOW'!$B33:$FZ33,'30_CASHFLOW'!$B$3:$FZ$3,"&gt;="&amp;(D$4-2),'30_CASHFLOW'!$B$3:$FZ$3,"&lt;="&amp;D$4)</f>
        <v>0</v>
      </c>
      <c r="E33" s="204">
        <f>SUMIFS('30_CASHFLOW'!$B33:$FZ33,'30_CASHFLOW'!$B$3:$FZ$3,"&gt;="&amp;(E$4-2),'30_CASHFLOW'!$B$3:$FZ$3,"&lt;="&amp;E$4)</f>
        <v>618.01740000000018</v>
      </c>
      <c r="F33" s="204">
        <f>SUMIFS('30_CASHFLOW'!$B33:$FZ33,'30_CASHFLOW'!$B$3:$FZ$3,"&gt;="&amp;(F$4-2),'30_CASHFLOW'!$B$3:$FZ$3,"&lt;="&amp;F$4)</f>
        <v>9309.9950719469725</v>
      </c>
      <c r="G33" s="204">
        <f>SUMIFS('30_CASHFLOW'!$B33:$FZ33,'30_CASHFLOW'!$B$3:$FZ$3,"&gt;="&amp;(G$4-2),'30_CASHFLOW'!$B$3:$FZ$3,"&lt;="&amp;G$4)</f>
        <v>20613.972655660484</v>
      </c>
      <c r="H33" s="204">
        <f>SUMIFS('30_CASHFLOW'!$B33:$FZ33,'30_CASHFLOW'!$B$3:$FZ$3,"&gt;="&amp;(H$4-2),'30_CASHFLOW'!$B$3:$FZ$3,"&lt;="&amp;H$4)</f>
        <v>32074.093405605003</v>
      </c>
      <c r="I33" s="204">
        <f>SUMIFS('30_CASHFLOW'!$B33:$FZ33,'30_CASHFLOW'!$B$3:$FZ$3,"&gt;="&amp;(I$4-2),'30_CASHFLOW'!$B$3:$FZ$3,"&lt;="&amp;I$4)</f>
        <v>43692.514145622394</v>
      </c>
      <c r="J33" s="204">
        <f>SUMIFS('30_CASHFLOW'!$B33:$FZ33,'30_CASHFLOW'!$B$3:$FZ$3,"&gt;="&amp;(J$4-2),'30_CASHFLOW'!$B$3:$FZ$3,"&lt;="&amp;J$4)</f>
        <v>55224.214532014899</v>
      </c>
      <c r="K33" s="204">
        <f>SUMIFS('30_CASHFLOW'!$B33:$FZ33,'30_CASHFLOW'!$B$3:$FZ$3,"&gt;="&amp;(K$4-2),'30_CASHFLOW'!$B$3:$FZ$3,"&lt;="&amp;K$4)</f>
        <v>60343.234747448645</v>
      </c>
      <c r="L33" s="204">
        <f>SUMIFS('30_CASHFLOW'!$B33:$FZ33,'30_CASHFLOW'!$B$3:$FZ$3,"&gt;="&amp;(L$4-2),'30_CASHFLOW'!$B$3:$FZ$3,"&lt;="&amp;L$4)</f>
        <v>61176.762916122869</v>
      </c>
      <c r="M33" s="204">
        <f>SUMIFS('30_CASHFLOW'!$B33:$FZ33,'30_CASHFLOW'!$B$3:$FZ$3,"&gt;="&amp;(M$4-2),'30_CASHFLOW'!$B$3:$FZ$3,"&lt;="&amp;M$4)</f>
        <v>41253.259034095725</v>
      </c>
      <c r="N33" s="204">
        <f>SUMIFS('30_CASHFLOW'!$B33:$FZ33,'30_CASHFLOW'!$B$3:$FZ$3,"&gt;="&amp;(N$4-2),'30_CASHFLOW'!$B$3:$FZ$3,"&lt;="&amp;N$4)</f>
        <v>0</v>
      </c>
      <c r="O33" s="204">
        <f>SUMIFS('30_CASHFLOW'!$B33:$FZ33,'30_CASHFLOW'!$B$3:$FZ$3,"&gt;="&amp;(O$4-2),'30_CASHFLOW'!$B$3:$FZ$3,"&lt;="&amp;O$4)</f>
        <v>0</v>
      </c>
      <c r="P33" s="204">
        <f>SUMIFS('30_CASHFLOW'!$B33:$FZ33,'30_CASHFLOW'!$B$3:$FZ$3,"&gt;="&amp;(P$4-2),'30_CASHFLOW'!$B$3:$FZ$3,"&lt;="&amp;P$4)</f>
        <v>0</v>
      </c>
      <c r="Q33" s="204">
        <f>SUMIFS('30_CASHFLOW'!$B33:$FZ33,'30_CASHFLOW'!$B$3:$FZ$3,"&gt;="&amp;(Q$4-2),'30_CASHFLOW'!$B$3:$FZ$3,"&lt;="&amp;Q$4)</f>
        <v>0</v>
      </c>
      <c r="R33" s="204">
        <f>SUMIFS('30_CASHFLOW'!$B33:$FZ33,'30_CASHFLOW'!$B$3:$FZ$3,"&gt;="&amp;(R$4-2),'30_CASHFLOW'!$B$3:$FZ$3,"&lt;="&amp;R$4)</f>
        <v>0</v>
      </c>
      <c r="S33" s="204">
        <f>SUMIFS('30_CASHFLOW'!$B33:$FZ33,'30_CASHFLOW'!$B$3:$FZ$3,"&gt;="&amp;(S$4-2),'30_CASHFLOW'!$B$3:$FZ$3,"&lt;="&amp;S$4)</f>
        <v>0</v>
      </c>
      <c r="T33" s="204">
        <f>SUMIFS('30_CASHFLOW'!$B33:$FZ33,'30_CASHFLOW'!$B$3:$FZ$3,"&gt;="&amp;(T$4-2),'30_CASHFLOW'!$B$3:$FZ$3,"&lt;="&amp;T$4)</f>
        <v>0</v>
      </c>
      <c r="U33" s="204">
        <f>SUMIFS('30_CASHFLOW'!$B33:$FZ33,'30_CASHFLOW'!$B$3:$FZ$3,"&gt;="&amp;(U$4-2),'30_CASHFLOW'!$B$3:$FZ$3,"&lt;="&amp;U$4)</f>
        <v>0</v>
      </c>
    </row>
    <row r="34" spans="1:21" ht="15.75" customHeight="1" x14ac:dyDescent="0.25">
      <c r="A34" s="212" t="s">
        <v>289</v>
      </c>
      <c r="B34" s="211">
        <f>SUMIFS('30_CASHFLOW'!$B34:$FZ34,'30_CASHFLOW'!$B$3:$FZ$3,"&gt;="&amp;(B$4-2),'30_CASHFLOW'!$B$3:$FZ$3,"&lt;="&amp;B$4)</f>
        <v>0</v>
      </c>
      <c r="C34" s="211">
        <f>SUMIFS('30_CASHFLOW'!$B34:$FZ34,'30_CASHFLOW'!$B$3:$FZ$3,"&gt;="&amp;(C$4-2),'30_CASHFLOW'!$B$3:$FZ$3,"&lt;="&amp;C$4)</f>
        <v>0</v>
      </c>
      <c r="D34" s="211">
        <f>SUMIFS('30_CASHFLOW'!$B34:$FZ34,'30_CASHFLOW'!$B$3:$FZ$3,"&gt;="&amp;(D$4-2),'30_CASHFLOW'!$B$3:$FZ$3,"&lt;="&amp;D$4)</f>
        <v>0</v>
      </c>
      <c r="E34" s="211">
        <f>SUMIFS('30_CASHFLOW'!$B34:$FZ34,'30_CASHFLOW'!$B$3:$FZ$3,"&gt;="&amp;(E$4-2),'30_CASHFLOW'!$B$3:$FZ$3,"&lt;="&amp;E$4)</f>
        <v>0</v>
      </c>
      <c r="F34" s="211">
        <f>SUMIFS('30_CASHFLOW'!$B34:$FZ34,'30_CASHFLOW'!$B$3:$FZ$3,"&gt;="&amp;(F$4-2),'30_CASHFLOW'!$B$3:$FZ$3,"&lt;="&amp;F$4)</f>
        <v>0</v>
      </c>
      <c r="G34" s="211">
        <f>SUMIFS('30_CASHFLOW'!$B34:$FZ34,'30_CASHFLOW'!$B$3:$FZ$3,"&gt;="&amp;(G$4-2),'30_CASHFLOW'!$B$3:$FZ$3,"&lt;="&amp;G$4)</f>
        <v>0</v>
      </c>
      <c r="H34" s="211">
        <f>SUMIFS('30_CASHFLOW'!$B34:$FZ34,'30_CASHFLOW'!$B$3:$FZ$3,"&gt;="&amp;(H$4-2),'30_CASHFLOW'!$B$3:$FZ$3,"&lt;="&amp;H$4)</f>
        <v>0</v>
      </c>
      <c r="I34" s="211">
        <f>SUMIFS('30_CASHFLOW'!$B34:$FZ34,'30_CASHFLOW'!$B$3:$FZ$3,"&gt;="&amp;(I$4-2),'30_CASHFLOW'!$B$3:$FZ$3,"&lt;="&amp;I$4)</f>
        <v>0</v>
      </c>
      <c r="J34" s="211">
        <f>SUMIFS('30_CASHFLOW'!$B34:$FZ34,'30_CASHFLOW'!$B$3:$FZ$3,"&gt;="&amp;(J$4-2),'30_CASHFLOW'!$B$3:$FZ$3,"&lt;="&amp;J$4)</f>
        <v>0</v>
      </c>
      <c r="K34" s="211">
        <f>SUMIFS('30_CASHFLOW'!$B34:$FZ34,'30_CASHFLOW'!$B$3:$FZ$3,"&gt;="&amp;(K$4-2),'30_CASHFLOW'!$B$3:$FZ$3,"&lt;="&amp;K$4)</f>
        <v>0</v>
      </c>
      <c r="L34" s="211">
        <f>SUMIFS('30_CASHFLOW'!$B34:$FZ34,'30_CASHFLOW'!$B$3:$FZ$3,"&gt;="&amp;(L$4-2),'30_CASHFLOW'!$B$3:$FZ$3,"&lt;="&amp;L$4)</f>
        <v>0</v>
      </c>
      <c r="M34" s="211">
        <f>SUMIFS('30_CASHFLOW'!$B34:$FZ34,'30_CASHFLOW'!$B$3:$FZ$3,"&gt;="&amp;(M$4-2),'30_CASHFLOW'!$B$3:$FZ$3,"&lt;="&amp;M$4)</f>
        <v>20768.545672914046</v>
      </c>
      <c r="N34" s="211">
        <f>SUMIFS('30_CASHFLOW'!$B34:$FZ34,'30_CASHFLOW'!$B$3:$FZ$3,"&gt;="&amp;(N$4-2),'30_CASHFLOW'!$B$3:$FZ$3,"&lt;="&amp;N$4)</f>
        <v>0</v>
      </c>
      <c r="O34" s="211">
        <f>SUMIFS('30_CASHFLOW'!$B34:$FZ34,'30_CASHFLOW'!$B$3:$FZ$3,"&gt;="&amp;(O$4-2),'30_CASHFLOW'!$B$3:$FZ$3,"&lt;="&amp;O$4)</f>
        <v>0</v>
      </c>
      <c r="P34" s="211">
        <f>SUMIFS('30_CASHFLOW'!$B34:$FZ34,'30_CASHFLOW'!$B$3:$FZ$3,"&gt;="&amp;(P$4-2),'30_CASHFLOW'!$B$3:$FZ$3,"&lt;="&amp;P$4)</f>
        <v>0</v>
      </c>
      <c r="Q34" s="211">
        <f>SUMIFS('30_CASHFLOW'!$B34:$FZ34,'30_CASHFLOW'!$B$3:$FZ$3,"&gt;="&amp;(Q$4-2),'30_CASHFLOW'!$B$3:$FZ$3,"&lt;="&amp;Q$4)</f>
        <v>0</v>
      </c>
      <c r="R34" s="211">
        <f>SUMIFS('30_CASHFLOW'!$B34:$FZ34,'30_CASHFLOW'!$B$3:$FZ$3,"&gt;="&amp;(R$4-2),'30_CASHFLOW'!$B$3:$FZ$3,"&lt;="&amp;R$4)</f>
        <v>0</v>
      </c>
      <c r="S34" s="211">
        <f>SUMIFS('30_CASHFLOW'!$B34:$FZ34,'30_CASHFLOW'!$B$3:$FZ$3,"&gt;="&amp;(S$4-2),'30_CASHFLOW'!$B$3:$FZ$3,"&lt;="&amp;S$4)</f>
        <v>0</v>
      </c>
      <c r="T34" s="211">
        <f>SUMIFS('30_CASHFLOW'!$B34:$FZ34,'30_CASHFLOW'!$B$3:$FZ$3,"&gt;="&amp;(T$4-2),'30_CASHFLOW'!$B$3:$FZ$3,"&lt;="&amp;T$4)</f>
        <v>0</v>
      </c>
      <c r="U34" s="211">
        <f>SUMIFS('30_CASHFLOW'!$B34:$FZ34,'30_CASHFLOW'!$B$3:$FZ$3,"&gt;="&amp;(U$4-2),'30_CASHFLOW'!$B$3:$FZ$3,"&lt;="&amp;U$4)</f>
        <v>0</v>
      </c>
    </row>
    <row r="35" spans="1:21" ht="16.5" customHeight="1" thickBot="1" x14ac:dyDescent="0.3">
      <c r="A35" s="214" t="s">
        <v>290</v>
      </c>
      <c r="B35" s="204">
        <f>SUMIFS('30_CASHFLOW'!$B35:$FZ35,'30_CASHFLOW'!$B$3:$FZ$3,"&gt;="&amp;(B$4-2),'30_CASHFLOW'!$B$3:$FZ$3,"&lt;="&amp;B$4)</f>
        <v>0</v>
      </c>
      <c r="C35" s="204">
        <f>SUMIFS('30_CASHFLOW'!$B35:$FZ35,'30_CASHFLOW'!$B$3:$FZ$3,"&gt;="&amp;(C$4-2),'30_CASHFLOW'!$B$3:$FZ$3,"&lt;="&amp;C$4)</f>
        <v>0</v>
      </c>
      <c r="D35" s="204">
        <f>SUMIFS('30_CASHFLOW'!$B35:$FZ35,'30_CASHFLOW'!$B$3:$FZ$3,"&gt;="&amp;(D$4-2),'30_CASHFLOW'!$B$3:$FZ$3,"&lt;="&amp;D$4)</f>
        <v>0</v>
      </c>
      <c r="E35" s="204">
        <f>SUMIFS('30_CASHFLOW'!$B35:$FZ35,'30_CASHFLOW'!$B$3:$FZ$3,"&gt;="&amp;(E$4-2),'30_CASHFLOW'!$B$3:$FZ$3,"&lt;="&amp;E$4)</f>
        <v>0</v>
      </c>
      <c r="F35" s="204">
        <f>SUMIFS('30_CASHFLOW'!$B35:$FZ35,'30_CASHFLOW'!$B$3:$FZ$3,"&gt;="&amp;(F$4-2),'30_CASHFLOW'!$B$3:$FZ$3,"&lt;="&amp;F$4)</f>
        <v>0</v>
      </c>
      <c r="G35" s="204">
        <f>SUMIFS('30_CASHFLOW'!$B35:$FZ35,'30_CASHFLOW'!$B$3:$FZ$3,"&gt;="&amp;(G$4-2),'30_CASHFLOW'!$B$3:$FZ$3,"&lt;="&amp;G$4)</f>
        <v>0</v>
      </c>
      <c r="H35" s="204">
        <f>SUMIFS('30_CASHFLOW'!$B35:$FZ35,'30_CASHFLOW'!$B$3:$FZ$3,"&gt;="&amp;(H$4-2),'30_CASHFLOW'!$B$3:$FZ$3,"&lt;="&amp;H$4)</f>
        <v>0</v>
      </c>
      <c r="I35" s="204">
        <f>SUMIFS('30_CASHFLOW'!$B35:$FZ35,'30_CASHFLOW'!$B$3:$FZ$3,"&gt;="&amp;(I$4-2),'30_CASHFLOW'!$B$3:$FZ$3,"&lt;="&amp;I$4)</f>
        <v>0</v>
      </c>
      <c r="J35" s="204">
        <f>SUMIFS('30_CASHFLOW'!$B35:$FZ35,'30_CASHFLOW'!$B$3:$FZ$3,"&gt;="&amp;(J$4-2),'30_CASHFLOW'!$B$3:$FZ$3,"&lt;="&amp;J$4)</f>
        <v>0</v>
      </c>
      <c r="K35" s="204">
        <f>SUMIFS('30_CASHFLOW'!$B35:$FZ35,'30_CASHFLOW'!$B$3:$FZ$3,"&gt;="&amp;(K$4-2),'30_CASHFLOW'!$B$3:$FZ$3,"&lt;="&amp;K$4)</f>
        <v>0</v>
      </c>
      <c r="L35" s="204">
        <f>SUMIFS('30_CASHFLOW'!$B35:$FZ35,'30_CASHFLOW'!$B$3:$FZ$3,"&gt;="&amp;(L$4-2),'30_CASHFLOW'!$B$3:$FZ$3,"&lt;="&amp;L$4)</f>
        <v>0</v>
      </c>
      <c r="M35" s="204">
        <f>SUMIFS('30_CASHFLOW'!$B35:$FZ35,'30_CASHFLOW'!$B$3:$FZ$3,"&gt;="&amp;(M$4-2),'30_CASHFLOW'!$B$3:$FZ$3,"&lt;="&amp;M$4)</f>
        <v>4531319.0559085188</v>
      </c>
      <c r="N35" s="204">
        <f>SUMIFS('30_CASHFLOW'!$B35:$FZ35,'30_CASHFLOW'!$B$3:$FZ$3,"&gt;="&amp;(N$4-2),'30_CASHFLOW'!$B$3:$FZ$3,"&lt;="&amp;N$4)</f>
        <v>0</v>
      </c>
      <c r="O35" s="204">
        <f>SUMIFS('30_CASHFLOW'!$B35:$FZ35,'30_CASHFLOW'!$B$3:$FZ$3,"&gt;="&amp;(O$4-2),'30_CASHFLOW'!$B$3:$FZ$3,"&lt;="&amp;O$4)</f>
        <v>0</v>
      </c>
      <c r="P35" s="204">
        <f>SUMIFS('30_CASHFLOW'!$B35:$FZ35,'30_CASHFLOW'!$B$3:$FZ$3,"&gt;="&amp;(P$4-2),'30_CASHFLOW'!$B$3:$FZ$3,"&lt;="&amp;P$4)</f>
        <v>0</v>
      </c>
      <c r="Q35" s="204">
        <f>SUMIFS('30_CASHFLOW'!$B35:$FZ35,'30_CASHFLOW'!$B$3:$FZ$3,"&gt;="&amp;(Q$4-2),'30_CASHFLOW'!$B$3:$FZ$3,"&lt;="&amp;Q$4)</f>
        <v>0</v>
      </c>
      <c r="R35" s="204">
        <f>SUMIFS('30_CASHFLOW'!$B35:$FZ35,'30_CASHFLOW'!$B$3:$FZ$3,"&gt;="&amp;(R$4-2),'30_CASHFLOW'!$B$3:$FZ$3,"&lt;="&amp;R$4)</f>
        <v>0</v>
      </c>
      <c r="S35" s="204">
        <f>SUMIFS('30_CASHFLOW'!$B35:$FZ35,'30_CASHFLOW'!$B$3:$FZ$3,"&gt;="&amp;(S$4-2),'30_CASHFLOW'!$B$3:$FZ$3,"&lt;="&amp;S$4)</f>
        <v>0</v>
      </c>
      <c r="T35" s="204">
        <f>SUMIFS('30_CASHFLOW'!$B35:$FZ35,'30_CASHFLOW'!$B$3:$FZ$3,"&gt;="&amp;(T$4-2),'30_CASHFLOW'!$B$3:$FZ$3,"&lt;="&amp;T$4)</f>
        <v>0</v>
      </c>
      <c r="U35" s="204">
        <f>SUMIFS('30_CASHFLOW'!$B35:$FZ35,'30_CASHFLOW'!$B$3:$FZ$3,"&gt;="&amp;(U$4-2),'30_CASHFLOW'!$B$3:$FZ$3,"&lt;="&amp;U$4)</f>
        <v>0</v>
      </c>
    </row>
    <row r="36" spans="1:21" s="18" customFormat="1" ht="15.75" customHeight="1" thickTop="1" x14ac:dyDescent="0.25">
      <c r="A36" s="210" t="s">
        <v>291</v>
      </c>
      <c r="B36" s="209">
        <f>SUMIFS('30_CASHFLOW'!$B36:$FZ36,'30_CASHFLOW'!$B$3:$FZ$3,"&gt;="&amp;(B$4-2),'30_CASHFLOW'!$B$3:$FZ$3,"&lt;="&amp;B$4)</f>
        <v>0</v>
      </c>
      <c r="C36" s="209">
        <f>SUMIFS('30_CASHFLOW'!$B36:$FZ36,'30_CASHFLOW'!$B$3:$FZ$3,"&gt;="&amp;(C$4-2),'30_CASHFLOW'!$B$3:$FZ$3,"&lt;="&amp;C$4)</f>
        <v>0</v>
      </c>
      <c r="D36" s="209">
        <f>SUMIFS('30_CASHFLOW'!$B36:$FZ36,'30_CASHFLOW'!$B$3:$FZ$3,"&gt;="&amp;(D$4-2),'30_CASHFLOW'!$B$3:$FZ$3,"&lt;="&amp;D$4)</f>
        <v>0</v>
      </c>
      <c r="E36" s="209">
        <f>SUMIFS('30_CASHFLOW'!$B36:$FZ36,'30_CASHFLOW'!$B$3:$FZ$3,"&gt;="&amp;(E$4-2),'30_CASHFLOW'!$B$3:$FZ$3,"&lt;="&amp;E$4)</f>
        <v>-33305.519520000031</v>
      </c>
      <c r="F36" s="209">
        <f>SUMIFS('30_CASHFLOW'!$B36:$FZ36,'30_CASHFLOW'!$B$3:$FZ$3,"&gt;="&amp;(F$4-2),'30_CASHFLOW'!$B$3:$FZ$3,"&lt;="&amp;F$4)</f>
        <v>-4584.5654400000049</v>
      </c>
      <c r="G36" s="209">
        <f>SUMIFS('30_CASHFLOW'!$B36:$FZ36,'30_CASHFLOW'!$B$3:$FZ$3,"&gt;="&amp;(G$4-2),'30_CASHFLOW'!$B$3:$FZ$3,"&lt;="&amp;G$4)</f>
        <v>-3573.2642400000041</v>
      </c>
      <c r="H36" s="209">
        <f>SUMIFS('30_CASHFLOW'!$B36:$FZ36,'30_CASHFLOW'!$B$3:$FZ$3,"&gt;="&amp;(H$4-2),'30_CASHFLOW'!$B$3:$FZ$3,"&lt;="&amp;H$4)</f>
        <v>-2561.9630400000033</v>
      </c>
      <c r="I36" s="209">
        <f>SUMIFS('30_CASHFLOW'!$B36:$FZ36,'30_CASHFLOW'!$B$3:$FZ$3,"&gt;="&amp;(I$4-2),'30_CASHFLOW'!$B$3:$FZ$3,"&lt;="&amp;I$4)</f>
        <v>-1550.6618400000025</v>
      </c>
      <c r="J36" s="209">
        <f>SUMIFS('30_CASHFLOW'!$B36:$FZ36,'30_CASHFLOW'!$B$3:$FZ$3,"&gt;="&amp;(J$4-2),'30_CASHFLOW'!$B$3:$FZ$3,"&lt;="&amp;J$4)</f>
        <v>-539.36064000000135</v>
      </c>
      <c r="K36" s="209">
        <f>SUMIFS('30_CASHFLOW'!$B36:$FZ36,'30_CASHFLOW'!$B$3:$FZ$3,"&gt;="&amp;(K$4-2),'30_CASHFLOW'!$B$3:$FZ$3,"&lt;="&amp;K$4)</f>
        <v>0</v>
      </c>
      <c r="L36" s="209">
        <f>SUMIFS('30_CASHFLOW'!$B36:$FZ36,'30_CASHFLOW'!$B$3:$FZ$3,"&gt;="&amp;(L$4-2),'30_CASHFLOW'!$B$3:$FZ$3,"&lt;="&amp;L$4)</f>
        <v>0</v>
      </c>
      <c r="M36" s="209">
        <f>SUMIFS('30_CASHFLOW'!$B36:$FZ36,'30_CASHFLOW'!$B$3:$FZ$3,"&gt;="&amp;(M$4-2),'30_CASHFLOW'!$B$3:$FZ$3,"&lt;="&amp;M$4)</f>
        <v>0</v>
      </c>
      <c r="N36" s="209">
        <f>SUMIFS('30_CASHFLOW'!$B36:$FZ36,'30_CASHFLOW'!$B$3:$FZ$3,"&gt;="&amp;(N$4-2),'30_CASHFLOW'!$B$3:$FZ$3,"&lt;="&amp;N$4)</f>
        <v>0</v>
      </c>
      <c r="O36" s="209">
        <f>SUMIFS('30_CASHFLOW'!$B36:$FZ36,'30_CASHFLOW'!$B$3:$FZ$3,"&gt;="&amp;(O$4-2),'30_CASHFLOW'!$B$3:$FZ$3,"&lt;="&amp;O$4)</f>
        <v>0</v>
      </c>
      <c r="P36" s="209">
        <f>SUMIFS('30_CASHFLOW'!$B36:$FZ36,'30_CASHFLOW'!$B$3:$FZ$3,"&gt;="&amp;(P$4-2),'30_CASHFLOW'!$B$3:$FZ$3,"&lt;="&amp;P$4)</f>
        <v>0</v>
      </c>
      <c r="Q36" s="209">
        <f>SUMIFS('30_CASHFLOW'!$B36:$FZ36,'30_CASHFLOW'!$B$3:$FZ$3,"&gt;="&amp;(Q$4-2),'30_CASHFLOW'!$B$3:$FZ$3,"&lt;="&amp;Q$4)</f>
        <v>0</v>
      </c>
      <c r="R36" s="209">
        <f>SUMIFS('30_CASHFLOW'!$B36:$FZ36,'30_CASHFLOW'!$B$3:$FZ$3,"&gt;="&amp;(R$4-2),'30_CASHFLOW'!$B$3:$FZ$3,"&lt;="&amp;R$4)</f>
        <v>0</v>
      </c>
      <c r="S36" s="209">
        <f>SUMIFS('30_CASHFLOW'!$B36:$FZ36,'30_CASHFLOW'!$B$3:$FZ$3,"&gt;="&amp;(S$4-2),'30_CASHFLOW'!$B$3:$FZ$3,"&lt;="&amp;S$4)</f>
        <v>0</v>
      </c>
      <c r="T36" s="209">
        <f>SUMIFS('30_CASHFLOW'!$B36:$FZ36,'30_CASHFLOW'!$B$3:$FZ$3,"&gt;="&amp;(T$4-2),'30_CASHFLOW'!$B$3:$FZ$3,"&lt;="&amp;T$4)</f>
        <v>0</v>
      </c>
      <c r="U36" s="209">
        <f>SUMIFS('30_CASHFLOW'!$B36:$FZ36,'30_CASHFLOW'!$B$3:$FZ$3,"&gt;="&amp;(U$4-2),'30_CASHFLOW'!$B$3:$FZ$3,"&lt;="&amp;U$4)</f>
        <v>0</v>
      </c>
    </row>
    <row r="37" spans="1:21" ht="15.75" customHeight="1" x14ac:dyDescent="0.25">
      <c r="A37" s="205" t="s">
        <v>292</v>
      </c>
      <c r="B37" s="204">
        <f>SUMIFS('30_CASHFLOW'!$B37:$FZ37,'30_CASHFLOW'!$B$3:$FZ$3,"&gt;="&amp;(B$4-2),'30_CASHFLOW'!$B$3:$FZ$3,"&lt;="&amp;B$4)</f>
        <v>0</v>
      </c>
      <c r="C37" s="204">
        <f>SUMIFS('30_CASHFLOW'!$B37:$FZ37,'30_CASHFLOW'!$B$3:$FZ$3,"&gt;="&amp;(C$4-2),'30_CASHFLOW'!$B$3:$FZ$3,"&lt;="&amp;C$4)</f>
        <v>0</v>
      </c>
      <c r="D37" s="204">
        <f>SUMIFS('30_CASHFLOW'!$B37:$FZ37,'30_CASHFLOW'!$B$3:$FZ$3,"&gt;="&amp;(D$4-2),'30_CASHFLOW'!$B$3:$FZ$3,"&lt;="&amp;D$4)</f>
        <v>0</v>
      </c>
      <c r="E37" s="204">
        <f>SUMIFS('30_CASHFLOW'!$B37:$FZ37,'30_CASHFLOW'!$B$3:$FZ$3,"&gt;="&amp;(E$4-2),'30_CASHFLOW'!$B$3:$FZ$3,"&lt;="&amp;E$4)</f>
        <v>-33305.519520000031</v>
      </c>
      <c r="F37" s="204">
        <f>SUMIFS('30_CASHFLOW'!$B37:$FZ37,'30_CASHFLOW'!$B$3:$FZ$3,"&gt;="&amp;(F$4-2),'30_CASHFLOW'!$B$3:$FZ$3,"&lt;="&amp;F$4)</f>
        <v>-4584.5654400000049</v>
      </c>
      <c r="G37" s="204">
        <f>SUMIFS('30_CASHFLOW'!$B37:$FZ37,'30_CASHFLOW'!$B$3:$FZ$3,"&gt;="&amp;(G$4-2),'30_CASHFLOW'!$B$3:$FZ$3,"&lt;="&amp;G$4)</f>
        <v>-3573.2642400000041</v>
      </c>
      <c r="H37" s="204">
        <f>SUMIFS('30_CASHFLOW'!$B37:$FZ37,'30_CASHFLOW'!$B$3:$FZ$3,"&gt;="&amp;(H$4-2),'30_CASHFLOW'!$B$3:$FZ$3,"&lt;="&amp;H$4)</f>
        <v>-2561.9630400000033</v>
      </c>
      <c r="I37" s="204">
        <f>SUMIFS('30_CASHFLOW'!$B37:$FZ37,'30_CASHFLOW'!$B$3:$FZ$3,"&gt;="&amp;(I$4-2),'30_CASHFLOW'!$B$3:$FZ$3,"&lt;="&amp;I$4)</f>
        <v>-1550.6618400000025</v>
      </c>
      <c r="J37" s="204">
        <f>SUMIFS('30_CASHFLOW'!$B37:$FZ37,'30_CASHFLOW'!$B$3:$FZ$3,"&gt;="&amp;(J$4-2),'30_CASHFLOW'!$B$3:$FZ$3,"&lt;="&amp;J$4)</f>
        <v>-539.36064000000135</v>
      </c>
      <c r="K37" s="204">
        <f>SUMIFS('30_CASHFLOW'!$B37:$FZ37,'30_CASHFLOW'!$B$3:$FZ$3,"&gt;="&amp;(K$4-2),'30_CASHFLOW'!$B$3:$FZ$3,"&lt;="&amp;K$4)</f>
        <v>0</v>
      </c>
      <c r="L37" s="204">
        <f>SUMIFS('30_CASHFLOW'!$B37:$FZ37,'30_CASHFLOW'!$B$3:$FZ$3,"&gt;="&amp;(L$4-2),'30_CASHFLOW'!$B$3:$FZ$3,"&lt;="&amp;L$4)</f>
        <v>0</v>
      </c>
      <c r="M37" s="204">
        <f>SUMIFS('30_CASHFLOW'!$B37:$FZ37,'30_CASHFLOW'!$B$3:$FZ$3,"&gt;="&amp;(M$4-2),'30_CASHFLOW'!$B$3:$FZ$3,"&lt;="&amp;M$4)</f>
        <v>-4552087.6015814329</v>
      </c>
      <c r="N37" s="204">
        <f>SUMIFS('30_CASHFLOW'!$B37:$FZ37,'30_CASHFLOW'!$B$3:$FZ$3,"&gt;="&amp;(N$4-2),'30_CASHFLOW'!$B$3:$FZ$3,"&lt;="&amp;N$4)</f>
        <v>0</v>
      </c>
      <c r="O37" s="204">
        <f>SUMIFS('30_CASHFLOW'!$B37:$FZ37,'30_CASHFLOW'!$B$3:$FZ$3,"&gt;="&amp;(O$4-2),'30_CASHFLOW'!$B$3:$FZ$3,"&lt;="&amp;O$4)</f>
        <v>0</v>
      </c>
      <c r="P37" s="204">
        <f>SUMIFS('30_CASHFLOW'!$B37:$FZ37,'30_CASHFLOW'!$B$3:$FZ$3,"&gt;="&amp;(P$4-2),'30_CASHFLOW'!$B$3:$FZ$3,"&lt;="&amp;P$4)</f>
        <v>0</v>
      </c>
      <c r="Q37" s="204">
        <f>SUMIFS('30_CASHFLOW'!$B37:$FZ37,'30_CASHFLOW'!$B$3:$FZ$3,"&gt;="&amp;(Q$4-2),'30_CASHFLOW'!$B$3:$FZ$3,"&lt;="&amp;Q$4)</f>
        <v>0</v>
      </c>
      <c r="R37" s="204">
        <f>SUMIFS('30_CASHFLOW'!$B37:$FZ37,'30_CASHFLOW'!$B$3:$FZ$3,"&gt;="&amp;(R$4-2),'30_CASHFLOW'!$B$3:$FZ$3,"&lt;="&amp;R$4)</f>
        <v>0</v>
      </c>
      <c r="S37" s="204">
        <f>SUMIFS('30_CASHFLOW'!$B37:$FZ37,'30_CASHFLOW'!$B$3:$FZ$3,"&gt;="&amp;(S$4-2),'30_CASHFLOW'!$B$3:$FZ$3,"&lt;="&amp;S$4)</f>
        <v>0</v>
      </c>
      <c r="T37" s="204">
        <f>SUMIFS('30_CASHFLOW'!$B37:$FZ37,'30_CASHFLOW'!$B$3:$FZ$3,"&gt;="&amp;(T$4-2),'30_CASHFLOW'!$B$3:$FZ$3,"&lt;="&amp;T$4)</f>
        <v>0</v>
      </c>
      <c r="U37" s="204">
        <f>SUMIFS('30_CASHFLOW'!$B37:$FZ37,'30_CASHFLOW'!$B$3:$FZ$3,"&gt;="&amp;(U$4-2),'30_CASHFLOW'!$B$3:$FZ$3,"&lt;="&amp;U$4)</f>
        <v>0</v>
      </c>
    </row>
    <row r="38" spans="1:21" s="18" customFormat="1" ht="15.75" customHeight="1" thickBot="1" x14ac:dyDescent="0.3">
      <c r="A38" s="208" t="s">
        <v>293</v>
      </c>
      <c r="B38" s="204">
        <f>SUMIFS('30_CASHFLOW'!$B38:$FZ38,'30_CASHFLOW'!$B$3:$FZ$3,"&gt;="&amp;(B$4-2),'30_CASHFLOW'!$B$3:$FZ$3,"&lt;="&amp;B$4)</f>
        <v>0</v>
      </c>
      <c r="C38" s="204">
        <f>SUMIFS('30_CASHFLOW'!$B38:$FZ38,'30_CASHFLOW'!$B$3:$FZ$3,"&gt;="&amp;(C$4-2),'30_CASHFLOW'!$B$3:$FZ$3,"&lt;="&amp;C$4)</f>
        <v>0</v>
      </c>
      <c r="D38" s="204">
        <f>SUMIFS('30_CASHFLOW'!$B38:$FZ38,'30_CASHFLOW'!$B$3:$FZ$3,"&gt;="&amp;(D$4-2),'30_CASHFLOW'!$B$3:$FZ$3,"&lt;="&amp;D$4)</f>
        <v>0</v>
      </c>
      <c r="E38" s="204">
        <f>SUMIFS('30_CASHFLOW'!$B38:$FZ38,'30_CASHFLOW'!$B$3:$FZ$3,"&gt;="&amp;(E$4-2),'30_CASHFLOW'!$B$3:$FZ$3,"&lt;="&amp;E$4)</f>
        <v>0</v>
      </c>
      <c r="F38" s="204">
        <f>SUMIFS('30_CASHFLOW'!$B38:$FZ38,'30_CASHFLOW'!$B$3:$FZ$3,"&gt;="&amp;(F$4-2),'30_CASHFLOW'!$B$3:$FZ$3,"&lt;="&amp;F$4)</f>
        <v>0</v>
      </c>
      <c r="G38" s="204">
        <f>SUMIFS('30_CASHFLOW'!$B38:$FZ38,'30_CASHFLOW'!$B$3:$FZ$3,"&gt;="&amp;(G$4-2),'30_CASHFLOW'!$B$3:$FZ$3,"&lt;="&amp;G$4)</f>
        <v>0</v>
      </c>
      <c r="H38" s="204">
        <f>SUMIFS('30_CASHFLOW'!$B38:$FZ38,'30_CASHFLOW'!$B$3:$FZ$3,"&gt;="&amp;(H$4-2),'30_CASHFLOW'!$B$3:$FZ$3,"&lt;="&amp;H$4)</f>
        <v>0</v>
      </c>
      <c r="I38" s="204">
        <f>SUMIFS('30_CASHFLOW'!$B38:$FZ38,'30_CASHFLOW'!$B$3:$FZ$3,"&gt;="&amp;(I$4-2),'30_CASHFLOW'!$B$3:$FZ$3,"&lt;="&amp;I$4)</f>
        <v>0</v>
      </c>
      <c r="J38" s="204">
        <f>SUMIFS('30_CASHFLOW'!$B38:$FZ38,'30_CASHFLOW'!$B$3:$FZ$3,"&gt;="&amp;(J$4-2),'30_CASHFLOW'!$B$3:$FZ$3,"&lt;="&amp;J$4)</f>
        <v>0</v>
      </c>
      <c r="K38" s="204">
        <f>SUMIFS('30_CASHFLOW'!$B38:$FZ38,'30_CASHFLOW'!$B$3:$FZ$3,"&gt;="&amp;(K$4-2),'30_CASHFLOW'!$B$3:$FZ$3,"&lt;="&amp;K$4)</f>
        <v>0</v>
      </c>
      <c r="L38" s="204">
        <f>SUMIFS('30_CASHFLOW'!$B38:$FZ38,'30_CASHFLOW'!$B$3:$FZ$3,"&gt;="&amp;(L$4-2),'30_CASHFLOW'!$B$3:$FZ$3,"&lt;="&amp;L$4)</f>
        <v>0</v>
      </c>
      <c r="M38" s="204">
        <f>SUMIFS('30_CASHFLOW'!$B38:$FZ38,'30_CASHFLOW'!$B$3:$FZ$3,"&gt;="&amp;(M$4-2),'30_CASHFLOW'!$B$3:$FZ$3,"&lt;="&amp;M$4)</f>
        <v>-253800.42760464069</v>
      </c>
      <c r="N38" s="204">
        <f>SUMIFS('30_CASHFLOW'!$B38:$FZ38,'30_CASHFLOW'!$B$3:$FZ$3,"&gt;="&amp;(N$4-2),'30_CASHFLOW'!$B$3:$FZ$3,"&lt;="&amp;N$4)</f>
        <v>0</v>
      </c>
      <c r="O38" s="204">
        <f>SUMIFS('30_CASHFLOW'!$B38:$FZ38,'30_CASHFLOW'!$B$3:$FZ$3,"&gt;="&amp;(O$4-2),'30_CASHFLOW'!$B$3:$FZ$3,"&lt;="&amp;O$4)</f>
        <v>0</v>
      </c>
      <c r="P38" s="204">
        <f>SUMIFS('30_CASHFLOW'!$B38:$FZ38,'30_CASHFLOW'!$B$3:$FZ$3,"&gt;="&amp;(P$4-2),'30_CASHFLOW'!$B$3:$FZ$3,"&lt;="&amp;P$4)</f>
        <v>0</v>
      </c>
      <c r="Q38" s="204">
        <f>SUMIFS('30_CASHFLOW'!$B38:$FZ38,'30_CASHFLOW'!$B$3:$FZ$3,"&gt;="&amp;(Q$4-2),'30_CASHFLOW'!$B$3:$FZ$3,"&lt;="&amp;Q$4)</f>
        <v>0</v>
      </c>
      <c r="R38" s="204">
        <f>SUMIFS('30_CASHFLOW'!$B38:$FZ38,'30_CASHFLOW'!$B$3:$FZ$3,"&gt;="&amp;(R$4-2),'30_CASHFLOW'!$B$3:$FZ$3,"&lt;="&amp;R$4)</f>
        <v>0</v>
      </c>
      <c r="S38" s="204">
        <f>SUMIFS('30_CASHFLOW'!$B38:$FZ38,'30_CASHFLOW'!$B$3:$FZ$3,"&gt;="&amp;(S$4-2),'30_CASHFLOW'!$B$3:$FZ$3,"&lt;="&amp;S$4)</f>
        <v>0</v>
      </c>
      <c r="T38" s="204">
        <f>SUMIFS('30_CASHFLOW'!$B38:$FZ38,'30_CASHFLOW'!$B$3:$FZ$3,"&gt;="&amp;(T$4-2),'30_CASHFLOW'!$B$3:$FZ$3,"&lt;="&amp;T$4)</f>
        <v>0</v>
      </c>
      <c r="U38" s="204">
        <f>SUMIFS('30_CASHFLOW'!$B38:$FZ38,'30_CASHFLOW'!$B$3:$FZ$3,"&gt;="&amp;(U$4-2),'30_CASHFLOW'!$B$3:$FZ$3,"&lt;="&amp;U$4)</f>
        <v>0</v>
      </c>
    </row>
    <row r="39" spans="1:21" s="254" customFormat="1" ht="15.75" customHeight="1" thickTop="1" x14ac:dyDescent="0.25">
      <c r="A39" s="250" t="s">
        <v>410</v>
      </c>
      <c r="B39" s="255">
        <f>SUMIFS('30_CASHFLOW'!$B39:$FZ39,'30_CASHFLOW'!$B$3:$FZ$3,"&gt;="&amp;(B$4-2),'30_CASHFLOW'!$B$3:$FZ$3,"&lt;="&amp;B$4)</f>
        <v>-1183546</v>
      </c>
      <c r="C39" s="255">
        <f>SUMIFS('30_CASHFLOW'!$B39:$FZ39,'30_CASHFLOW'!$B$3:$FZ$3,"&gt;="&amp;(C$4-2),'30_CASHFLOW'!$B$3:$FZ$3,"&lt;="&amp;C$4)</f>
        <v>0</v>
      </c>
      <c r="D39" s="255">
        <f>SUMIFS('30_CASHFLOW'!$B39:$FZ39,'30_CASHFLOW'!$B$3:$FZ$3,"&gt;="&amp;(D$4-2),'30_CASHFLOW'!$B$3:$FZ$3,"&lt;="&amp;D$4)</f>
        <v>0</v>
      </c>
      <c r="E39" s="255">
        <f>SUMIFS('30_CASHFLOW'!$B39:$FZ39,'30_CASHFLOW'!$B$3:$FZ$3,"&gt;="&amp;(E$4-2),'30_CASHFLOW'!$B$3:$FZ$3,"&lt;="&amp;E$4)</f>
        <v>-33305.519520000031</v>
      </c>
      <c r="F39" s="255">
        <f>SUMIFS('30_CASHFLOW'!$B39:$FZ39,'30_CASHFLOW'!$B$3:$FZ$3,"&gt;="&amp;(F$4-2),'30_CASHFLOW'!$B$3:$FZ$3,"&lt;="&amp;F$4)</f>
        <v>-4584.5654400000049</v>
      </c>
      <c r="G39" s="255">
        <f>SUMIFS('30_CASHFLOW'!$B39:$FZ39,'30_CASHFLOW'!$B$3:$FZ$3,"&gt;="&amp;(G$4-2),'30_CASHFLOW'!$B$3:$FZ$3,"&lt;="&amp;G$4)</f>
        <v>-3573.2642400000041</v>
      </c>
      <c r="H39" s="255">
        <f>SUMIFS('30_CASHFLOW'!$B39:$FZ39,'30_CASHFLOW'!$B$3:$FZ$3,"&gt;="&amp;(H$4-2),'30_CASHFLOW'!$B$3:$FZ$3,"&lt;="&amp;H$4)</f>
        <v>-2561.9630400000033</v>
      </c>
      <c r="I39" s="255">
        <f>SUMIFS('30_CASHFLOW'!$B39:$FZ39,'30_CASHFLOW'!$B$3:$FZ$3,"&gt;="&amp;(I$4-2),'30_CASHFLOW'!$B$3:$FZ$3,"&lt;="&amp;I$4)</f>
        <v>16324.338159999999</v>
      </c>
      <c r="J39" s="255">
        <f>SUMIFS('30_CASHFLOW'!$B39:$FZ39,'30_CASHFLOW'!$B$3:$FZ$3,"&gt;="&amp;(J$4-2),'30_CASHFLOW'!$B$3:$FZ$3,"&lt;="&amp;J$4)</f>
        <v>292963.5113600007</v>
      </c>
      <c r="K39" s="255">
        <f>SUMIFS('30_CASHFLOW'!$B39:$FZ39,'30_CASHFLOW'!$B$3:$FZ$3,"&gt;="&amp;(K$4-2),'30_CASHFLOW'!$B$3:$FZ$3,"&lt;="&amp;K$4)</f>
        <v>-233790.9600000002</v>
      </c>
      <c r="L39" s="255">
        <f>SUMIFS('30_CASHFLOW'!$B39:$FZ39,'30_CASHFLOW'!$B$3:$FZ$3,"&gt;="&amp;(L$4-2),'30_CASHFLOW'!$B$3:$FZ$3,"&lt;="&amp;L$4)</f>
        <v>-233790.9600000002</v>
      </c>
      <c r="M39" s="255">
        <f>SUMIFS('30_CASHFLOW'!$B39:$FZ39,'30_CASHFLOW'!$B$3:$FZ$3,"&gt;="&amp;(M$4-2),'30_CASHFLOW'!$B$3:$FZ$3,"&lt;="&amp;M$4)</f>
        <v>2101151.3308139262</v>
      </c>
      <c r="N39" s="255">
        <f>SUMIFS('30_CASHFLOW'!$B39:$FZ39,'30_CASHFLOW'!$B$3:$FZ$3,"&gt;="&amp;(N$4-2),'30_CASHFLOW'!$B$3:$FZ$3,"&lt;="&amp;N$4)</f>
        <v>0</v>
      </c>
      <c r="O39" s="255">
        <f>SUMIFS('30_CASHFLOW'!$B39:$FZ39,'30_CASHFLOW'!$B$3:$FZ$3,"&gt;="&amp;(O$4-2),'30_CASHFLOW'!$B$3:$FZ$3,"&lt;="&amp;O$4)</f>
        <v>0</v>
      </c>
      <c r="P39" s="255">
        <f>SUMIFS('30_CASHFLOW'!$B39:$FZ39,'30_CASHFLOW'!$B$3:$FZ$3,"&gt;="&amp;(P$4-2),'30_CASHFLOW'!$B$3:$FZ$3,"&lt;="&amp;P$4)</f>
        <v>0</v>
      </c>
      <c r="Q39" s="255">
        <f>SUMIFS('30_CASHFLOW'!$B39:$FZ39,'30_CASHFLOW'!$B$3:$FZ$3,"&gt;="&amp;(Q$4-2),'30_CASHFLOW'!$B$3:$FZ$3,"&lt;="&amp;Q$4)</f>
        <v>0</v>
      </c>
      <c r="R39" s="255">
        <f>SUMIFS('30_CASHFLOW'!$B39:$FZ39,'30_CASHFLOW'!$B$3:$FZ$3,"&gt;="&amp;(R$4-2),'30_CASHFLOW'!$B$3:$FZ$3,"&lt;="&amp;R$4)</f>
        <v>0</v>
      </c>
      <c r="S39" s="255">
        <f>SUMIFS('30_CASHFLOW'!$B39:$FZ39,'30_CASHFLOW'!$B$3:$FZ$3,"&gt;="&amp;(S$4-2),'30_CASHFLOW'!$B$3:$FZ$3,"&lt;="&amp;S$4)</f>
        <v>0</v>
      </c>
      <c r="T39" s="255">
        <f>SUMIFS('30_CASHFLOW'!$B39:$FZ39,'30_CASHFLOW'!$B$3:$FZ$3,"&gt;="&amp;(T$4-2),'30_CASHFLOW'!$B$3:$FZ$3,"&lt;="&amp;T$4)</f>
        <v>0</v>
      </c>
      <c r="U39" s="255">
        <f>SUMIFS('30_CASHFLOW'!$B39:$FZ39,'30_CASHFLOW'!$B$3:$FZ$3,"&gt;="&amp;(U$4-2),'30_CASHFLOW'!$B$3:$FZ$3,"&lt;="&amp;U$4)</f>
        <v>0</v>
      </c>
    </row>
    <row r="40" spans="1:21" x14ac:dyDescent="0.25">
      <c r="A40" s="205" t="s">
        <v>294</v>
      </c>
      <c r="B40" s="204" cm="1">
        <f t="array" ref="B40">LOOKUP(2,1/('30_CASHFLOW'!$B$3:$BI$3&lt;=B$4),'30_CASHFLOW'!$B40:$FZ40)</f>
        <v>0</v>
      </c>
      <c r="C40" s="204" cm="1">
        <f t="array" ref="C40">LOOKUP(2,1/('30_CASHFLOW'!$B$3:$BI$3&lt;=C$4),'30_CASHFLOW'!$B40:$FZ40)</f>
        <v>0</v>
      </c>
      <c r="D40" s="204" cm="1">
        <f t="array" ref="D40">LOOKUP(2,1/('30_CASHFLOW'!$B$3:$BI$3&lt;=D$4),'30_CASHFLOW'!$B40:$FZ40)</f>
        <v>0</v>
      </c>
      <c r="E40" s="204" cm="1">
        <f t="array" ref="E40">LOOKUP(2,1/('30_CASHFLOW'!$B$3:$BI$3&lt;=E$4),'30_CASHFLOW'!$B40:$FZ40)</f>
        <v>270298.33740000008</v>
      </c>
      <c r="F40" s="204" cm="1">
        <f t="array" ref="F40">LOOKUP(2,1/('30_CASHFLOW'!$B$3:$BI$3&lt;=F$4),'30_CASHFLOW'!$B40:$FZ40)</f>
        <v>1088649.2924719471</v>
      </c>
      <c r="G40" s="204" cm="1">
        <f t="array" ref="G40">LOOKUP(2,1/('30_CASHFLOW'!$B$3:$BI$3&lt;=G$4),'30_CASHFLOW'!$B40:$FZ40)</f>
        <v>1918304.2251276078</v>
      </c>
      <c r="H40" s="204" cm="1">
        <f t="array" ref="H40">LOOKUP(2,1/('30_CASHFLOW'!$B$3:$BI$3&lt;=H$4),'30_CASHFLOW'!$B40:$FZ40)</f>
        <v>2759419.2785332133</v>
      </c>
      <c r="I40" s="204" cm="1">
        <f t="array" ref="I40">LOOKUP(2,1/('30_CASHFLOW'!$B$3:$BI$3&lt;=I$4),'30_CASHFLOW'!$B40:$FZ40)</f>
        <v>3612152.7526788362</v>
      </c>
      <c r="J40" s="204" cm="1">
        <f t="array" ref="J40">LOOKUP(2,1/('30_CASHFLOW'!$B$3:$BI$3&lt;=J$4),'30_CASHFLOW'!$B40:$FZ40)</f>
        <v>4368545.799210852</v>
      </c>
      <c r="K40" s="204" cm="1">
        <f t="array" ref="K40">LOOKUP(2,1/('30_CASHFLOW'!$B$3:$BI$3&lt;=K$4),'30_CASHFLOW'!$B40:$FZ40)</f>
        <v>4428889.0339583009</v>
      </c>
      <c r="L40" s="204" cm="1">
        <f t="array" ref="L40">LOOKUP(2,1/('30_CASHFLOW'!$B$3:$BI$3&lt;=L$4),'30_CASHFLOW'!$B40:$FZ40)</f>
        <v>4490065.7968744235</v>
      </c>
      <c r="M40" s="204" cm="1">
        <f t="array" ref="M40">LOOKUP(2,1/('30_CASHFLOW'!$B$3:$BI$3&lt;=M$4),'30_CASHFLOW'!$B40:$FZ40)</f>
        <v>0</v>
      </c>
      <c r="N40" s="204" cm="1">
        <f t="array" ref="N40">LOOKUP(2,1/('30_CASHFLOW'!$B$3:$BI$3&lt;=N$4),'30_CASHFLOW'!$B40:$FZ40)</f>
        <v>0</v>
      </c>
      <c r="O40" s="204" cm="1">
        <f t="array" ref="O40">LOOKUP(2,1/('30_CASHFLOW'!$B$3:$BI$3&lt;=O$4),'30_CASHFLOW'!$B40:$FZ40)</f>
        <v>0</v>
      </c>
      <c r="P40" s="204" cm="1">
        <f t="array" ref="P40">LOOKUP(2,1/('30_CASHFLOW'!$B$3:$BI$3&lt;=P$4),'30_CASHFLOW'!$B40:$FZ40)</f>
        <v>0</v>
      </c>
      <c r="Q40" s="204" cm="1">
        <f t="array" ref="Q40">LOOKUP(2,1/('30_CASHFLOW'!$B$3:$BI$3&lt;=Q$4),'30_CASHFLOW'!$B40:$FZ40)</f>
        <v>0</v>
      </c>
      <c r="R40" s="204" cm="1">
        <f t="array" ref="R40">LOOKUP(2,1/('30_CASHFLOW'!$B$3:$BI$3&lt;=R$4),'30_CASHFLOW'!$B40:$FZ40)</f>
        <v>0</v>
      </c>
      <c r="S40" s="204" cm="1">
        <f t="array" ref="S40">LOOKUP(2,1/('30_CASHFLOW'!$B$3:$BI$3&lt;=S$4),'30_CASHFLOW'!$B40:$FZ40)</f>
        <v>0</v>
      </c>
      <c r="T40" s="204" cm="1">
        <f t="array" ref="T40">LOOKUP(2,1/('30_CASHFLOW'!$B$3:$BI$3&lt;=T$4),'30_CASHFLOW'!$B40:$FZ40)</f>
        <v>0</v>
      </c>
      <c r="U40" s="204" cm="1">
        <f t="array" ref="U40">LOOKUP(2,1/('30_CASHFLOW'!$B$3:$BI$3&lt;=U$4),'30_CASHFLOW'!$B40:$FZ40)</f>
        <v>0</v>
      </c>
    </row>
    <row r="41" spans="1:21" x14ac:dyDescent="0.25">
      <c r="A41" s="205" t="s">
        <v>295</v>
      </c>
      <c r="B41" s="204" cm="1">
        <f t="array" ref="B41">LOOKUP(2,1/('30_CASHFLOW'!$B$3:$BI$3&lt;=B$4),'30_CASHFLOW'!$B41:$FZ41)</f>
        <v>-1183546</v>
      </c>
      <c r="C41" s="204" cm="1">
        <f t="array" ref="C41">LOOKUP(2,1/('30_CASHFLOW'!$B$3:$BI$3&lt;=C$4),'30_CASHFLOW'!$B41:$FZ41)</f>
        <v>-1183546</v>
      </c>
      <c r="D41" s="204" cm="1">
        <f t="array" ref="D41">LOOKUP(2,1/('30_CASHFLOW'!$B$3:$BI$3&lt;=D$4),'30_CASHFLOW'!$B41:$FZ41)</f>
        <v>-1183546</v>
      </c>
      <c r="E41" s="204" cm="1">
        <f t="array" ref="E41">LOOKUP(2,1/('30_CASHFLOW'!$B$3:$BI$3&lt;=E$4),'30_CASHFLOW'!$B41:$FZ41)</f>
        <v>-1216851.5195200001</v>
      </c>
      <c r="F41" s="204" cm="1">
        <f t="array" ref="F41">LOOKUP(2,1/('30_CASHFLOW'!$B$3:$BI$3&lt;=F$4),'30_CASHFLOW'!$B41:$FZ41)</f>
        <v>-1221436.0849600001</v>
      </c>
      <c r="G41" s="204" cm="1">
        <f t="array" ref="G41">LOOKUP(2,1/('30_CASHFLOW'!$B$3:$BI$3&lt;=G$4),'30_CASHFLOW'!$B41:$FZ41)</f>
        <v>-1225009.3492000001</v>
      </c>
      <c r="H41" s="204" cm="1">
        <f t="array" ref="H41">LOOKUP(2,1/('30_CASHFLOW'!$B$3:$BI$3&lt;=H$4),'30_CASHFLOW'!$B41:$FZ41)</f>
        <v>-1227571.3122400001</v>
      </c>
      <c r="I41" s="204" cm="1">
        <f t="array" ref="I41">LOOKUP(2,1/('30_CASHFLOW'!$B$3:$BI$3&lt;=I$4),'30_CASHFLOW'!$B41:$FZ41)</f>
        <v>-1211246.9740800001</v>
      </c>
      <c r="J41" s="204" cm="1">
        <f t="array" ref="J41">LOOKUP(2,1/('30_CASHFLOW'!$B$3:$BI$3&lt;=J$4),'30_CASHFLOW'!$B41:$FZ41)</f>
        <v>-918283.46271999937</v>
      </c>
      <c r="K41" s="204" cm="1">
        <f t="array" ref="K41">LOOKUP(2,1/('30_CASHFLOW'!$B$3:$BI$3&lt;=K$4),'30_CASHFLOW'!$B41:$FZ41)</f>
        <v>-1152074.4227199994</v>
      </c>
      <c r="L41" s="204" cm="1">
        <f t="array" ref="L41">LOOKUP(2,1/('30_CASHFLOW'!$B$3:$BI$3&lt;=L$4),'30_CASHFLOW'!$B41:$FZ41)</f>
        <v>-1385865.3827199996</v>
      </c>
      <c r="M41" s="204" cm="1">
        <f t="array" ref="M41">LOOKUP(2,1/('30_CASHFLOW'!$B$3:$BI$3&lt;=M$4),'30_CASHFLOW'!$B41:$FZ41)</f>
        <v>715285.94809392653</v>
      </c>
      <c r="N41" s="204" cm="1">
        <f t="array" ref="N41">LOOKUP(2,1/('30_CASHFLOW'!$B$3:$BI$3&lt;=N$4),'30_CASHFLOW'!$B41:$FZ41)</f>
        <v>715285.94809392653</v>
      </c>
      <c r="O41" s="204" cm="1">
        <f t="array" ref="O41">LOOKUP(2,1/('30_CASHFLOW'!$B$3:$BI$3&lt;=O$4),'30_CASHFLOW'!$B41:$FZ41)</f>
        <v>715285.94809392653</v>
      </c>
      <c r="P41" s="204" cm="1">
        <f t="array" ref="P41">LOOKUP(2,1/('30_CASHFLOW'!$B$3:$BI$3&lt;=P$4),'30_CASHFLOW'!$B41:$FZ41)</f>
        <v>715285.94809392653</v>
      </c>
      <c r="Q41" s="204" cm="1">
        <f t="array" ref="Q41">LOOKUP(2,1/('30_CASHFLOW'!$B$3:$BI$3&lt;=Q$4),'30_CASHFLOW'!$B41:$FZ41)</f>
        <v>715285.94809392653</v>
      </c>
      <c r="R41" s="204" cm="1">
        <f t="array" ref="R41">LOOKUP(2,1/('30_CASHFLOW'!$B$3:$BI$3&lt;=R$4),'30_CASHFLOW'!$B41:$FZ41)</f>
        <v>715285.94809392653</v>
      </c>
      <c r="S41" s="204" cm="1">
        <f t="array" ref="S41">LOOKUP(2,1/('30_CASHFLOW'!$B$3:$BI$3&lt;=S$4),'30_CASHFLOW'!$B41:$FZ41)</f>
        <v>715285.94809392653</v>
      </c>
      <c r="T41" s="204" cm="1">
        <f t="array" ref="T41">LOOKUP(2,1/('30_CASHFLOW'!$B$3:$BI$3&lt;=T$4),'30_CASHFLOW'!$B41:$FZ41)</f>
        <v>715285.94809392653</v>
      </c>
      <c r="U41" s="204" cm="1">
        <f t="array" ref="U41">LOOKUP(2,1/('30_CASHFLOW'!$B$3:$BI$3&lt;=U$4),'30_CASHFLOW'!$B41:$FZ41)</f>
        <v>715285.94809392653</v>
      </c>
    </row>
    <row r="45" spans="1:21" x14ac:dyDescent="0.25">
      <c r="L45" s="1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707C-AA5A-40D2-94C4-92934471BFD7}">
  <sheetPr>
    <tabColor rgb="FFC1FCFF"/>
  </sheetPr>
  <dimension ref="A1:V3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1" sqref="B1:B1048576"/>
    </sheetView>
  </sheetViews>
  <sheetFormatPr baseColWidth="10" defaultColWidth="9.140625" defaultRowHeight="15" x14ac:dyDescent="0.25"/>
  <cols>
    <col min="1" max="2" width="56" customWidth="1"/>
    <col min="3" max="22" width="12.42578125" customWidth="1"/>
  </cols>
  <sheetData>
    <row r="1" spans="1:22" ht="26.25" x14ac:dyDescent="0.4">
      <c r="A1" s="199" t="s">
        <v>382</v>
      </c>
      <c r="B1" s="261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</row>
    <row r="2" spans="1:22" x14ac:dyDescent="0.25">
      <c r="A2" s="163" t="s">
        <v>301</v>
      </c>
      <c r="B2" s="150"/>
      <c r="C2" s="162" t="str">
        <f>'00_ESTRATEGIA'!B3</f>
        <v>Unifamiliar seg.</v>
      </c>
      <c r="D2" s="162"/>
      <c r="E2" s="162" t="s">
        <v>302</v>
      </c>
      <c r="F2" s="162" t="str">
        <f>'00_ESTRATEGIA'!B4</f>
        <v>Base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</row>
    <row r="3" spans="1:22" ht="6" customHeight="1" x14ac:dyDescent="0.25"/>
    <row r="4" spans="1:22" x14ac:dyDescent="0.25">
      <c r="A4" s="139" t="s">
        <v>281</v>
      </c>
      <c r="B4" s="140"/>
      <c r="C4" s="140" t="s">
        <v>185</v>
      </c>
      <c r="D4" s="140" t="s">
        <v>185</v>
      </c>
      <c r="E4" s="140" t="s">
        <v>185</v>
      </c>
      <c r="F4" s="140" t="s">
        <v>185</v>
      </c>
      <c r="G4" s="140" t="s">
        <v>186</v>
      </c>
      <c r="H4" s="140" t="s">
        <v>186</v>
      </c>
      <c r="I4" s="140" t="s">
        <v>186</v>
      </c>
      <c r="J4" s="140" t="s">
        <v>186</v>
      </c>
      <c r="K4" s="140" t="s">
        <v>187</v>
      </c>
      <c r="L4" s="140" t="s">
        <v>187</v>
      </c>
      <c r="M4" s="140" t="s">
        <v>187</v>
      </c>
      <c r="N4" s="140" t="s">
        <v>187</v>
      </c>
      <c r="O4" s="140" t="s">
        <v>188</v>
      </c>
      <c r="P4" s="140" t="s">
        <v>188</v>
      </c>
      <c r="Q4" s="140" t="s">
        <v>188</v>
      </c>
      <c r="R4" s="140" t="s">
        <v>188</v>
      </c>
      <c r="S4" s="140" t="s">
        <v>189</v>
      </c>
      <c r="T4" s="140" t="s">
        <v>189</v>
      </c>
      <c r="U4" s="140" t="s">
        <v>189</v>
      </c>
      <c r="V4" s="140" t="s">
        <v>189</v>
      </c>
    </row>
    <row r="5" spans="1:22" ht="15.75" customHeight="1" thickBot="1" x14ac:dyDescent="0.3">
      <c r="A5" s="141" t="s">
        <v>184</v>
      </c>
      <c r="B5" s="258"/>
      <c r="C5" s="142">
        <v>2</v>
      </c>
      <c r="D5" s="142">
        <v>5</v>
      </c>
      <c r="E5" s="142">
        <v>8</v>
      </c>
      <c r="F5" s="142">
        <v>11</v>
      </c>
      <c r="G5" s="142">
        <v>14</v>
      </c>
      <c r="H5" s="142">
        <v>17</v>
      </c>
      <c r="I5" s="142">
        <v>20</v>
      </c>
      <c r="J5" s="142">
        <v>23</v>
      </c>
      <c r="K5" s="142">
        <v>26</v>
      </c>
      <c r="L5" s="142">
        <v>29</v>
      </c>
      <c r="M5" s="142">
        <v>32</v>
      </c>
      <c r="N5" s="142">
        <v>35</v>
      </c>
      <c r="O5" s="142">
        <v>38</v>
      </c>
      <c r="P5" s="142">
        <v>41</v>
      </c>
      <c r="Q5" s="142">
        <v>44</v>
      </c>
      <c r="R5" s="142">
        <v>47</v>
      </c>
      <c r="S5" s="142">
        <v>50</v>
      </c>
      <c r="T5" s="142">
        <v>53</v>
      </c>
      <c r="U5" s="142">
        <v>56</v>
      </c>
      <c r="V5" s="142">
        <v>59</v>
      </c>
    </row>
    <row r="6" spans="1:22" ht="15.75" customHeight="1" thickBot="1" x14ac:dyDescent="0.3">
      <c r="A6" s="143" t="s">
        <v>303</v>
      </c>
      <c r="B6" s="259"/>
      <c r="C6" s="160" t="s">
        <v>383</v>
      </c>
      <c r="D6" s="160" t="s">
        <v>384</v>
      </c>
      <c r="E6" s="160" t="s">
        <v>385</v>
      </c>
      <c r="F6" s="160" t="s">
        <v>386</v>
      </c>
      <c r="G6" s="160" t="s">
        <v>387</v>
      </c>
      <c r="H6" s="160" t="s">
        <v>388</v>
      </c>
      <c r="I6" s="160" t="s">
        <v>389</v>
      </c>
      <c r="J6" s="160" t="s">
        <v>390</v>
      </c>
      <c r="K6" s="160" t="s">
        <v>391</v>
      </c>
      <c r="L6" s="160" t="s">
        <v>392</v>
      </c>
      <c r="M6" s="160" t="s">
        <v>393</v>
      </c>
      <c r="N6" s="160" t="s">
        <v>394</v>
      </c>
      <c r="O6" s="160" t="s">
        <v>395</v>
      </c>
      <c r="P6" s="160" t="s">
        <v>396</v>
      </c>
      <c r="Q6" s="160" t="s">
        <v>397</v>
      </c>
      <c r="R6" s="160" t="s">
        <v>398</v>
      </c>
      <c r="S6" s="160" t="s">
        <v>399</v>
      </c>
      <c r="T6" s="160" t="s">
        <v>400</v>
      </c>
      <c r="U6" s="160" t="s">
        <v>401</v>
      </c>
      <c r="V6" s="160" t="s">
        <v>402</v>
      </c>
    </row>
    <row r="7" spans="1:22" x14ac:dyDescent="0.25">
      <c r="A7" s="164" t="s">
        <v>137</v>
      </c>
      <c r="B7" s="262"/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</row>
    <row r="8" spans="1:22" ht="15.75" thickBot="1" x14ac:dyDescent="0.3">
      <c r="A8" s="33" t="s">
        <v>304</v>
      </c>
      <c r="B8" s="260"/>
      <c r="C8" s="204">
        <f>SUMIFS('31_P&amp;L'!$B$6:$BI$6,'31_P&amp;L'!$B$3:$BI$3,"&gt;="&amp;0,'31_P&amp;L'!$B$3:$BI$3,"&lt;="&amp;2)</f>
        <v>0</v>
      </c>
      <c r="D8" s="204">
        <f>SUMIFS('31_P&amp;L'!$B$6:$BI$6,'31_P&amp;L'!$B$3:$BI$3,"&gt;="&amp;3,'31_P&amp;L'!$B$3:$BI$3,"&lt;="&amp;5)</f>
        <v>0</v>
      </c>
      <c r="E8" s="204">
        <f>SUMIFS('31_P&amp;L'!$B$6:$BI$6,'31_P&amp;L'!$B$3:$BI$3,"&gt;="&amp;6,'31_P&amp;L'!$B$3:$BI$3,"&lt;="&amp;8)</f>
        <v>0</v>
      </c>
      <c r="F8" s="204">
        <f>SUMIFS('31_P&amp;L'!$B$6:$BI$6,'31_P&amp;L'!$B$3:$BI$3,"&gt;="&amp;9,'31_P&amp;L'!$B$3:$BI$3,"&lt;="&amp;11)</f>
        <v>0</v>
      </c>
      <c r="G8" s="204">
        <f>SUMIFS('31_P&amp;L'!$B$6:$BI$6,'31_P&amp;L'!$B$3:$BI$3,"&gt;="&amp;12,'31_P&amp;L'!$B$3:$BI$3,"&lt;="&amp;14)</f>
        <v>0</v>
      </c>
      <c r="H8" s="204">
        <f>SUMIFS('31_P&amp;L'!$B$6:$BI$6,'31_P&amp;L'!$B$3:$BI$3,"&gt;="&amp;15,'31_P&amp;L'!$B$3:$BI$3,"&lt;="&amp;17)</f>
        <v>0</v>
      </c>
      <c r="I8" s="204">
        <f>SUMIFS('31_P&amp;L'!$B$6:$BI$6,'31_P&amp;L'!$B$3:$BI$3,"&gt;="&amp;18,'31_P&amp;L'!$B$3:$BI$3,"&lt;="&amp;20)</f>
        <v>0</v>
      </c>
      <c r="J8" s="204">
        <f>SUMIFS('31_P&amp;L'!$B$6:$BI$6,'31_P&amp;L'!$B$3:$BI$3,"&gt;="&amp;21,'31_P&amp;L'!$B$3:$BI$3,"&lt;="&amp;23)</f>
        <v>0</v>
      </c>
      <c r="K8" s="204">
        <f>SUMIFS('31_P&amp;L'!$B$6:$BI$6,'31_P&amp;L'!$B$3:$BI$3,"&gt;="&amp;24,'31_P&amp;L'!$B$3:$BI$3,"&lt;="&amp;26)</f>
        <v>0</v>
      </c>
      <c r="L8" s="204">
        <f>SUMIFS('31_P&amp;L'!$B$6:$BI$6,'31_P&amp;L'!$B$3:$BI$3,"&gt;="&amp;27,'31_P&amp;L'!$B$3:$BI$3,"&lt;="&amp;29)</f>
        <v>0</v>
      </c>
      <c r="M8" s="204">
        <f>SUMIFS('31_P&amp;L'!$B$6:$BI$6,'31_P&amp;L'!$B$3:$BI$3,"&gt;="&amp;30,'31_P&amp;L'!$B$3:$BI$3,"&lt;="&amp;32)</f>
        <v>0</v>
      </c>
      <c r="N8" s="204">
        <f>SUMIFS('31_P&amp;L'!$B$6:$BI$6,'31_P&amp;L'!$B$3:$BI$3,"&gt;="&amp;33,'31_P&amp;L'!$B$3:$BI$3,"&lt;="&amp;35)</f>
        <v>9295000</v>
      </c>
      <c r="O8" s="204">
        <f>SUMIFS('31_P&amp;L'!$B$6:$BI$6,'31_P&amp;L'!$B$3:$BI$3,"&gt;="&amp;36,'31_P&amp;L'!$B$3:$BI$3,"&lt;="&amp;38)</f>
        <v>0</v>
      </c>
      <c r="P8" s="204">
        <f>SUMIFS('31_P&amp;L'!$B$6:$BI$6,'31_P&amp;L'!$B$3:$BI$3,"&gt;="&amp;39,'31_P&amp;L'!$B$3:$BI$3,"&lt;="&amp;41)</f>
        <v>0</v>
      </c>
      <c r="Q8" s="204">
        <f>SUMIFS('31_P&amp;L'!$B$6:$BI$6,'31_P&amp;L'!$B$3:$BI$3,"&gt;="&amp;42,'31_P&amp;L'!$B$3:$BI$3,"&lt;="&amp;44)</f>
        <v>0</v>
      </c>
      <c r="R8" s="204">
        <f>SUMIFS('31_P&amp;L'!$B$6:$BI$6,'31_P&amp;L'!$B$3:$BI$3,"&gt;="&amp;45,'31_P&amp;L'!$B$3:$BI$3,"&lt;="&amp;47)</f>
        <v>0</v>
      </c>
      <c r="S8" s="204">
        <f>SUMIFS('31_P&amp;L'!$B$6:$BI$6,'31_P&amp;L'!$B$3:$BI$3,"&gt;="&amp;48,'31_P&amp;L'!$B$3:$BI$3,"&lt;="&amp;50)</f>
        <v>0</v>
      </c>
      <c r="T8" s="204">
        <f>SUMIFS('31_P&amp;L'!$B$6:$BI$6,'31_P&amp;L'!$B$3:$BI$3,"&gt;="&amp;51,'31_P&amp;L'!$B$3:$BI$3,"&lt;="&amp;53)</f>
        <v>0</v>
      </c>
      <c r="U8" s="204">
        <f>SUMIFS('31_P&amp;L'!$B$6:$BI$6,'31_P&amp;L'!$B$3:$BI$3,"&gt;="&amp;54,'31_P&amp;L'!$B$3:$BI$3,"&lt;="&amp;56)</f>
        <v>0</v>
      </c>
      <c r="V8" s="204">
        <f>SUMIFS('31_P&amp;L'!$B$6:$BI$6,'31_P&amp;L'!$B$3:$BI$3,"&gt;="&amp;57,'31_P&amp;L'!$B$3:$BI$3,"&lt;="&amp;59)</f>
        <v>0</v>
      </c>
    </row>
    <row r="9" spans="1:22" x14ac:dyDescent="0.25">
      <c r="A9" s="153" t="s">
        <v>305</v>
      </c>
      <c r="B9" s="241"/>
      <c r="C9" s="166">
        <f>SUMIFS('31_P&amp;L'!$B$7:$BI$7,'31_P&amp;L'!$B$3:$BI$3,"&gt;="&amp;0,'31_P&amp;L'!$B$3:$BI$3,"&lt;="&amp;2)</f>
        <v>0</v>
      </c>
      <c r="D9" s="166">
        <f>SUMIFS('31_P&amp;L'!$B$7:$BI$7,'31_P&amp;L'!$B$3:$BI$3,"&gt;="&amp;3,'31_P&amp;L'!$B$3:$BI$3,"&lt;="&amp;5)</f>
        <v>0</v>
      </c>
      <c r="E9" s="166">
        <f>SUMIFS('31_P&amp;L'!$B$7:$BI$7,'31_P&amp;L'!$B$3:$BI$3,"&gt;="&amp;6,'31_P&amp;L'!$B$3:$BI$3,"&lt;="&amp;8)</f>
        <v>0</v>
      </c>
      <c r="F9" s="166">
        <f>SUMIFS('31_P&amp;L'!$B$7:$BI$7,'31_P&amp;L'!$B$3:$BI$3,"&gt;="&amp;9,'31_P&amp;L'!$B$3:$BI$3,"&lt;="&amp;11)</f>
        <v>0</v>
      </c>
      <c r="G9" s="166">
        <f>SUMIFS('31_P&amp;L'!$B$7:$BI$7,'31_P&amp;L'!$B$3:$BI$3,"&gt;="&amp;12,'31_P&amp;L'!$B$3:$BI$3,"&lt;="&amp;14)</f>
        <v>0</v>
      </c>
      <c r="H9" s="166">
        <f>SUMIFS('31_P&amp;L'!$B$7:$BI$7,'31_P&amp;L'!$B$3:$BI$3,"&gt;="&amp;15,'31_P&amp;L'!$B$3:$BI$3,"&lt;="&amp;17)</f>
        <v>0</v>
      </c>
      <c r="I9" s="166">
        <f>SUMIFS('31_P&amp;L'!$B$7:$BI$7,'31_P&amp;L'!$B$3:$BI$3,"&gt;="&amp;18,'31_P&amp;L'!$B$3:$BI$3,"&lt;="&amp;20)</f>
        <v>0</v>
      </c>
      <c r="J9" s="166">
        <f>SUMIFS('31_P&amp;L'!$B$7:$BI$7,'31_P&amp;L'!$B$3:$BI$3,"&gt;="&amp;21,'31_P&amp;L'!$B$3:$BI$3,"&lt;="&amp;23)</f>
        <v>0</v>
      </c>
      <c r="K9" s="166">
        <f>SUMIFS('31_P&amp;L'!$B$7:$BI$7,'31_P&amp;L'!$B$3:$BI$3,"&gt;="&amp;24,'31_P&amp;L'!$B$3:$BI$3,"&lt;="&amp;26)</f>
        <v>0</v>
      </c>
      <c r="L9" s="166">
        <f>SUMIFS('31_P&amp;L'!$B$7:$BI$7,'31_P&amp;L'!$B$3:$BI$3,"&gt;="&amp;27,'31_P&amp;L'!$B$3:$BI$3,"&lt;="&amp;29)</f>
        <v>0</v>
      </c>
      <c r="M9" s="166">
        <f>SUMIFS('31_P&amp;L'!$B$7:$BI$7,'31_P&amp;L'!$B$3:$BI$3,"&gt;="&amp;30,'31_P&amp;L'!$B$3:$BI$3,"&lt;="&amp;32)</f>
        <v>0</v>
      </c>
      <c r="N9" s="166">
        <f>SUMIFS('31_P&amp;L'!$B$7:$BI$7,'31_P&amp;L'!$B$3:$BI$3,"&gt;="&amp;33,'31_P&amp;L'!$B$3:$BI$3,"&lt;="&amp;35)</f>
        <v>9295000</v>
      </c>
      <c r="O9" s="166">
        <f>SUMIFS('31_P&amp;L'!$B$7:$BI$7,'31_P&amp;L'!$B$3:$BI$3,"&gt;="&amp;36,'31_P&amp;L'!$B$3:$BI$3,"&lt;="&amp;38)</f>
        <v>0</v>
      </c>
      <c r="P9" s="166">
        <f>SUMIFS('31_P&amp;L'!$B$7:$BI$7,'31_P&amp;L'!$B$3:$BI$3,"&gt;="&amp;39,'31_P&amp;L'!$B$3:$BI$3,"&lt;="&amp;41)</f>
        <v>0</v>
      </c>
      <c r="Q9" s="166">
        <f>SUMIFS('31_P&amp;L'!$B$7:$BI$7,'31_P&amp;L'!$B$3:$BI$3,"&gt;="&amp;42,'31_P&amp;L'!$B$3:$BI$3,"&lt;="&amp;44)</f>
        <v>0</v>
      </c>
      <c r="R9" s="166">
        <f>SUMIFS('31_P&amp;L'!$B$7:$BI$7,'31_P&amp;L'!$B$3:$BI$3,"&gt;="&amp;45,'31_P&amp;L'!$B$3:$BI$3,"&lt;="&amp;47)</f>
        <v>0</v>
      </c>
      <c r="S9" s="166">
        <f>SUMIFS('31_P&amp;L'!$B$7:$BI$7,'31_P&amp;L'!$B$3:$BI$3,"&gt;="&amp;48,'31_P&amp;L'!$B$3:$BI$3,"&lt;="&amp;50)</f>
        <v>0</v>
      </c>
      <c r="T9" s="166">
        <f>SUMIFS('31_P&amp;L'!$B$7:$BI$7,'31_P&amp;L'!$B$3:$BI$3,"&gt;="&amp;51,'31_P&amp;L'!$B$3:$BI$3,"&lt;="&amp;53)</f>
        <v>0</v>
      </c>
      <c r="U9" s="166">
        <f>SUMIFS('31_P&amp;L'!$B$7:$BI$7,'31_P&amp;L'!$B$3:$BI$3,"&gt;="&amp;54,'31_P&amp;L'!$B$3:$BI$3,"&lt;="&amp;56)</f>
        <v>0</v>
      </c>
      <c r="V9" s="166">
        <f>SUMIFS('31_P&amp;L'!$B$7:$BI$7,'31_P&amp;L'!$B$3:$BI$3,"&gt;="&amp;57,'31_P&amp;L'!$B$3:$BI$3,"&lt;="&amp;59)</f>
        <v>0</v>
      </c>
    </row>
    <row r="10" spans="1:22" ht="15.75" customHeight="1" thickBot="1" x14ac:dyDescent="0.3"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</row>
    <row r="11" spans="1:22" x14ac:dyDescent="0.25">
      <c r="A11" s="164" t="s">
        <v>306</v>
      </c>
      <c r="B11" s="262"/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</row>
    <row r="12" spans="1:22" x14ac:dyDescent="0.25">
      <c r="A12" s="203" t="s">
        <v>307</v>
      </c>
      <c r="B12" s="203"/>
      <c r="C12" s="204">
        <f>SUMIFS('31_P&amp;L'!$B$10:$BI$10,'31_P&amp;L'!$B$3:$BI$3,"&gt;="&amp;0,'31_P&amp;L'!$B$3:$BI$3,"&lt;="&amp;2)</f>
        <v>0</v>
      </c>
      <c r="D12" s="204">
        <f>SUMIFS('31_P&amp;L'!$B$10:$BI$10,'31_P&amp;L'!$B$3:$BI$3,"&gt;="&amp;3,'31_P&amp;L'!$B$3:$BI$3,"&lt;="&amp;5)</f>
        <v>0</v>
      </c>
      <c r="E12" s="204">
        <f>SUMIFS('31_P&amp;L'!$B$10:$BI$10,'31_P&amp;L'!$B$3:$BI$3,"&gt;="&amp;6,'31_P&amp;L'!$B$3:$BI$3,"&lt;="&amp;8)</f>
        <v>0</v>
      </c>
      <c r="F12" s="204">
        <f>SUMIFS('31_P&amp;L'!$B$10:$BI$10,'31_P&amp;L'!$B$3:$BI$3,"&gt;="&amp;9,'31_P&amp;L'!$B$3:$BI$3,"&lt;="&amp;11)</f>
        <v>0</v>
      </c>
      <c r="G12" s="204">
        <f>SUMIFS('31_P&amp;L'!$B$10:$BI$10,'31_P&amp;L'!$B$3:$BI$3,"&gt;="&amp;12,'31_P&amp;L'!$B$3:$BI$3,"&lt;="&amp;14)</f>
        <v>0</v>
      </c>
      <c r="H12" s="204">
        <f>SUMIFS('31_P&amp;L'!$B$10:$BI$10,'31_P&amp;L'!$B$3:$BI$3,"&gt;="&amp;15,'31_P&amp;L'!$B$3:$BI$3,"&lt;="&amp;17)</f>
        <v>0</v>
      </c>
      <c r="I12" s="204">
        <f>SUMIFS('31_P&amp;L'!$B$10:$BI$10,'31_P&amp;L'!$B$3:$BI$3,"&gt;="&amp;18,'31_P&amp;L'!$B$3:$BI$3,"&lt;="&amp;20)</f>
        <v>0</v>
      </c>
      <c r="J12" s="204">
        <f>SUMIFS('31_P&amp;L'!$B$10:$BI$10,'31_P&amp;L'!$B$3:$BI$3,"&gt;="&amp;21,'31_P&amp;L'!$B$3:$BI$3,"&lt;="&amp;23)</f>
        <v>0</v>
      </c>
      <c r="K12" s="204">
        <f>SUMIFS('31_P&amp;L'!$B$10:$BI$10,'31_P&amp;L'!$B$3:$BI$3,"&gt;="&amp;24,'31_P&amp;L'!$B$3:$BI$3,"&lt;="&amp;26)</f>
        <v>0</v>
      </c>
      <c r="L12" s="204">
        <f>SUMIFS('31_P&amp;L'!$B$10:$BI$10,'31_P&amp;L'!$B$3:$BI$3,"&gt;="&amp;27,'31_P&amp;L'!$B$3:$BI$3,"&lt;="&amp;29)</f>
        <v>0</v>
      </c>
      <c r="M12" s="204">
        <f>SUMIFS('31_P&amp;L'!$B$10:$BI$10,'31_P&amp;L'!$B$3:$BI$3,"&gt;="&amp;30,'31_P&amp;L'!$B$3:$BI$3,"&lt;="&amp;32)</f>
        <v>0</v>
      </c>
      <c r="N12" s="204">
        <f>SUMIFS('31_P&amp;L'!$B$10:$BI$10,'31_P&amp;L'!$B$3:$BI$3,"&gt;="&amp;33,'31_P&amp;L'!$B$3:$BI$3,"&lt;="&amp;35)</f>
        <v>1183546</v>
      </c>
      <c r="O12" s="204">
        <f>SUMIFS('31_P&amp;L'!$B$10:$BI$10,'31_P&amp;L'!$B$3:$BI$3,"&gt;="&amp;36,'31_P&amp;L'!$B$3:$BI$3,"&lt;="&amp;38)</f>
        <v>0</v>
      </c>
      <c r="P12" s="204">
        <f>SUMIFS('31_P&amp;L'!$B$10:$BI$10,'31_P&amp;L'!$B$3:$BI$3,"&gt;="&amp;39,'31_P&amp;L'!$B$3:$BI$3,"&lt;="&amp;41)</f>
        <v>0</v>
      </c>
      <c r="Q12" s="204">
        <f>SUMIFS('31_P&amp;L'!$B$10:$BI$10,'31_P&amp;L'!$B$3:$BI$3,"&gt;="&amp;42,'31_P&amp;L'!$B$3:$BI$3,"&lt;="&amp;44)</f>
        <v>0</v>
      </c>
      <c r="R12" s="204">
        <f>SUMIFS('31_P&amp;L'!$B$10:$BI$10,'31_P&amp;L'!$B$3:$BI$3,"&gt;="&amp;45,'31_P&amp;L'!$B$3:$BI$3,"&lt;="&amp;47)</f>
        <v>0</v>
      </c>
      <c r="S12" s="204">
        <f>SUMIFS('31_P&amp;L'!$B$10:$BI$10,'31_P&amp;L'!$B$3:$BI$3,"&gt;="&amp;48,'31_P&amp;L'!$B$3:$BI$3,"&lt;="&amp;50)</f>
        <v>0</v>
      </c>
      <c r="T12" s="204">
        <f>SUMIFS('31_P&amp;L'!$B$10:$BI$10,'31_P&amp;L'!$B$3:$BI$3,"&gt;="&amp;51,'31_P&amp;L'!$B$3:$BI$3,"&lt;="&amp;53)</f>
        <v>0</v>
      </c>
      <c r="U12" s="204">
        <f>SUMIFS('31_P&amp;L'!$B$10:$BI$10,'31_P&amp;L'!$B$3:$BI$3,"&gt;="&amp;54,'31_P&amp;L'!$B$3:$BI$3,"&lt;="&amp;56)</f>
        <v>0</v>
      </c>
      <c r="V12" s="204">
        <f>SUMIFS('31_P&amp;L'!$B$10:$BI$10,'31_P&amp;L'!$B$3:$BI$3,"&gt;="&amp;57,'31_P&amp;L'!$B$3:$BI$3,"&lt;="&amp;59)</f>
        <v>0</v>
      </c>
    </row>
    <row r="13" spans="1:22" x14ac:dyDescent="0.25">
      <c r="A13" s="203" t="s">
        <v>378</v>
      </c>
      <c r="B13" s="203"/>
      <c r="C13" s="204">
        <f>SUMIFS('31_P&amp;L'!$B$11:$BI$11,'31_P&amp;L'!$B$3:$BI$3,"&gt;="&amp;0,'31_P&amp;L'!$B$3:$BI$3,"&lt;="&amp;2)</f>
        <v>0</v>
      </c>
      <c r="D13" s="204">
        <f>SUMIFS('31_P&amp;L'!$B$11:$BI$11,'31_P&amp;L'!$B$3:$BI$3,"&gt;="&amp;3,'31_P&amp;L'!$B$3:$BI$3,"&lt;="&amp;5)</f>
        <v>0</v>
      </c>
      <c r="E13" s="204">
        <f>SUMIFS('31_P&amp;L'!$B$11:$BI$11,'31_P&amp;L'!$B$3:$BI$3,"&gt;="&amp;6,'31_P&amp;L'!$B$3:$BI$3,"&lt;="&amp;8)</f>
        <v>0</v>
      </c>
      <c r="F13" s="204">
        <f>SUMIFS('31_P&amp;L'!$B$11:$BI$11,'31_P&amp;L'!$B$3:$BI$3,"&gt;="&amp;9,'31_P&amp;L'!$B$3:$BI$3,"&lt;="&amp;11)</f>
        <v>0</v>
      </c>
      <c r="G13" s="204">
        <f>SUMIFS('31_P&amp;L'!$B$11:$BI$11,'31_P&amp;L'!$B$3:$BI$3,"&gt;="&amp;12,'31_P&amp;L'!$B$3:$BI$3,"&lt;="&amp;14)</f>
        <v>0</v>
      </c>
      <c r="H13" s="204">
        <f>SUMIFS('31_P&amp;L'!$B$11:$BI$11,'31_P&amp;L'!$B$3:$BI$3,"&gt;="&amp;15,'31_P&amp;L'!$B$3:$BI$3,"&lt;="&amp;17)</f>
        <v>0</v>
      </c>
      <c r="I13" s="204">
        <f>SUMIFS('31_P&amp;L'!$B$11:$BI$11,'31_P&amp;L'!$B$3:$BI$3,"&gt;="&amp;18,'31_P&amp;L'!$B$3:$BI$3,"&lt;="&amp;20)</f>
        <v>0</v>
      </c>
      <c r="J13" s="204">
        <f>SUMIFS('31_P&amp;L'!$B$11:$BI$11,'31_P&amp;L'!$B$3:$BI$3,"&gt;="&amp;21,'31_P&amp;L'!$B$3:$BI$3,"&lt;="&amp;23)</f>
        <v>0</v>
      </c>
      <c r="K13" s="204">
        <f>SUMIFS('31_P&amp;L'!$B$11:$BI$11,'31_P&amp;L'!$B$3:$BI$3,"&gt;="&amp;24,'31_P&amp;L'!$B$3:$BI$3,"&lt;="&amp;26)</f>
        <v>0</v>
      </c>
      <c r="L13" s="204">
        <f>SUMIFS('31_P&amp;L'!$B$11:$BI$11,'31_P&amp;L'!$B$3:$BI$3,"&gt;="&amp;27,'31_P&amp;L'!$B$3:$BI$3,"&lt;="&amp;29)</f>
        <v>0</v>
      </c>
      <c r="M13" s="204">
        <f>SUMIFS('31_P&amp;L'!$B$11:$BI$11,'31_P&amp;L'!$B$3:$BI$3,"&gt;="&amp;30,'31_P&amp;L'!$B$3:$BI$3,"&lt;="&amp;32)</f>
        <v>0</v>
      </c>
      <c r="N13" s="204">
        <f>SUMIFS('31_P&amp;L'!$B$11:$BI$11,'31_P&amp;L'!$B$3:$BI$3,"&gt;="&amp;33,'31_P&amp;L'!$B$3:$BI$3,"&lt;="&amp;35)</f>
        <v>6472327.6800000053</v>
      </c>
      <c r="O13" s="204">
        <f>SUMIFS('31_P&amp;L'!$B$11:$BI$11,'31_P&amp;L'!$B$3:$BI$3,"&gt;="&amp;36,'31_P&amp;L'!$B$3:$BI$3,"&lt;="&amp;38)</f>
        <v>0</v>
      </c>
      <c r="P13" s="204">
        <f>SUMIFS('31_P&amp;L'!$B$11:$BI$11,'31_P&amp;L'!$B$3:$BI$3,"&gt;="&amp;39,'31_P&amp;L'!$B$3:$BI$3,"&lt;="&amp;41)</f>
        <v>0</v>
      </c>
      <c r="Q13" s="204">
        <f>SUMIFS('31_P&amp;L'!$B$11:$BI$11,'31_P&amp;L'!$B$3:$BI$3,"&gt;="&amp;42,'31_P&amp;L'!$B$3:$BI$3,"&lt;="&amp;44)</f>
        <v>0</v>
      </c>
      <c r="R13" s="204">
        <f>SUMIFS('31_P&amp;L'!$B$11:$BI$11,'31_P&amp;L'!$B$3:$BI$3,"&gt;="&amp;45,'31_P&amp;L'!$B$3:$BI$3,"&lt;="&amp;47)</f>
        <v>0</v>
      </c>
      <c r="S13" s="204">
        <f>SUMIFS('31_P&amp;L'!$B$11:$BI$11,'31_P&amp;L'!$B$3:$BI$3,"&gt;="&amp;48,'31_P&amp;L'!$B$3:$BI$3,"&lt;="&amp;50)</f>
        <v>0</v>
      </c>
      <c r="T13" s="204">
        <f>SUMIFS('31_P&amp;L'!$B$11:$BI$11,'31_P&amp;L'!$B$3:$BI$3,"&gt;="&amp;51,'31_P&amp;L'!$B$3:$BI$3,"&lt;="&amp;53)</f>
        <v>0</v>
      </c>
      <c r="U13" s="204">
        <f>SUMIFS('31_P&amp;L'!$B$11:$BI$11,'31_P&amp;L'!$B$3:$BI$3,"&gt;="&amp;54,'31_P&amp;L'!$B$3:$BI$3,"&lt;="&amp;56)</f>
        <v>0</v>
      </c>
      <c r="V13" s="204">
        <f>SUMIFS('31_P&amp;L'!$B$11:$BI$11,'31_P&amp;L'!$B$3:$BI$3,"&gt;="&amp;57,'31_P&amp;L'!$B$3:$BI$3,"&lt;="&amp;59)</f>
        <v>0</v>
      </c>
    </row>
    <row r="14" spans="1:22" x14ac:dyDescent="0.25">
      <c r="A14" s="203" t="s">
        <v>379</v>
      </c>
      <c r="B14" s="203"/>
      <c r="C14" s="204">
        <f>SUMIFS('31_P&amp;L'!$B$12:$BI$12,'31_P&amp;L'!$B$3:$BI$3,"&gt;="&amp;0,'31_P&amp;L'!$B$3:$BI$3,"&lt;="&amp;2)</f>
        <v>0</v>
      </c>
      <c r="D14" s="204">
        <f>SUMIFS('31_P&amp;L'!$B$12:$BI$12,'31_P&amp;L'!$B$3:$BI$3,"&gt;="&amp;3,'31_P&amp;L'!$B$3:$BI$3,"&lt;="&amp;5)</f>
        <v>0</v>
      </c>
      <c r="E14" s="204">
        <f>SUMIFS('31_P&amp;L'!$B$12:$BI$12,'31_P&amp;L'!$B$3:$BI$3,"&gt;="&amp;6,'31_P&amp;L'!$B$3:$BI$3,"&lt;="&amp;8)</f>
        <v>0</v>
      </c>
      <c r="F14" s="204">
        <f>SUMIFS('31_P&amp;L'!$B$12:$BI$12,'31_P&amp;L'!$B$3:$BI$3,"&gt;="&amp;9,'31_P&amp;L'!$B$3:$BI$3,"&lt;="&amp;11)</f>
        <v>0</v>
      </c>
      <c r="G14" s="204">
        <f>SUMIFS('31_P&amp;L'!$B$12:$BI$12,'31_P&amp;L'!$B$3:$BI$3,"&gt;="&amp;12,'31_P&amp;L'!$B$3:$BI$3,"&lt;="&amp;14)</f>
        <v>0</v>
      </c>
      <c r="H14" s="204">
        <f>SUMIFS('31_P&amp;L'!$B$12:$BI$12,'31_P&amp;L'!$B$3:$BI$3,"&gt;="&amp;15,'31_P&amp;L'!$B$3:$BI$3,"&lt;="&amp;17)</f>
        <v>0</v>
      </c>
      <c r="I14" s="204">
        <f>SUMIFS('31_P&amp;L'!$B$12:$BI$12,'31_P&amp;L'!$B$3:$BI$3,"&gt;="&amp;18,'31_P&amp;L'!$B$3:$BI$3,"&lt;="&amp;20)</f>
        <v>0</v>
      </c>
      <c r="J14" s="204">
        <f>SUMIFS('31_P&amp;L'!$B$12:$BI$12,'31_P&amp;L'!$B$3:$BI$3,"&gt;="&amp;21,'31_P&amp;L'!$B$3:$BI$3,"&lt;="&amp;23)</f>
        <v>0</v>
      </c>
      <c r="K14" s="204">
        <f>SUMIFS('31_P&amp;L'!$B$12:$BI$12,'31_P&amp;L'!$B$3:$BI$3,"&gt;="&amp;24,'31_P&amp;L'!$B$3:$BI$3,"&lt;="&amp;26)</f>
        <v>0</v>
      </c>
      <c r="L14" s="204">
        <f>SUMIFS('31_P&amp;L'!$B$12:$BI$12,'31_P&amp;L'!$B$3:$BI$3,"&gt;="&amp;27,'31_P&amp;L'!$B$3:$BI$3,"&lt;="&amp;29)</f>
        <v>0</v>
      </c>
      <c r="M14" s="204">
        <f>SUMIFS('31_P&amp;L'!$B$12:$BI$12,'31_P&amp;L'!$B$3:$BI$3,"&gt;="&amp;30,'31_P&amp;L'!$B$3:$BI$3,"&lt;="&amp;32)</f>
        <v>0</v>
      </c>
      <c r="N14" s="204">
        <f>SUMIFS('31_P&amp;L'!$B$12:$BI$12,'31_P&amp;L'!$B$3:$BI$3,"&gt;="&amp;33,'31_P&amp;L'!$B$3:$BI$3,"&lt;="&amp;35)</f>
        <v>324306.06390851695</v>
      </c>
      <c r="O14" s="204">
        <f>SUMIFS('31_P&amp;L'!$B$12:$BI$12,'31_P&amp;L'!$B$3:$BI$3,"&gt;="&amp;36,'31_P&amp;L'!$B$3:$BI$3,"&lt;="&amp;38)</f>
        <v>0</v>
      </c>
      <c r="P14" s="204">
        <f>SUMIFS('31_P&amp;L'!$B$12:$BI$12,'31_P&amp;L'!$B$3:$BI$3,"&gt;="&amp;39,'31_P&amp;L'!$B$3:$BI$3,"&lt;="&amp;41)</f>
        <v>0</v>
      </c>
      <c r="Q14" s="204">
        <f>SUMIFS('31_P&amp;L'!$B$12:$BI$12,'31_P&amp;L'!$B$3:$BI$3,"&gt;="&amp;42,'31_P&amp;L'!$B$3:$BI$3,"&lt;="&amp;44)</f>
        <v>0</v>
      </c>
      <c r="R14" s="204">
        <f>SUMIFS('31_P&amp;L'!$B$12:$BI$12,'31_P&amp;L'!$B$3:$BI$3,"&gt;="&amp;45,'31_P&amp;L'!$B$3:$BI$3,"&lt;="&amp;47)</f>
        <v>0</v>
      </c>
      <c r="S14" s="204">
        <f>SUMIFS('31_P&amp;L'!$B$12:$BI$12,'31_P&amp;L'!$B$3:$BI$3,"&gt;="&amp;48,'31_P&amp;L'!$B$3:$BI$3,"&lt;="&amp;50)</f>
        <v>0</v>
      </c>
      <c r="T14" s="204">
        <f>SUMIFS('31_P&amp;L'!$B$12:$BI$12,'31_P&amp;L'!$B$3:$BI$3,"&gt;="&amp;51,'31_P&amp;L'!$B$3:$BI$3,"&lt;="&amp;53)</f>
        <v>0</v>
      </c>
      <c r="U14" s="204">
        <f>SUMIFS('31_P&amp;L'!$B$12:$BI$12,'31_P&amp;L'!$B$3:$BI$3,"&gt;="&amp;54,'31_P&amp;L'!$B$3:$BI$3,"&lt;="&amp;56)</f>
        <v>0</v>
      </c>
      <c r="V14" s="204">
        <f>SUMIFS('31_P&amp;L'!$B$12:$BI$12,'31_P&amp;L'!$B$3:$BI$3,"&gt;="&amp;57,'31_P&amp;L'!$B$3:$BI$3,"&lt;="&amp;59)</f>
        <v>0</v>
      </c>
    </row>
    <row r="15" spans="1:22" ht="15.75" customHeight="1" thickBot="1" x14ac:dyDescent="0.3">
      <c r="A15" s="203" t="s">
        <v>272</v>
      </c>
      <c r="B15" s="203"/>
      <c r="C15" s="204">
        <f>SUMIFS('31_P&amp;L'!$B$13:$BI$13,'31_P&amp;L'!$B$3:$BI$3,"&gt;="&amp;0,'31_P&amp;L'!$B$3:$BI$3,"&lt;="&amp;2)</f>
        <v>0</v>
      </c>
      <c r="D15" s="204">
        <f>SUMIFS('31_P&amp;L'!$B$13:$BI$13,'31_P&amp;L'!$B$3:$BI$3,"&gt;="&amp;3,'31_P&amp;L'!$B$3:$BI$3,"&lt;="&amp;5)</f>
        <v>0</v>
      </c>
      <c r="E15" s="204">
        <f>SUMIFS('31_P&amp;L'!$B$13:$BI$13,'31_P&amp;L'!$B$3:$BI$3,"&gt;="&amp;6,'31_P&amp;L'!$B$3:$BI$3,"&lt;="&amp;8)</f>
        <v>0</v>
      </c>
      <c r="F15" s="204">
        <f>SUMIFS('31_P&amp;L'!$B$13:$BI$13,'31_P&amp;L'!$B$3:$BI$3,"&gt;="&amp;9,'31_P&amp;L'!$B$3:$BI$3,"&lt;="&amp;11)</f>
        <v>0</v>
      </c>
      <c r="G15" s="204">
        <f>SUMIFS('31_P&amp;L'!$B$13:$BI$13,'31_P&amp;L'!$B$3:$BI$3,"&gt;="&amp;12,'31_P&amp;L'!$B$3:$BI$3,"&lt;="&amp;14)</f>
        <v>0</v>
      </c>
      <c r="H15" s="204">
        <f>SUMIFS('31_P&amp;L'!$B$13:$BI$13,'31_P&amp;L'!$B$3:$BI$3,"&gt;="&amp;15,'31_P&amp;L'!$B$3:$BI$3,"&lt;="&amp;17)</f>
        <v>0</v>
      </c>
      <c r="I15" s="204">
        <f>SUMIFS('31_P&amp;L'!$B$13:$BI$13,'31_P&amp;L'!$B$3:$BI$3,"&gt;="&amp;18,'31_P&amp;L'!$B$3:$BI$3,"&lt;="&amp;20)</f>
        <v>0</v>
      </c>
      <c r="J15" s="204">
        <f>SUMIFS('31_P&amp;L'!$B$13:$BI$13,'31_P&amp;L'!$B$3:$BI$3,"&gt;="&amp;21,'31_P&amp;L'!$B$3:$BI$3,"&lt;="&amp;23)</f>
        <v>26812.5</v>
      </c>
      <c r="K15" s="204">
        <f>SUMIFS('31_P&amp;L'!$B$13:$BI$13,'31_P&amp;L'!$B$3:$BI$3,"&gt;="&amp;24,'31_P&amp;L'!$B$3:$BI$3,"&lt;="&amp;26)</f>
        <v>80437.5</v>
      </c>
      <c r="L15" s="204">
        <f>SUMIFS('31_P&amp;L'!$B$13:$BI$13,'31_P&amp;L'!$B$3:$BI$3,"&gt;="&amp;27,'31_P&amp;L'!$B$3:$BI$3,"&lt;="&amp;29)</f>
        <v>80437.5</v>
      </c>
      <c r="M15" s="204">
        <f>SUMIFS('31_P&amp;L'!$B$13:$BI$13,'31_P&amp;L'!$B$3:$BI$3,"&gt;="&amp;30,'31_P&amp;L'!$B$3:$BI$3,"&lt;="&amp;32)</f>
        <v>80437.5</v>
      </c>
      <c r="N15" s="204">
        <f>SUMIFS('31_P&amp;L'!$B$13:$BI$13,'31_P&amp;L'!$B$3:$BI$3,"&gt;="&amp;33,'31_P&amp;L'!$B$3:$BI$3,"&lt;="&amp;35)</f>
        <v>10725</v>
      </c>
      <c r="O15" s="204">
        <f>SUMIFS('31_P&amp;L'!$B$13:$BI$13,'31_P&amp;L'!$B$3:$BI$3,"&gt;="&amp;36,'31_P&amp;L'!$B$3:$BI$3,"&lt;="&amp;38)</f>
        <v>0</v>
      </c>
      <c r="P15" s="204">
        <f>SUMIFS('31_P&amp;L'!$B$13:$BI$13,'31_P&amp;L'!$B$3:$BI$3,"&gt;="&amp;39,'31_P&amp;L'!$B$3:$BI$3,"&lt;="&amp;41)</f>
        <v>0</v>
      </c>
      <c r="Q15" s="204">
        <f>SUMIFS('31_P&amp;L'!$B$13:$BI$13,'31_P&amp;L'!$B$3:$BI$3,"&gt;="&amp;42,'31_P&amp;L'!$B$3:$BI$3,"&lt;="&amp;44)</f>
        <v>0</v>
      </c>
      <c r="R15" s="204">
        <f>SUMIFS('31_P&amp;L'!$B$13:$BI$13,'31_P&amp;L'!$B$3:$BI$3,"&gt;="&amp;45,'31_P&amp;L'!$B$3:$BI$3,"&lt;="&amp;47)</f>
        <v>0</v>
      </c>
      <c r="S15" s="204">
        <f>SUMIFS('31_P&amp;L'!$B$13:$BI$13,'31_P&amp;L'!$B$3:$BI$3,"&gt;="&amp;48,'31_P&amp;L'!$B$3:$BI$3,"&lt;="&amp;50)</f>
        <v>0</v>
      </c>
      <c r="T15" s="204">
        <f>SUMIFS('31_P&amp;L'!$B$13:$BI$13,'31_P&amp;L'!$B$3:$BI$3,"&gt;="&amp;51,'31_P&amp;L'!$B$3:$BI$3,"&lt;="&amp;53)</f>
        <v>0</v>
      </c>
      <c r="U15" s="204">
        <f>SUMIFS('31_P&amp;L'!$B$13:$BI$13,'31_P&amp;L'!$B$3:$BI$3,"&gt;="&amp;54,'31_P&amp;L'!$B$3:$BI$3,"&lt;="&amp;56)</f>
        <v>0</v>
      </c>
      <c r="V15" s="204">
        <f>SUMIFS('31_P&amp;L'!$B$13:$BI$13,'31_P&amp;L'!$B$3:$BI$3,"&gt;="&amp;57,'31_P&amp;L'!$B$3:$BI$3,"&lt;="&amp;59)</f>
        <v>0</v>
      </c>
    </row>
    <row r="16" spans="1:22" x14ac:dyDescent="0.25">
      <c r="A16" s="153" t="s">
        <v>308</v>
      </c>
      <c r="B16" s="241"/>
      <c r="C16" s="166">
        <f>SUMIFS('31_P&amp;L'!$B$14:$BI$14,'31_P&amp;L'!$B$3:$BI$3,"&gt;="&amp;0,'31_P&amp;L'!$B$3:$BI$3,"&lt;="&amp;2)</f>
        <v>0</v>
      </c>
      <c r="D16" s="166">
        <f>SUMIFS('31_P&amp;L'!$B$14:$BI$14,'31_P&amp;L'!$B$3:$BI$3,"&gt;="&amp;3,'31_P&amp;L'!$B$3:$BI$3,"&lt;="&amp;5)</f>
        <v>0</v>
      </c>
      <c r="E16" s="166">
        <f>SUMIFS('31_P&amp;L'!$B$14:$BI$14,'31_P&amp;L'!$B$3:$BI$3,"&gt;="&amp;6,'31_P&amp;L'!$B$3:$BI$3,"&lt;="&amp;8)</f>
        <v>0</v>
      </c>
      <c r="F16" s="166">
        <f>SUMIFS('31_P&amp;L'!$B$14:$BI$14,'31_P&amp;L'!$B$3:$BI$3,"&gt;="&amp;9,'31_P&amp;L'!$B$3:$BI$3,"&lt;="&amp;11)</f>
        <v>0</v>
      </c>
      <c r="G16" s="166">
        <f>SUMIFS('31_P&amp;L'!$B$14:$BI$14,'31_P&amp;L'!$B$3:$BI$3,"&gt;="&amp;12,'31_P&amp;L'!$B$3:$BI$3,"&lt;="&amp;14)</f>
        <v>0</v>
      </c>
      <c r="H16" s="166">
        <f>SUMIFS('31_P&amp;L'!$B$14:$BI$14,'31_P&amp;L'!$B$3:$BI$3,"&gt;="&amp;15,'31_P&amp;L'!$B$3:$BI$3,"&lt;="&amp;17)</f>
        <v>0</v>
      </c>
      <c r="I16" s="166">
        <f>SUMIFS('31_P&amp;L'!$B$14:$BI$14,'31_P&amp;L'!$B$3:$BI$3,"&gt;="&amp;18,'31_P&amp;L'!$B$3:$BI$3,"&lt;="&amp;20)</f>
        <v>0</v>
      </c>
      <c r="J16" s="166">
        <f>SUMIFS('31_P&amp;L'!$B$14:$BI$14,'31_P&amp;L'!$B$3:$BI$3,"&gt;="&amp;21,'31_P&amp;L'!$B$3:$BI$3,"&lt;="&amp;23)</f>
        <v>26812.5</v>
      </c>
      <c r="K16" s="166">
        <f>SUMIFS('31_P&amp;L'!$B$14:$BI$14,'31_P&amp;L'!$B$3:$BI$3,"&gt;="&amp;24,'31_P&amp;L'!$B$3:$BI$3,"&lt;="&amp;26)</f>
        <v>80437.5</v>
      </c>
      <c r="L16" s="166">
        <f>SUMIFS('31_P&amp;L'!$B$14:$BI$14,'31_P&amp;L'!$B$3:$BI$3,"&gt;="&amp;27,'31_P&amp;L'!$B$3:$BI$3,"&lt;="&amp;29)</f>
        <v>80437.5</v>
      </c>
      <c r="M16" s="166">
        <f>SUMIFS('31_P&amp;L'!$B$14:$BI$14,'31_P&amp;L'!$B$3:$BI$3,"&gt;="&amp;30,'31_P&amp;L'!$B$3:$BI$3,"&lt;="&amp;32)</f>
        <v>80437.5</v>
      </c>
      <c r="N16" s="166">
        <f>SUMIFS('31_P&amp;L'!$B$14:$BI$14,'31_P&amp;L'!$B$3:$BI$3,"&gt;="&amp;33,'31_P&amp;L'!$B$3:$BI$3,"&lt;="&amp;35)</f>
        <v>7990904.7439085227</v>
      </c>
      <c r="O16" s="166">
        <f>SUMIFS('31_P&amp;L'!$B$14:$BI$14,'31_P&amp;L'!$B$3:$BI$3,"&gt;="&amp;36,'31_P&amp;L'!$B$3:$BI$3,"&lt;="&amp;38)</f>
        <v>0</v>
      </c>
      <c r="P16" s="166">
        <f>SUMIFS('31_P&amp;L'!$B$14:$BI$14,'31_P&amp;L'!$B$3:$BI$3,"&gt;="&amp;39,'31_P&amp;L'!$B$3:$BI$3,"&lt;="&amp;41)</f>
        <v>0</v>
      </c>
      <c r="Q16" s="166">
        <f>SUMIFS('31_P&amp;L'!$B$14:$BI$14,'31_P&amp;L'!$B$3:$BI$3,"&gt;="&amp;42,'31_P&amp;L'!$B$3:$BI$3,"&lt;="&amp;44)</f>
        <v>0</v>
      </c>
      <c r="R16" s="166">
        <f>SUMIFS('31_P&amp;L'!$B$14:$BI$14,'31_P&amp;L'!$B$3:$BI$3,"&gt;="&amp;45,'31_P&amp;L'!$B$3:$BI$3,"&lt;="&amp;47)</f>
        <v>0</v>
      </c>
      <c r="S16" s="166">
        <f>SUMIFS('31_P&amp;L'!$B$14:$BI$14,'31_P&amp;L'!$B$3:$BI$3,"&gt;="&amp;48,'31_P&amp;L'!$B$3:$BI$3,"&lt;="&amp;50)</f>
        <v>0</v>
      </c>
      <c r="T16" s="166">
        <f>SUMIFS('31_P&amp;L'!$B$14:$BI$14,'31_P&amp;L'!$B$3:$BI$3,"&gt;="&amp;51,'31_P&amp;L'!$B$3:$BI$3,"&lt;="&amp;53)</f>
        <v>0</v>
      </c>
      <c r="U16" s="166">
        <f>SUMIFS('31_P&amp;L'!$B$14:$BI$14,'31_P&amp;L'!$B$3:$BI$3,"&gt;="&amp;54,'31_P&amp;L'!$B$3:$BI$3,"&lt;="&amp;56)</f>
        <v>0</v>
      </c>
      <c r="V16" s="166">
        <f>SUMIFS('31_P&amp;L'!$B$14:$BI$14,'31_P&amp;L'!$B$3:$BI$3,"&gt;="&amp;57,'31_P&amp;L'!$B$3:$BI$3,"&lt;="&amp;59)</f>
        <v>0</v>
      </c>
    </row>
    <row r="18" spans="1:22" x14ac:dyDescent="0.25">
      <c r="A18" s="153" t="s">
        <v>309</v>
      </c>
      <c r="B18" s="241"/>
      <c r="C18" s="166">
        <f>SUMIFS('31_P&amp;L'!$B$16:$BI$16,'31_P&amp;L'!$B$3:$BI$3,"&gt;="&amp;0,'31_P&amp;L'!$B$3:$BI$3,"&lt;="&amp;2)</f>
        <v>0</v>
      </c>
      <c r="D18" s="166">
        <f>SUMIFS('31_P&amp;L'!$B$16:$BI$16,'31_P&amp;L'!$B$3:$BI$3,"&gt;="&amp;3,'31_P&amp;L'!$B$3:$BI$3,"&lt;="&amp;5)</f>
        <v>0</v>
      </c>
      <c r="E18" s="166">
        <f>SUMIFS('31_P&amp;L'!$B$16:$BI$16,'31_P&amp;L'!$B$3:$BI$3,"&gt;="&amp;6,'31_P&amp;L'!$B$3:$BI$3,"&lt;="&amp;8)</f>
        <v>0</v>
      </c>
      <c r="F18" s="166">
        <f>SUMIFS('31_P&amp;L'!$B$16:$BI$16,'31_P&amp;L'!$B$3:$BI$3,"&gt;="&amp;9,'31_P&amp;L'!$B$3:$BI$3,"&lt;="&amp;11)</f>
        <v>0</v>
      </c>
      <c r="G18" s="166">
        <f>SUMIFS('31_P&amp;L'!$B$16:$BI$16,'31_P&amp;L'!$B$3:$BI$3,"&gt;="&amp;12,'31_P&amp;L'!$B$3:$BI$3,"&lt;="&amp;14)</f>
        <v>0</v>
      </c>
      <c r="H18" s="166">
        <f>SUMIFS('31_P&amp;L'!$B$16:$BI$16,'31_P&amp;L'!$B$3:$BI$3,"&gt;="&amp;15,'31_P&amp;L'!$B$3:$BI$3,"&lt;="&amp;17)</f>
        <v>0</v>
      </c>
      <c r="I18" s="166">
        <f>SUMIFS('31_P&amp;L'!$B$16:$BI$16,'31_P&amp;L'!$B$3:$BI$3,"&gt;="&amp;18,'31_P&amp;L'!$B$3:$BI$3,"&lt;="&amp;20)</f>
        <v>0</v>
      </c>
      <c r="J18" s="166">
        <f>SUMIFS('31_P&amp;L'!$B$16:$BI$16,'31_P&amp;L'!$B$3:$BI$3,"&gt;="&amp;21,'31_P&amp;L'!$B$3:$BI$3,"&lt;="&amp;23)</f>
        <v>-26812.5</v>
      </c>
      <c r="K18" s="166">
        <f>SUMIFS('31_P&amp;L'!$B$16:$BI$16,'31_P&amp;L'!$B$3:$BI$3,"&gt;="&amp;24,'31_P&amp;L'!$B$3:$BI$3,"&lt;="&amp;26)</f>
        <v>-80437.5</v>
      </c>
      <c r="L18" s="166">
        <f>SUMIFS('31_P&amp;L'!$B$16:$BI$16,'31_P&amp;L'!$B$3:$BI$3,"&gt;="&amp;27,'31_P&amp;L'!$B$3:$BI$3,"&lt;="&amp;29)</f>
        <v>-80437.5</v>
      </c>
      <c r="M18" s="166">
        <f>SUMIFS('31_P&amp;L'!$B$16:$BI$16,'31_P&amp;L'!$B$3:$BI$3,"&gt;="&amp;30,'31_P&amp;L'!$B$3:$BI$3,"&lt;="&amp;32)</f>
        <v>-80437.5</v>
      </c>
      <c r="N18" s="166">
        <f>SUMIFS('31_P&amp;L'!$B$16:$BI$16,'31_P&amp;L'!$B$3:$BI$3,"&gt;="&amp;33,'31_P&amp;L'!$B$3:$BI$3,"&lt;="&amp;35)</f>
        <v>1304095.2560914773</v>
      </c>
      <c r="O18" s="166">
        <f>SUMIFS('31_P&amp;L'!$B$16:$BI$16,'31_P&amp;L'!$B$3:$BI$3,"&gt;="&amp;36,'31_P&amp;L'!$B$3:$BI$3,"&lt;="&amp;38)</f>
        <v>0</v>
      </c>
      <c r="P18" s="166">
        <f>SUMIFS('31_P&amp;L'!$B$16:$BI$16,'31_P&amp;L'!$B$3:$BI$3,"&gt;="&amp;39,'31_P&amp;L'!$B$3:$BI$3,"&lt;="&amp;41)</f>
        <v>0</v>
      </c>
      <c r="Q18" s="166">
        <f>SUMIFS('31_P&amp;L'!$B$16:$BI$16,'31_P&amp;L'!$B$3:$BI$3,"&gt;="&amp;42,'31_P&amp;L'!$B$3:$BI$3,"&lt;="&amp;44)</f>
        <v>0</v>
      </c>
      <c r="R18" s="166">
        <f>SUMIFS('31_P&amp;L'!$B$16:$BI$16,'31_P&amp;L'!$B$3:$BI$3,"&gt;="&amp;45,'31_P&amp;L'!$B$3:$BI$3,"&lt;="&amp;47)</f>
        <v>0</v>
      </c>
      <c r="S18" s="166">
        <f>SUMIFS('31_P&amp;L'!$B$16:$BI$16,'31_P&amp;L'!$B$3:$BI$3,"&gt;="&amp;48,'31_P&amp;L'!$B$3:$BI$3,"&lt;="&amp;50)</f>
        <v>0</v>
      </c>
      <c r="T18" s="166">
        <f>SUMIFS('31_P&amp;L'!$B$16:$BI$16,'31_P&amp;L'!$B$3:$BI$3,"&gt;="&amp;51,'31_P&amp;L'!$B$3:$BI$3,"&lt;="&amp;53)</f>
        <v>0</v>
      </c>
      <c r="U18" s="166">
        <f>SUMIFS('31_P&amp;L'!$B$16:$BI$16,'31_P&amp;L'!$B$3:$BI$3,"&gt;="&amp;54,'31_P&amp;L'!$B$3:$BI$3,"&lt;="&amp;56)</f>
        <v>0</v>
      </c>
      <c r="V18" s="166">
        <f>SUMIFS('31_P&amp;L'!$B$16:$BI$16,'31_P&amp;L'!$B$3:$BI$3,"&gt;="&amp;57,'31_P&amp;L'!$B$3:$BI$3,"&lt;="&amp;59)</f>
        <v>0</v>
      </c>
    </row>
    <row r="19" spans="1:22" ht="15.75" customHeight="1" thickBot="1" x14ac:dyDescent="0.3"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</row>
    <row r="20" spans="1:22" x14ac:dyDescent="0.25">
      <c r="A20" s="164" t="s">
        <v>310</v>
      </c>
      <c r="B20" s="262"/>
      <c r="C20" s="160"/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</row>
    <row r="21" spans="1:22" x14ac:dyDescent="0.25">
      <c r="A21" s="203" t="s">
        <v>311</v>
      </c>
      <c r="B21" s="203"/>
      <c r="C21" s="204">
        <f>SUMIFS('31_P&amp;L'!$B$19:$BI$19,'31_P&amp;L'!$B$3:$BI$3,"&gt;="&amp;0,'31_P&amp;L'!$B$3:$BI$3,"&lt;="&amp;2)</f>
        <v>0</v>
      </c>
      <c r="D21" s="204">
        <f>SUMIFS('31_P&amp;L'!$B$19:$BI$19,'31_P&amp;L'!$B$3:$BI$3,"&gt;="&amp;3,'31_P&amp;L'!$B$3:$BI$3,"&lt;="&amp;5)</f>
        <v>0</v>
      </c>
      <c r="E21" s="204">
        <f>SUMIFS('31_P&amp;L'!$B$19:$BI$19,'31_P&amp;L'!$B$3:$BI$3,"&gt;="&amp;6,'31_P&amp;L'!$B$3:$BI$3,"&lt;="&amp;8)</f>
        <v>0</v>
      </c>
      <c r="F21" s="204">
        <f>SUMIFS('31_P&amp;L'!$B$19:$BI$19,'31_P&amp;L'!$B$3:$BI$3,"&gt;="&amp;9,'31_P&amp;L'!$B$3:$BI$3,"&lt;="&amp;11)</f>
        <v>0</v>
      </c>
      <c r="G21" s="204">
        <f>SUMIFS('31_P&amp;L'!$B$19:$BI$19,'31_P&amp;L'!$B$3:$BI$3,"&gt;="&amp;12,'31_P&amp;L'!$B$3:$BI$3,"&lt;="&amp;14)</f>
        <v>0</v>
      </c>
      <c r="H21" s="204">
        <f>SUMIFS('31_P&amp;L'!$B$19:$BI$19,'31_P&amp;L'!$B$3:$BI$3,"&gt;="&amp;15,'31_P&amp;L'!$B$3:$BI$3,"&lt;="&amp;17)</f>
        <v>0</v>
      </c>
      <c r="I21" s="204">
        <f>SUMIFS('31_P&amp;L'!$B$19:$BI$19,'31_P&amp;L'!$B$3:$BI$3,"&gt;="&amp;18,'31_P&amp;L'!$B$3:$BI$3,"&lt;="&amp;20)</f>
        <v>0</v>
      </c>
      <c r="J21" s="204">
        <f>SUMIFS('31_P&amp;L'!$B$19:$BI$19,'31_P&amp;L'!$B$3:$BI$3,"&gt;="&amp;21,'31_P&amp;L'!$B$3:$BI$3,"&lt;="&amp;23)</f>
        <v>0</v>
      </c>
      <c r="K21" s="204">
        <f>SUMIFS('31_P&amp;L'!$B$19:$BI$19,'31_P&amp;L'!$B$3:$BI$3,"&gt;="&amp;24,'31_P&amp;L'!$B$3:$BI$3,"&lt;="&amp;26)</f>
        <v>0</v>
      </c>
      <c r="L21" s="204">
        <f>SUMIFS('31_P&amp;L'!$B$19:$BI$19,'31_P&amp;L'!$B$3:$BI$3,"&gt;="&amp;27,'31_P&amp;L'!$B$3:$BI$3,"&lt;="&amp;29)</f>
        <v>0</v>
      </c>
      <c r="M21" s="204">
        <f>SUMIFS('31_P&amp;L'!$B$19:$BI$19,'31_P&amp;L'!$B$3:$BI$3,"&gt;="&amp;30,'31_P&amp;L'!$B$3:$BI$3,"&lt;="&amp;32)</f>
        <v>0</v>
      </c>
      <c r="N21" s="204">
        <f>SUMIFS('31_P&amp;L'!$B$19:$BI$19,'31_P&amp;L'!$B$3:$BI$3,"&gt;="&amp;33,'31_P&amp;L'!$B$3:$BI$3,"&lt;="&amp;35)</f>
        <v>20768.545672914046</v>
      </c>
      <c r="O21" s="204">
        <f>SUMIFS('31_P&amp;L'!$B$19:$BI$19,'31_P&amp;L'!$B$3:$BI$3,"&gt;="&amp;36,'31_P&amp;L'!$B$3:$BI$3,"&lt;="&amp;38)</f>
        <v>0</v>
      </c>
      <c r="P21" s="204">
        <f>SUMIFS('31_P&amp;L'!$B$19:$BI$19,'31_P&amp;L'!$B$3:$BI$3,"&gt;="&amp;39,'31_P&amp;L'!$B$3:$BI$3,"&lt;="&amp;41)</f>
        <v>0</v>
      </c>
      <c r="Q21" s="204">
        <f>SUMIFS('31_P&amp;L'!$B$19:$BI$19,'31_P&amp;L'!$B$3:$BI$3,"&gt;="&amp;42,'31_P&amp;L'!$B$3:$BI$3,"&lt;="&amp;44)</f>
        <v>0</v>
      </c>
      <c r="R21" s="204">
        <f>SUMIFS('31_P&amp;L'!$B$19:$BI$19,'31_P&amp;L'!$B$3:$BI$3,"&gt;="&amp;45,'31_P&amp;L'!$B$3:$BI$3,"&lt;="&amp;47)</f>
        <v>0</v>
      </c>
      <c r="S21" s="204">
        <f>SUMIFS('31_P&amp;L'!$B$19:$BI$19,'31_P&amp;L'!$B$3:$BI$3,"&gt;="&amp;48,'31_P&amp;L'!$B$3:$BI$3,"&lt;="&amp;50)</f>
        <v>0</v>
      </c>
      <c r="T21" s="204">
        <f>SUMIFS('31_P&amp;L'!$B$19:$BI$19,'31_P&amp;L'!$B$3:$BI$3,"&gt;="&amp;51,'31_P&amp;L'!$B$3:$BI$3,"&lt;="&amp;53)</f>
        <v>0</v>
      </c>
      <c r="U21" s="204">
        <f>SUMIFS('31_P&amp;L'!$B$19:$BI$19,'31_P&amp;L'!$B$3:$BI$3,"&gt;="&amp;54,'31_P&amp;L'!$B$3:$BI$3,"&lt;="&amp;56)</f>
        <v>0</v>
      </c>
      <c r="V21" s="204">
        <f>SUMIFS('31_P&amp;L'!$B$19:$BI$19,'31_P&amp;L'!$B$3:$BI$3,"&gt;="&amp;57,'31_P&amp;L'!$B$3:$BI$3,"&lt;="&amp;59)</f>
        <v>0</v>
      </c>
    </row>
    <row r="22" spans="1:22" ht="15.75" customHeight="1" thickBot="1" x14ac:dyDescent="0.3">
      <c r="A22" s="203" t="s">
        <v>312</v>
      </c>
      <c r="B22" s="203"/>
      <c r="C22" s="204">
        <f>SUMIFS('31_P&amp;L'!$B$20:$BI$20,'31_P&amp;L'!$B$3:$BI$3,"&gt;="&amp;0,'31_P&amp;L'!$B$3:$BI$3,"&lt;="&amp;2)</f>
        <v>0</v>
      </c>
      <c r="D22" s="204">
        <f>SUMIFS('31_P&amp;L'!$B$20:$BI$20,'31_P&amp;L'!$B$3:$BI$3,"&gt;="&amp;3,'31_P&amp;L'!$B$3:$BI$3,"&lt;="&amp;5)</f>
        <v>0</v>
      </c>
      <c r="E22" s="204">
        <f>SUMIFS('31_P&amp;L'!$B$20:$BI$20,'31_P&amp;L'!$B$3:$BI$3,"&gt;="&amp;6,'31_P&amp;L'!$B$3:$BI$3,"&lt;="&amp;8)</f>
        <v>0</v>
      </c>
      <c r="F22" s="204">
        <f>SUMIFS('31_P&amp;L'!$B$20:$BI$20,'31_P&amp;L'!$B$3:$BI$3,"&gt;="&amp;9,'31_P&amp;L'!$B$3:$BI$3,"&lt;="&amp;11)</f>
        <v>33305.519520000031</v>
      </c>
      <c r="G22" s="204">
        <f>SUMIFS('31_P&amp;L'!$B$20:$BI$20,'31_P&amp;L'!$B$3:$BI$3,"&gt;="&amp;12,'31_P&amp;L'!$B$3:$BI$3,"&lt;="&amp;14)</f>
        <v>4584.5654400000049</v>
      </c>
      <c r="H22" s="204">
        <f>SUMIFS('31_P&amp;L'!$B$20:$BI$20,'31_P&amp;L'!$B$3:$BI$3,"&gt;="&amp;15,'31_P&amp;L'!$B$3:$BI$3,"&lt;="&amp;17)</f>
        <v>3573.2642400000041</v>
      </c>
      <c r="I22" s="204">
        <f>SUMIFS('31_P&amp;L'!$B$20:$BI$20,'31_P&amp;L'!$B$3:$BI$3,"&gt;="&amp;18,'31_P&amp;L'!$B$3:$BI$3,"&lt;="&amp;20)</f>
        <v>2561.9630400000033</v>
      </c>
      <c r="J22" s="204">
        <f>SUMIFS('31_P&amp;L'!$B$20:$BI$20,'31_P&amp;L'!$B$3:$BI$3,"&gt;="&amp;21,'31_P&amp;L'!$B$3:$BI$3,"&lt;="&amp;23)</f>
        <v>1550.6618400000025</v>
      </c>
      <c r="K22" s="204">
        <f>SUMIFS('31_P&amp;L'!$B$20:$BI$20,'31_P&amp;L'!$B$3:$BI$3,"&gt;="&amp;24,'31_P&amp;L'!$B$3:$BI$3,"&lt;="&amp;26)</f>
        <v>539.36064000000135</v>
      </c>
      <c r="L22" s="204">
        <f>SUMIFS('31_P&amp;L'!$B$20:$BI$20,'31_P&amp;L'!$B$3:$BI$3,"&gt;="&amp;27,'31_P&amp;L'!$B$3:$BI$3,"&lt;="&amp;29)</f>
        <v>0</v>
      </c>
      <c r="M22" s="204">
        <f>SUMIFS('31_P&amp;L'!$B$20:$BI$20,'31_P&amp;L'!$B$3:$BI$3,"&gt;="&amp;30,'31_P&amp;L'!$B$3:$BI$3,"&lt;="&amp;32)</f>
        <v>0</v>
      </c>
      <c r="N22" s="204">
        <f>SUMIFS('31_P&amp;L'!$B$20:$BI$20,'31_P&amp;L'!$B$3:$BI$3,"&gt;="&amp;33,'31_P&amp;L'!$B$3:$BI$3,"&lt;="&amp;35)</f>
        <v>0</v>
      </c>
      <c r="O22" s="204">
        <f>SUMIFS('31_P&amp;L'!$B$20:$BI$20,'31_P&amp;L'!$B$3:$BI$3,"&gt;="&amp;36,'31_P&amp;L'!$B$3:$BI$3,"&lt;="&amp;38)</f>
        <v>0</v>
      </c>
      <c r="P22" s="204">
        <f>SUMIFS('31_P&amp;L'!$B$20:$BI$20,'31_P&amp;L'!$B$3:$BI$3,"&gt;="&amp;39,'31_P&amp;L'!$B$3:$BI$3,"&lt;="&amp;41)</f>
        <v>0</v>
      </c>
      <c r="Q22" s="204">
        <f>SUMIFS('31_P&amp;L'!$B$20:$BI$20,'31_P&amp;L'!$B$3:$BI$3,"&gt;="&amp;42,'31_P&amp;L'!$B$3:$BI$3,"&lt;="&amp;44)</f>
        <v>0</v>
      </c>
      <c r="R22" s="204">
        <f>SUMIFS('31_P&amp;L'!$B$20:$BI$20,'31_P&amp;L'!$B$3:$BI$3,"&gt;="&amp;45,'31_P&amp;L'!$B$3:$BI$3,"&lt;="&amp;47)</f>
        <v>0</v>
      </c>
      <c r="S22" s="204">
        <f>SUMIFS('31_P&amp;L'!$B$20:$BI$20,'31_P&amp;L'!$B$3:$BI$3,"&gt;="&amp;48,'31_P&amp;L'!$B$3:$BI$3,"&lt;="&amp;50)</f>
        <v>0</v>
      </c>
      <c r="T22" s="204">
        <f>SUMIFS('31_P&amp;L'!$B$20:$BI$20,'31_P&amp;L'!$B$3:$BI$3,"&gt;="&amp;51,'31_P&amp;L'!$B$3:$BI$3,"&lt;="&amp;53)</f>
        <v>0</v>
      </c>
      <c r="U22" s="204">
        <f>SUMIFS('31_P&amp;L'!$B$20:$BI$20,'31_P&amp;L'!$B$3:$BI$3,"&gt;="&amp;54,'31_P&amp;L'!$B$3:$BI$3,"&lt;="&amp;56)</f>
        <v>0</v>
      </c>
      <c r="V22" s="204">
        <f>SUMIFS('31_P&amp;L'!$B$20:$BI$20,'31_P&amp;L'!$B$3:$BI$3,"&gt;="&amp;57,'31_P&amp;L'!$B$3:$BI$3,"&lt;="&amp;59)</f>
        <v>0</v>
      </c>
    </row>
    <row r="23" spans="1:22" x14ac:dyDescent="0.25">
      <c r="A23" s="153" t="s">
        <v>313</v>
      </c>
      <c r="B23" s="241"/>
      <c r="C23" s="166">
        <f>SUMIFS('31_P&amp;L'!$B$21:$BI$21,'31_P&amp;L'!$B$3:$BI$3,"&gt;="&amp;0,'31_P&amp;L'!$B$3:$BI$3,"&lt;="&amp;2)</f>
        <v>0</v>
      </c>
      <c r="D23" s="166">
        <f>SUMIFS('31_P&amp;L'!$B$21:$BI$21,'31_P&amp;L'!$B$3:$BI$3,"&gt;="&amp;3,'31_P&amp;L'!$B$3:$BI$3,"&lt;="&amp;5)</f>
        <v>0</v>
      </c>
      <c r="E23" s="166">
        <f>SUMIFS('31_P&amp;L'!$B$21:$BI$21,'31_P&amp;L'!$B$3:$BI$3,"&gt;="&amp;6,'31_P&amp;L'!$B$3:$BI$3,"&lt;="&amp;8)</f>
        <v>0</v>
      </c>
      <c r="F23" s="166">
        <f>SUMIFS('31_P&amp;L'!$B$21:$BI$21,'31_P&amp;L'!$B$3:$BI$3,"&gt;="&amp;9,'31_P&amp;L'!$B$3:$BI$3,"&lt;="&amp;11)</f>
        <v>33305.519520000031</v>
      </c>
      <c r="G23" s="166">
        <f>SUMIFS('31_P&amp;L'!$B$21:$BI$21,'31_P&amp;L'!$B$3:$BI$3,"&gt;="&amp;12,'31_P&amp;L'!$B$3:$BI$3,"&lt;="&amp;14)</f>
        <v>4584.5654400000049</v>
      </c>
      <c r="H23" s="166">
        <f>SUMIFS('31_P&amp;L'!$B$21:$BI$21,'31_P&amp;L'!$B$3:$BI$3,"&gt;="&amp;15,'31_P&amp;L'!$B$3:$BI$3,"&lt;="&amp;17)</f>
        <v>3573.2642400000041</v>
      </c>
      <c r="I23" s="166">
        <f>SUMIFS('31_P&amp;L'!$B$21:$BI$21,'31_P&amp;L'!$B$3:$BI$3,"&gt;="&amp;18,'31_P&amp;L'!$B$3:$BI$3,"&lt;="&amp;20)</f>
        <v>2561.9630400000033</v>
      </c>
      <c r="J23" s="166">
        <f>SUMIFS('31_P&amp;L'!$B$21:$BI$21,'31_P&amp;L'!$B$3:$BI$3,"&gt;="&amp;21,'31_P&amp;L'!$B$3:$BI$3,"&lt;="&amp;23)</f>
        <v>1550.6618400000025</v>
      </c>
      <c r="K23" s="166">
        <f>SUMIFS('31_P&amp;L'!$B$21:$BI$21,'31_P&amp;L'!$B$3:$BI$3,"&gt;="&amp;24,'31_P&amp;L'!$B$3:$BI$3,"&lt;="&amp;26)</f>
        <v>539.36064000000135</v>
      </c>
      <c r="L23" s="166">
        <f>SUMIFS('31_P&amp;L'!$B$21:$BI$21,'31_P&amp;L'!$B$3:$BI$3,"&gt;="&amp;27,'31_P&amp;L'!$B$3:$BI$3,"&lt;="&amp;29)</f>
        <v>0</v>
      </c>
      <c r="M23" s="166">
        <f>SUMIFS('31_P&amp;L'!$B$21:$BI$21,'31_P&amp;L'!$B$3:$BI$3,"&gt;="&amp;30,'31_P&amp;L'!$B$3:$BI$3,"&lt;="&amp;32)</f>
        <v>0</v>
      </c>
      <c r="N23" s="166">
        <f>SUMIFS('31_P&amp;L'!$B$21:$BI$21,'31_P&amp;L'!$B$3:$BI$3,"&gt;="&amp;33,'31_P&amp;L'!$B$3:$BI$3,"&lt;="&amp;35)</f>
        <v>20768.545672914046</v>
      </c>
      <c r="O23" s="166">
        <f>SUMIFS('31_P&amp;L'!$B$21:$BI$21,'31_P&amp;L'!$B$3:$BI$3,"&gt;="&amp;36,'31_P&amp;L'!$B$3:$BI$3,"&lt;="&amp;38)</f>
        <v>0</v>
      </c>
      <c r="P23" s="166">
        <f>SUMIFS('31_P&amp;L'!$B$21:$BI$21,'31_P&amp;L'!$B$3:$BI$3,"&gt;="&amp;39,'31_P&amp;L'!$B$3:$BI$3,"&lt;="&amp;41)</f>
        <v>0</v>
      </c>
      <c r="Q23" s="166">
        <f>SUMIFS('31_P&amp;L'!$B$21:$BI$21,'31_P&amp;L'!$B$3:$BI$3,"&gt;="&amp;42,'31_P&amp;L'!$B$3:$BI$3,"&lt;="&amp;44)</f>
        <v>0</v>
      </c>
      <c r="R23" s="166">
        <f>SUMIFS('31_P&amp;L'!$B$21:$BI$21,'31_P&amp;L'!$B$3:$BI$3,"&gt;="&amp;45,'31_P&amp;L'!$B$3:$BI$3,"&lt;="&amp;47)</f>
        <v>0</v>
      </c>
      <c r="S23" s="166">
        <f>SUMIFS('31_P&amp;L'!$B$21:$BI$21,'31_P&amp;L'!$B$3:$BI$3,"&gt;="&amp;48,'31_P&amp;L'!$B$3:$BI$3,"&lt;="&amp;50)</f>
        <v>0</v>
      </c>
      <c r="T23" s="166">
        <f>SUMIFS('31_P&amp;L'!$B$21:$BI$21,'31_P&amp;L'!$B$3:$BI$3,"&gt;="&amp;51,'31_P&amp;L'!$B$3:$BI$3,"&lt;="&amp;53)</f>
        <v>0</v>
      </c>
      <c r="U23" s="166">
        <f>SUMIFS('31_P&amp;L'!$B$21:$BI$21,'31_P&amp;L'!$B$3:$BI$3,"&gt;="&amp;54,'31_P&amp;L'!$B$3:$BI$3,"&lt;="&amp;56)</f>
        <v>0</v>
      </c>
      <c r="V23" s="166">
        <f>SUMIFS('31_P&amp;L'!$B$21:$BI$21,'31_P&amp;L'!$B$3:$BI$3,"&gt;="&amp;57,'31_P&amp;L'!$B$3:$BI$3,"&lt;="&amp;59)</f>
        <v>0</v>
      </c>
    </row>
    <row r="24" spans="1:22" ht="15.75" customHeight="1" thickBot="1" x14ac:dyDescent="0.3">
      <c r="C24" s="204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</row>
    <row r="25" spans="1:22" x14ac:dyDescent="0.25">
      <c r="A25" s="153" t="s">
        <v>314</v>
      </c>
      <c r="B25" s="241"/>
      <c r="C25" s="166">
        <f>SUMIFS('31_P&amp;L'!$B$23:$BI$23,'31_P&amp;L'!$B$3:$BI$3,"&gt;="&amp;0,'31_P&amp;L'!$B$3:$BI$3,"&lt;="&amp;2)</f>
        <v>0</v>
      </c>
      <c r="D25" s="166">
        <f>SUMIFS('31_P&amp;L'!$B$23:$BI$23,'31_P&amp;L'!$B$3:$BI$3,"&gt;="&amp;3,'31_P&amp;L'!$B$3:$BI$3,"&lt;="&amp;5)</f>
        <v>0</v>
      </c>
      <c r="E25" s="166">
        <f>SUMIFS('31_P&amp;L'!$B$23:$BI$23,'31_P&amp;L'!$B$3:$BI$3,"&gt;="&amp;6,'31_P&amp;L'!$B$3:$BI$3,"&lt;="&amp;8)</f>
        <v>0</v>
      </c>
      <c r="F25" s="166">
        <f>SUMIFS('31_P&amp;L'!$B$23:$BI$23,'31_P&amp;L'!$B$3:$BI$3,"&gt;="&amp;9,'31_P&amp;L'!$B$3:$BI$3,"&lt;="&amp;11)</f>
        <v>-33305.519520000031</v>
      </c>
      <c r="G25" s="166">
        <f>SUMIFS('31_P&amp;L'!$B$23:$BI$23,'31_P&amp;L'!$B$3:$BI$3,"&gt;="&amp;12,'31_P&amp;L'!$B$3:$BI$3,"&lt;="&amp;14)</f>
        <v>-4584.5654400000049</v>
      </c>
      <c r="H25" s="166">
        <f>SUMIFS('31_P&amp;L'!$B$23:$BI$23,'31_P&amp;L'!$B$3:$BI$3,"&gt;="&amp;15,'31_P&amp;L'!$B$3:$BI$3,"&lt;="&amp;17)</f>
        <v>-3573.2642400000041</v>
      </c>
      <c r="I25" s="166">
        <f>SUMIFS('31_P&amp;L'!$B$23:$BI$23,'31_P&amp;L'!$B$3:$BI$3,"&gt;="&amp;18,'31_P&amp;L'!$B$3:$BI$3,"&lt;="&amp;20)</f>
        <v>-2561.9630400000033</v>
      </c>
      <c r="J25" s="166">
        <f>SUMIFS('31_P&amp;L'!$B$23:$BI$23,'31_P&amp;L'!$B$3:$BI$3,"&gt;="&amp;21,'31_P&amp;L'!$B$3:$BI$3,"&lt;="&amp;23)</f>
        <v>-28363.161840000001</v>
      </c>
      <c r="K25" s="166">
        <f>SUMIFS('31_P&amp;L'!$B$23:$BI$23,'31_P&amp;L'!$B$3:$BI$3,"&gt;="&amp;24,'31_P&amp;L'!$B$3:$BI$3,"&lt;="&amp;26)</f>
        <v>-80976.860639999999</v>
      </c>
      <c r="L25" s="166">
        <f>SUMIFS('31_P&amp;L'!$B$23:$BI$23,'31_P&amp;L'!$B$3:$BI$3,"&gt;="&amp;27,'31_P&amp;L'!$B$3:$BI$3,"&lt;="&amp;29)</f>
        <v>-80437.5</v>
      </c>
      <c r="M25" s="166">
        <f>SUMIFS('31_P&amp;L'!$B$23:$BI$23,'31_P&amp;L'!$B$3:$BI$3,"&gt;="&amp;30,'31_P&amp;L'!$B$3:$BI$3,"&lt;="&amp;32)</f>
        <v>-80437.5</v>
      </c>
      <c r="N25" s="166">
        <f>SUMIFS('31_P&amp;L'!$B$23:$BI$23,'31_P&amp;L'!$B$3:$BI$3,"&gt;="&amp;33,'31_P&amp;L'!$B$3:$BI$3,"&lt;="&amp;35)</f>
        <v>1283326.7104185633</v>
      </c>
      <c r="O25" s="166">
        <f>SUMIFS('31_P&amp;L'!$B$23:$BI$23,'31_P&amp;L'!$B$3:$BI$3,"&gt;="&amp;36,'31_P&amp;L'!$B$3:$BI$3,"&lt;="&amp;38)</f>
        <v>0</v>
      </c>
      <c r="P25" s="166">
        <f>SUMIFS('31_P&amp;L'!$B$23:$BI$23,'31_P&amp;L'!$B$3:$BI$3,"&gt;="&amp;39,'31_P&amp;L'!$B$3:$BI$3,"&lt;="&amp;41)</f>
        <v>0</v>
      </c>
      <c r="Q25" s="166">
        <f>SUMIFS('31_P&amp;L'!$B$23:$BI$23,'31_P&amp;L'!$B$3:$BI$3,"&gt;="&amp;42,'31_P&amp;L'!$B$3:$BI$3,"&lt;="&amp;44)</f>
        <v>0</v>
      </c>
      <c r="R25" s="166">
        <f>SUMIFS('31_P&amp;L'!$B$23:$BI$23,'31_P&amp;L'!$B$3:$BI$3,"&gt;="&amp;45,'31_P&amp;L'!$B$3:$BI$3,"&lt;="&amp;47)</f>
        <v>0</v>
      </c>
      <c r="S25" s="166">
        <f>SUMIFS('31_P&amp;L'!$B$23:$BI$23,'31_P&amp;L'!$B$3:$BI$3,"&gt;="&amp;48,'31_P&amp;L'!$B$3:$BI$3,"&lt;="&amp;50)</f>
        <v>0</v>
      </c>
      <c r="T25" s="166">
        <f>SUMIFS('31_P&amp;L'!$B$23:$BI$23,'31_P&amp;L'!$B$3:$BI$3,"&gt;="&amp;51,'31_P&amp;L'!$B$3:$BI$3,"&lt;="&amp;53)</f>
        <v>0</v>
      </c>
      <c r="U25" s="166">
        <f>SUMIFS('31_P&amp;L'!$B$23:$BI$23,'31_P&amp;L'!$B$3:$BI$3,"&gt;="&amp;54,'31_P&amp;L'!$B$3:$BI$3,"&lt;="&amp;56)</f>
        <v>0</v>
      </c>
      <c r="V25" s="166">
        <f>SUMIFS('31_P&amp;L'!$B$23:$BI$23,'31_P&amp;L'!$B$3:$BI$3,"&gt;="&amp;57,'31_P&amp;L'!$B$3:$BI$3,"&lt;="&amp;59)</f>
        <v>0</v>
      </c>
    </row>
    <row r="26" spans="1:22" ht="15.75" customHeight="1" thickBot="1" x14ac:dyDescent="0.3">
      <c r="A26" s="203" t="s">
        <v>315</v>
      </c>
      <c r="B26" s="203"/>
      <c r="C26" s="204">
        <f>SUMIFS('31_P&amp;L'!$B$24:$BI$24,'31_P&amp;L'!$B$3:$BI$3,"&gt;="&amp;0,'31_P&amp;L'!$B$3:$BI$3,"&lt;="&amp;2)</f>
        <v>0</v>
      </c>
      <c r="D26" s="204">
        <f>SUMIFS('31_P&amp;L'!$B$24:$BI$24,'31_P&amp;L'!$B$3:$BI$3,"&gt;="&amp;3,'31_P&amp;L'!$B$3:$BI$3,"&lt;="&amp;5)</f>
        <v>0</v>
      </c>
      <c r="E26" s="204">
        <f>SUMIFS('31_P&amp;L'!$B$24:$BI$24,'31_P&amp;L'!$B$3:$BI$3,"&gt;="&amp;6,'31_P&amp;L'!$B$3:$BI$3,"&lt;="&amp;8)</f>
        <v>0</v>
      </c>
      <c r="F26" s="204">
        <f>SUMIFS('31_P&amp;L'!$B$24:$BI$24,'31_P&amp;L'!$B$3:$BI$3,"&gt;="&amp;9,'31_P&amp;L'!$B$3:$BI$3,"&lt;="&amp;11)</f>
        <v>0</v>
      </c>
      <c r="G26" s="204">
        <f>SUMIFS('31_P&amp;L'!$B$24:$BI$24,'31_P&amp;L'!$B$3:$BI$3,"&gt;="&amp;12,'31_P&amp;L'!$B$3:$BI$3,"&lt;="&amp;14)</f>
        <v>0</v>
      </c>
      <c r="H26" s="204">
        <f>SUMIFS('31_P&amp;L'!$B$24:$BI$24,'31_P&amp;L'!$B$3:$BI$3,"&gt;="&amp;15,'31_P&amp;L'!$B$3:$BI$3,"&lt;="&amp;17)</f>
        <v>0</v>
      </c>
      <c r="I26" s="204">
        <f>SUMIFS('31_P&amp;L'!$B$24:$BI$24,'31_P&amp;L'!$B$3:$BI$3,"&gt;="&amp;18,'31_P&amp;L'!$B$3:$BI$3,"&lt;="&amp;20)</f>
        <v>0</v>
      </c>
      <c r="J26" s="204">
        <f>SUMIFS('31_P&amp;L'!$B$24:$BI$24,'31_P&amp;L'!$B$3:$BI$3,"&gt;="&amp;21,'31_P&amp;L'!$B$3:$BI$3,"&lt;="&amp;23)</f>
        <v>0</v>
      </c>
      <c r="K26" s="204">
        <f>SUMIFS('31_P&amp;L'!$B$24:$BI$24,'31_P&amp;L'!$B$3:$BI$3,"&gt;="&amp;24,'31_P&amp;L'!$B$3:$BI$3,"&lt;="&amp;26)</f>
        <v>0</v>
      </c>
      <c r="L26" s="204">
        <f>SUMIFS('31_P&amp;L'!$B$24:$BI$24,'31_P&amp;L'!$B$3:$BI$3,"&gt;="&amp;27,'31_P&amp;L'!$B$3:$BI$3,"&lt;="&amp;29)</f>
        <v>0</v>
      </c>
      <c r="M26" s="204">
        <f>SUMIFS('31_P&amp;L'!$B$24:$BI$24,'31_P&amp;L'!$B$3:$BI$3,"&gt;="&amp;30,'31_P&amp;L'!$B$3:$BI$3,"&lt;="&amp;32)</f>
        <v>0</v>
      </c>
      <c r="N26" s="204">
        <f>SUMIFS('31_P&amp;L'!$B$24:$BI$24,'31_P&amp;L'!$B$3:$BI$3,"&gt;="&amp;33,'31_P&amp;L'!$B$3:$BI$3,"&lt;="&amp;35)</f>
        <v>253800.42760464069</v>
      </c>
      <c r="O26" s="204">
        <f>SUMIFS('31_P&amp;L'!$B$24:$BI$24,'31_P&amp;L'!$B$3:$BI$3,"&gt;="&amp;36,'31_P&amp;L'!$B$3:$BI$3,"&lt;="&amp;38)</f>
        <v>0</v>
      </c>
      <c r="P26" s="204">
        <f>SUMIFS('31_P&amp;L'!$B$24:$BI$24,'31_P&amp;L'!$B$3:$BI$3,"&gt;="&amp;39,'31_P&amp;L'!$B$3:$BI$3,"&lt;="&amp;41)</f>
        <v>0</v>
      </c>
      <c r="Q26" s="204">
        <f>SUMIFS('31_P&amp;L'!$B$24:$BI$24,'31_P&amp;L'!$B$3:$BI$3,"&gt;="&amp;42,'31_P&amp;L'!$B$3:$BI$3,"&lt;="&amp;44)</f>
        <v>0</v>
      </c>
      <c r="R26" s="204">
        <f>SUMIFS('31_P&amp;L'!$B$24:$BI$24,'31_P&amp;L'!$B$3:$BI$3,"&gt;="&amp;45,'31_P&amp;L'!$B$3:$BI$3,"&lt;="&amp;47)</f>
        <v>0</v>
      </c>
      <c r="S26" s="204">
        <f>SUMIFS('31_P&amp;L'!$B$24:$BI$24,'31_P&amp;L'!$B$3:$BI$3,"&gt;="&amp;48,'31_P&amp;L'!$B$3:$BI$3,"&lt;="&amp;50)</f>
        <v>0</v>
      </c>
      <c r="T26" s="204">
        <f>SUMIFS('31_P&amp;L'!$B$24:$BI$24,'31_P&amp;L'!$B$3:$BI$3,"&gt;="&amp;51,'31_P&amp;L'!$B$3:$BI$3,"&lt;="&amp;53)</f>
        <v>0</v>
      </c>
      <c r="U26" s="204">
        <f>SUMIFS('31_P&amp;L'!$B$24:$BI$24,'31_P&amp;L'!$B$3:$BI$3,"&gt;="&amp;54,'31_P&amp;L'!$B$3:$BI$3,"&lt;="&amp;56)</f>
        <v>0</v>
      </c>
      <c r="V26" s="204">
        <f>SUMIFS('31_P&amp;L'!$B$24:$BI$24,'31_P&amp;L'!$B$3:$BI$3,"&gt;="&amp;57,'31_P&amp;L'!$B$3:$BI$3,"&lt;="&amp;59)</f>
        <v>0</v>
      </c>
    </row>
    <row r="27" spans="1:22" ht="15.75" customHeight="1" thickBot="1" x14ac:dyDescent="0.3">
      <c r="A27" s="153" t="s">
        <v>316</v>
      </c>
      <c r="B27" s="241"/>
      <c r="C27" s="166">
        <f>SUMIFS('31_P&amp;L'!$B$25:$BI$25,'31_P&amp;L'!$B$3:$BI$3,"&gt;="&amp;0,'31_P&amp;L'!$B$3:$BI$3,"&lt;="&amp;2)</f>
        <v>0</v>
      </c>
      <c r="D27" s="166">
        <f>SUMIFS('31_P&amp;L'!$B$25:$BI$25,'31_P&amp;L'!$B$3:$BI$3,"&gt;="&amp;3,'31_P&amp;L'!$B$3:$BI$3,"&lt;="&amp;5)</f>
        <v>0</v>
      </c>
      <c r="E27" s="166">
        <f>SUMIFS('31_P&amp;L'!$B$25:$BI$25,'31_P&amp;L'!$B$3:$BI$3,"&gt;="&amp;6,'31_P&amp;L'!$B$3:$BI$3,"&lt;="&amp;8)</f>
        <v>0</v>
      </c>
      <c r="F27" s="166">
        <f>SUMIFS('31_P&amp;L'!$B$25:$BI$25,'31_P&amp;L'!$B$3:$BI$3,"&gt;="&amp;9,'31_P&amp;L'!$B$3:$BI$3,"&lt;="&amp;11)</f>
        <v>-33305.519520000031</v>
      </c>
      <c r="G27" s="166">
        <f>SUMIFS('31_P&amp;L'!$B$25:$BI$25,'31_P&amp;L'!$B$3:$BI$3,"&gt;="&amp;12,'31_P&amp;L'!$B$3:$BI$3,"&lt;="&amp;14)</f>
        <v>-4584.5654400000049</v>
      </c>
      <c r="H27" s="166">
        <f>SUMIFS('31_P&amp;L'!$B$25:$BI$25,'31_P&amp;L'!$B$3:$BI$3,"&gt;="&amp;15,'31_P&amp;L'!$B$3:$BI$3,"&lt;="&amp;17)</f>
        <v>-3573.2642400000041</v>
      </c>
      <c r="I27" s="166">
        <f>SUMIFS('31_P&amp;L'!$B$25:$BI$25,'31_P&amp;L'!$B$3:$BI$3,"&gt;="&amp;18,'31_P&amp;L'!$B$3:$BI$3,"&lt;="&amp;20)</f>
        <v>-2561.9630400000033</v>
      </c>
      <c r="J27" s="166">
        <f>SUMIFS('31_P&amp;L'!$B$25:$BI$25,'31_P&amp;L'!$B$3:$BI$3,"&gt;="&amp;21,'31_P&amp;L'!$B$3:$BI$3,"&lt;="&amp;23)</f>
        <v>-28363.161840000001</v>
      </c>
      <c r="K27" s="166">
        <f>SUMIFS('31_P&amp;L'!$B$25:$BI$25,'31_P&amp;L'!$B$3:$BI$3,"&gt;="&amp;24,'31_P&amp;L'!$B$3:$BI$3,"&lt;="&amp;26)</f>
        <v>-80976.860639999999</v>
      </c>
      <c r="L27" s="166">
        <f>SUMIFS('31_P&amp;L'!$B$25:$BI$25,'31_P&amp;L'!$B$3:$BI$3,"&gt;="&amp;27,'31_P&amp;L'!$B$3:$BI$3,"&lt;="&amp;29)</f>
        <v>-80437.5</v>
      </c>
      <c r="M27" s="166">
        <f>SUMIFS('31_P&amp;L'!$B$25:$BI$25,'31_P&amp;L'!$B$3:$BI$3,"&gt;="&amp;30,'31_P&amp;L'!$B$3:$BI$3,"&lt;="&amp;32)</f>
        <v>-80437.5</v>
      </c>
      <c r="N27" s="166">
        <f>SUMIFS('31_P&amp;L'!$B$25:$BI$25,'31_P&amp;L'!$B$3:$BI$3,"&gt;="&amp;33,'31_P&amp;L'!$B$3:$BI$3,"&lt;="&amp;35)</f>
        <v>1029526.2828139226</v>
      </c>
      <c r="O27" s="166">
        <f>SUMIFS('31_P&amp;L'!$B$25:$BI$25,'31_P&amp;L'!$B$3:$BI$3,"&gt;="&amp;36,'31_P&amp;L'!$B$3:$BI$3,"&lt;="&amp;38)</f>
        <v>0</v>
      </c>
      <c r="P27" s="166">
        <f>SUMIFS('31_P&amp;L'!$B$25:$BI$25,'31_P&amp;L'!$B$3:$BI$3,"&gt;="&amp;39,'31_P&amp;L'!$B$3:$BI$3,"&lt;="&amp;41)</f>
        <v>0</v>
      </c>
      <c r="Q27" s="166">
        <f>SUMIFS('31_P&amp;L'!$B$25:$BI$25,'31_P&amp;L'!$B$3:$BI$3,"&gt;="&amp;42,'31_P&amp;L'!$B$3:$BI$3,"&lt;="&amp;44)</f>
        <v>0</v>
      </c>
      <c r="R27" s="166">
        <f>SUMIFS('31_P&amp;L'!$B$25:$BI$25,'31_P&amp;L'!$B$3:$BI$3,"&gt;="&amp;45,'31_P&amp;L'!$B$3:$BI$3,"&lt;="&amp;47)</f>
        <v>0</v>
      </c>
      <c r="S27" s="166">
        <f>SUMIFS('31_P&amp;L'!$B$25:$BI$25,'31_P&amp;L'!$B$3:$BI$3,"&gt;="&amp;48,'31_P&amp;L'!$B$3:$BI$3,"&lt;="&amp;50)</f>
        <v>0</v>
      </c>
      <c r="T27" s="166">
        <f>SUMIFS('31_P&amp;L'!$B$25:$BI$25,'31_P&amp;L'!$B$3:$BI$3,"&gt;="&amp;51,'31_P&amp;L'!$B$3:$BI$3,"&lt;="&amp;53)</f>
        <v>0</v>
      </c>
      <c r="U27" s="166">
        <f>SUMIFS('31_P&amp;L'!$B$25:$BI$25,'31_P&amp;L'!$B$3:$BI$3,"&gt;="&amp;54,'31_P&amp;L'!$B$3:$BI$3,"&lt;="&amp;56)</f>
        <v>0</v>
      </c>
      <c r="V27" s="166">
        <f>SUMIFS('31_P&amp;L'!$B$25:$BI$25,'31_P&amp;L'!$B$3:$BI$3,"&gt;="&amp;57,'31_P&amp;L'!$B$3:$BI$3,"&lt;="&amp;59)</f>
        <v>0</v>
      </c>
    </row>
    <row r="28" spans="1:22" x14ac:dyDescent="0.25">
      <c r="A28" s="153" t="s">
        <v>317</v>
      </c>
      <c r="B28" s="241"/>
      <c r="C28" s="166" cm="1">
        <f t="array" ref="C28">LOOKUP(2,1/('31_P&amp;L'!$B$3:$BI$3&lt;=2),'31_P&amp;L'!$B$26:$BI$26)</f>
        <v>0</v>
      </c>
      <c r="D28" s="166" cm="1">
        <f t="array" ref="D28">LOOKUP(2,1/('31_P&amp;L'!$B$3:$BI$3&lt;=5),'31_P&amp;L'!$B$26:$BI$26)</f>
        <v>0</v>
      </c>
      <c r="E28" s="166" cm="1">
        <f t="array" ref="E28">LOOKUP(2,1/('31_P&amp;L'!$B$3:$BI$3&lt;=8),'31_P&amp;L'!$B$26:$BI$26)</f>
        <v>0</v>
      </c>
      <c r="F28" s="166" cm="1">
        <f t="array" ref="F28">LOOKUP(2,1/('31_P&amp;L'!$B$3:$BI$3&lt;=11),'31_P&amp;L'!$B$26:$BI$26)</f>
        <v>-33305.519520000031</v>
      </c>
      <c r="G28" s="166" cm="1">
        <f t="array" ref="G28">LOOKUP(2,1/('31_P&amp;L'!$B$3:$BI$3&lt;=14),'31_P&amp;L'!$B$26:$BI$26)</f>
        <v>-37890.084960000037</v>
      </c>
      <c r="H28" s="166" cm="1">
        <f t="array" ref="H28">LOOKUP(2,1/('31_P&amp;L'!$B$3:$BI$3&lt;=17),'31_P&amp;L'!$B$26:$BI$26)</f>
        <v>-41463.349200000041</v>
      </c>
      <c r="I28" s="166" cm="1">
        <f t="array" ref="I28">LOOKUP(2,1/('31_P&amp;L'!$B$3:$BI$3&lt;=20),'31_P&amp;L'!$B$26:$BI$26)</f>
        <v>-44025.312240000043</v>
      </c>
      <c r="J28" s="166" cm="1">
        <f t="array" ref="J28">LOOKUP(2,1/('31_P&amp;L'!$B$3:$BI$3&lt;=23),'31_P&amp;L'!$B$26:$BI$26)</f>
        <v>-72388.474080000044</v>
      </c>
      <c r="K28" s="166" cm="1">
        <f t="array" ref="K28">LOOKUP(2,1/('31_P&amp;L'!$B$3:$BI$3&lt;=26),'31_P&amp;L'!$B$26:$BI$26)</f>
        <v>-153365.33472000004</v>
      </c>
      <c r="L28" s="166" cm="1">
        <f t="array" ref="L28">LOOKUP(2,1/('31_P&amp;L'!$B$3:$BI$3&lt;=29),'31_P&amp;L'!$B$26:$BI$26)</f>
        <v>-233802.83472000004</v>
      </c>
      <c r="M28" s="166" cm="1">
        <f t="array" ref="M28">LOOKUP(2,1/('31_P&amp;L'!$B$3:$BI$3&lt;=32),'31_P&amp;L'!$B$26:$BI$26)</f>
        <v>-314240.33472000004</v>
      </c>
      <c r="N28" s="166" cm="1">
        <f t="array" ref="N28">LOOKUP(2,1/('31_P&amp;L'!$B$3:$BI$3&lt;=35),'31_P&amp;L'!$B$26:$BI$26)</f>
        <v>715285.94809392258</v>
      </c>
      <c r="O28" s="166" cm="1">
        <f t="array" ref="O28">LOOKUP(2,1/('31_P&amp;L'!$B$3:$BI$3&lt;=38),'31_P&amp;L'!$B$26:$BI$26)</f>
        <v>715285.94809392258</v>
      </c>
      <c r="P28" s="166" cm="1">
        <f t="array" ref="P28">LOOKUP(2,1/('31_P&amp;L'!$B$3:$BI$3&lt;=41),'31_P&amp;L'!$B$26:$BI$26)</f>
        <v>715285.94809392258</v>
      </c>
      <c r="Q28" s="166" cm="1">
        <f t="array" ref="Q28">LOOKUP(2,1/('31_P&amp;L'!$B$3:$BI$3&lt;=44),'31_P&amp;L'!$B$26:$BI$26)</f>
        <v>715285.94809392258</v>
      </c>
      <c r="R28" s="166" cm="1">
        <f t="array" ref="R28">LOOKUP(2,1/('31_P&amp;L'!$B$3:$BI$3&lt;=47),'31_P&amp;L'!$B$26:$BI$26)</f>
        <v>715285.94809392258</v>
      </c>
      <c r="S28" s="166" cm="1">
        <f t="array" ref="S28">LOOKUP(2,1/('31_P&amp;L'!$B$3:$BI$3&lt;=50),'31_P&amp;L'!$B$26:$BI$26)</f>
        <v>715285.94809392258</v>
      </c>
      <c r="T28" s="166" cm="1">
        <f t="array" ref="T28">LOOKUP(2,1/('31_P&amp;L'!$B$3:$BI$3&lt;=53),'31_P&amp;L'!$B$26:$BI$26)</f>
        <v>715285.94809392258</v>
      </c>
      <c r="U28" s="166" cm="1">
        <f t="array" ref="U28">LOOKUP(2,1/('31_P&amp;L'!$B$3:$BI$3&lt;=56),'31_P&amp;L'!$B$26:$BI$26)</f>
        <v>715285.94809392258</v>
      </c>
      <c r="V28" s="166" cm="1">
        <f t="array" ref="V28">LOOKUP(2,1/('31_P&amp;L'!$B$3:$BI$3&lt;=59),'31_P&amp;L'!$B$26:$BI$26)</f>
        <v>715285.94809392258</v>
      </c>
    </row>
    <row r="29" spans="1:22" ht="15.75" customHeight="1" thickBot="1" x14ac:dyDescent="0.3">
      <c r="C29" s="204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</row>
    <row r="30" spans="1:22" x14ac:dyDescent="0.25">
      <c r="A30" s="164" t="s">
        <v>318</v>
      </c>
      <c r="B30" s="262"/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</row>
    <row r="31" spans="1:22" x14ac:dyDescent="0.25">
      <c r="A31" s="203" t="s">
        <v>319</v>
      </c>
      <c r="B31" s="203"/>
      <c r="C31" s="202">
        <f t="shared" ref="C31:V31" si="0">IFERROR(C18/C9,0)</f>
        <v>0</v>
      </c>
      <c r="D31" s="202">
        <f t="shared" si="0"/>
        <v>0</v>
      </c>
      <c r="E31" s="202">
        <f t="shared" si="0"/>
        <v>0</v>
      </c>
      <c r="F31" s="202">
        <f t="shared" si="0"/>
        <v>0</v>
      </c>
      <c r="G31" s="202">
        <f t="shared" si="0"/>
        <v>0</v>
      </c>
      <c r="H31" s="202">
        <f t="shared" si="0"/>
        <v>0</v>
      </c>
      <c r="I31" s="202">
        <f t="shared" si="0"/>
        <v>0</v>
      </c>
      <c r="J31" s="202">
        <f t="shared" si="0"/>
        <v>0</v>
      </c>
      <c r="K31" s="202">
        <f t="shared" si="0"/>
        <v>0</v>
      </c>
      <c r="L31" s="202">
        <f t="shared" si="0"/>
        <v>0</v>
      </c>
      <c r="M31" s="202">
        <f t="shared" si="0"/>
        <v>0</v>
      </c>
      <c r="N31" s="202">
        <f t="shared" si="0"/>
        <v>0.14030072685222994</v>
      </c>
      <c r="O31" s="202">
        <f t="shared" si="0"/>
        <v>0</v>
      </c>
      <c r="P31" s="202">
        <f t="shared" si="0"/>
        <v>0</v>
      </c>
      <c r="Q31" s="202">
        <f t="shared" si="0"/>
        <v>0</v>
      </c>
      <c r="R31" s="202">
        <f t="shared" si="0"/>
        <v>0</v>
      </c>
      <c r="S31" s="202">
        <f t="shared" si="0"/>
        <v>0</v>
      </c>
      <c r="T31" s="202">
        <f t="shared" si="0"/>
        <v>0</v>
      </c>
      <c r="U31" s="202">
        <f t="shared" si="0"/>
        <v>0</v>
      </c>
      <c r="V31" s="202">
        <f t="shared" si="0"/>
        <v>0</v>
      </c>
    </row>
    <row r="32" spans="1:22" ht="15.75" customHeight="1" thickBot="1" x14ac:dyDescent="0.3">
      <c r="A32" s="203" t="s">
        <v>320</v>
      </c>
      <c r="B32" s="203"/>
      <c r="C32" s="202">
        <f t="shared" ref="C32:V32" si="1">IFERROR(C27/C9,0)</f>
        <v>0</v>
      </c>
      <c r="D32" s="202">
        <f t="shared" si="1"/>
        <v>0</v>
      </c>
      <c r="E32" s="202">
        <f t="shared" si="1"/>
        <v>0</v>
      </c>
      <c r="F32" s="202">
        <f t="shared" si="1"/>
        <v>0</v>
      </c>
      <c r="G32" s="202">
        <f t="shared" si="1"/>
        <v>0</v>
      </c>
      <c r="H32" s="202">
        <f t="shared" si="1"/>
        <v>0</v>
      </c>
      <c r="I32" s="202">
        <f t="shared" si="1"/>
        <v>0</v>
      </c>
      <c r="J32" s="202">
        <f t="shared" si="1"/>
        <v>0</v>
      </c>
      <c r="K32" s="202">
        <f t="shared" si="1"/>
        <v>0</v>
      </c>
      <c r="L32" s="202">
        <f t="shared" si="1"/>
        <v>0</v>
      </c>
      <c r="M32" s="202">
        <f t="shared" si="1"/>
        <v>0</v>
      </c>
      <c r="N32" s="202">
        <f t="shared" si="1"/>
        <v>0.11076129992618855</v>
      </c>
      <c r="O32" s="202">
        <f t="shared" si="1"/>
        <v>0</v>
      </c>
      <c r="P32" s="202">
        <f t="shared" si="1"/>
        <v>0</v>
      </c>
      <c r="Q32" s="202">
        <f t="shared" si="1"/>
        <v>0</v>
      </c>
      <c r="R32" s="202">
        <f t="shared" si="1"/>
        <v>0</v>
      </c>
      <c r="S32" s="202">
        <f t="shared" si="1"/>
        <v>0</v>
      </c>
      <c r="T32" s="202">
        <f t="shared" si="1"/>
        <v>0</v>
      </c>
      <c r="U32" s="202">
        <f t="shared" si="1"/>
        <v>0</v>
      </c>
      <c r="V32" s="202">
        <f t="shared" si="1"/>
        <v>0</v>
      </c>
    </row>
    <row r="33" spans="1:22" ht="15.75" customHeight="1" thickBot="1" x14ac:dyDescent="0.3">
      <c r="A33" s="153" t="s">
        <v>321</v>
      </c>
      <c r="B33" s="241"/>
      <c r="C33" s="166">
        <f>SUMIFS('31_P&amp;L'!$B$31:$BI$31,'31_P&amp;L'!$B$3:$BI$3,"&gt;="&amp;0,'31_P&amp;L'!$B$3:$BI$3,"&lt;="&amp;2)</f>
        <v>-1183546</v>
      </c>
      <c r="D33" s="166">
        <f>SUMIFS('31_P&amp;L'!$B$31:$BI$31,'31_P&amp;L'!$B$3:$BI$3,"&gt;="&amp;3,'31_P&amp;L'!$B$3:$BI$3,"&lt;="&amp;5)</f>
        <v>0</v>
      </c>
      <c r="E33" s="166">
        <f>SUMIFS('31_P&amp;L'!$B$31:$BI$31,'31_P&amp;L'!$B$3:$BI$3,"&gt;="&amp;6,'31_P&amp;L'!$B$3:$BI$3,"&lt;="&amp;8)</f>
        <v>0</v>
      </c>
      <c r="F33" s="166">
        <f>SUMIFS('31_P&amp;L'!$B$31:$BI$31,'31_P&amp;L'!$B$3:$BI$3,"&gt;="&amp;9,'31_P&amp;L'!$B$3:$BI$3,"&lt;="&amp;11)</f>
        <v>-269680.32000000007</v>
      </c>
      <c r="G33" s="166">
        <f>SUMIFS('31_P&amp;L'!$B$31:$BI$31,'31_P&amp;L'!$B$3:$BI$3,"&gt;="&amp;12,'31_P&amp;L'!$B$3:$BI$3,"&lt;="&amp;14)</f>
        <v>-809040.9600000002</v>
      </c>
      <c r="H33" s="166">
        <f>SUMIFS('31_P&amp;L'!$B$31:$BI$31,'31_P&amp;L'!$B$3:$BI$3,"&gt;="&amp;15,'31_P&amp;L'!$B$3:$BI$3,"&lt;="&amp;17)</f>
        <v>-809040.9600000002</v>
      </c>
      <c r="I33" s="166">
        <f>SUMIFS('31_P&amp;L'!$B$31:$BI$31,'31_P&amp;L'!$B$3:$BI$3,"&gt;="&amp;18,'31_P&amp;L'!$B$3:$BI$3,"&lt;="&amp;20)</f>
        <v>-809040.9600000002</v>
      </c>
      <c r="J33" s="166">
        <f>SUMIFS('31_P&amp;L'!$B$31:$BI$31,'31_P&amp;L'!$B$3:$BI$3,"&gt;="&amp;21,'31_P&amp;L'!$B$3:$BI$3,"&lt;="&amp;23)</f>
        <v>-791165.9600000002</v>
      </c>
      <c r="K33" s="166">
        <f>SUMIFS('31_P&amp;L'!$B$31:$BI$31,'31_P&amp;L'!$B$3:$BI$3,"&gt;="&amp;24,'31_P&amp;L'!$B$3:$BI$3,"&lt;="&amp;26)</f>
        <v>-407665.9600000002</v>
      </c>
      <c r="L33" s="166">
        <f>SUMIFS('31_P&amp;L'!$B$31:$BI$31,'31_P&amp;L'!$B$3:$BI$3,"&gt;="&amp;27,'31_P&amp;L'!$B$3:$BI$3,"&lt;="&amp;29)</f>
        <v>-233790.9600000002</v>
      </c>
      <c r="M33" s="166">
        <f>SUMIFS('31_P&amp;L'!$B$31:$BI$31,'31_P&amp;L'!$B$3:$BI$3,"&gt;="&amp;30,'31_P&amp;L'!$B$3:$BI$3,"&lt;="&amp;32)</f>
        <v>-233790.9600000002</v>
      </c>
      <c r="N33" s="166">
        <f>SUMIFS('31_P&amp;L'!$B$31:$BI$31,'31_P&amp;L'!$B$3:$BI$3,"&gt;="&amp;33,'31_P&amp;L'!$B$3:$BI$3,"&lt;="&amp;35)</f>
        <v>6907039.3599999994</v>
      </c>
      <c r="O33" s="166">
        <f>SUMIFS('31_P&amp;L'!$B$31:$BI$31,'31_P&amp;L'!$B$3:$BI$3,"&gt;="&amp;36,'31_P&amp;L'!$B$3:$BI$3,"&lt;="&amp;38)</f>
        <v>0</v>
      </c>
      <c r="P33" s="166">
        <f>SUMIFS('31_P&amp;L'!$B$31:$BI$31,'31_P&amp;L'!$B$3:$BI$3,"&gt;="&amp;39,'31_P&amp;L'!$B$3:$BI$3,"&lt;="&amp;41)</f>
        <v>0</v>
      </c>
      <c r="Q33" s="166">
        <f>SUMIFS('31_P&amp;L'!$B$31:$BI$31,'31_P&amp;L'!$B$3:$BI$3,"&gt;="&amp;42,'31_P&amp;L'!$B$3:$BI$3,"&lt;="&amp;44)</f>
        <v>0</v>
      </c>
      <c r="R33" s="166">
        <f>SUMIFS('31_P&amp;L'!$B$31:$BI$31,'31_P&amp;L'!$B$3:$BI$3,"&gt;="&amp;45,'31_P&amp;L'!$B$3:$BI$3,"&lt;="&amp;47)</f>
        <v>0</v>
      </c>
      <c r="S33" s="166">
        <f>SUMIFS('31_P&amp;L'!$B$31:$BI$31,'31_P&amp;L'!$B$3:$BI$3,"&gt;="&amp;48,'31_P&amp;L'!$B$3:$BI$3,"&lt;="&amp;50)</f>
        <v>0</v>
      </c>
      <c r="T33" s="166">
        <f>SUMIFS('31_P&amp;L'!$B$31:$BI$31,'31_P&amp;L'!$B$3:$BI$3,"&gt;="&amp;51,'31_P&amp;L'!$B$3:$BI$3,"&lt;="&amp;53)</f>
        <v>0</v>
      </c>
      <c r="U33" s="166">
        <f>SUMIFS('31_P&amp;L'!$B$31:$BI$31,'31_P&amp;L'!$B$3:$BI$3,"&gt;="&amp;54,'31_P&amp;L'!$B$3:$BI$3,"&lt;="&amp;56)</f>
        <v>0</v>
      </c>
      <c r="V33" s="166">
        <f>SUMIFS('31_P&amp;L'!$B$31:$BI$31,'31_P&amp;L'!$B$3:$BI$3,"&gt;="&amp;57,'31_P&amp;L'!$B$3:$BI$3,"&lt;="&amp;59)</f>
        <v>0</v>
      </c>
    </row>
    <row r="34" spans="1:22" x14ac:dyDescent="0.25">
      <c r="A34" s="153" t="s">
        <v>322</v>
      </c>
      <c r="B34" s="241"/>
      <c r="C34" s="166">
        <f>SUMIFS('31_P&amp;L'!$B$32:$BI$32,'31_P&amp;L'!$B$3:$BI$3,"&gt;="&amp;0,'31_P&amp;L'!$B$3:$BI$3,"&lt;="&amp;2)</f>
        <v>1183546</v>
      </c>
      <c r="D34" s="166">
        <f>SUMIFS('31_P&amp;L'!$B$32:$BI$32,'31_P&amp;L'!$B$3:$BI$3,"&gt;="&amp;3,'31_P&amp;L'!$B$3:$BI$3,"&lt;="&amp;5)</f>
        <v>0</v>
      </c>
      <c r="E34" s="166">
        <f>SUMIFS('31_P&amp;L'!$B$32:$BI$32,'31_P&amp;L'!$B$3:$BI$3,"&gt;="&amp;6,'31_P&amp;L'!$B$3:$BI$3,"&lt;="&amp;8)</f>
        <v>0</v>
      </c>
      <c r="F34" s="166">
        <f>SUMIFS('31_P&amp;L'!$B$32:$BI$32,'31_P&amp;L'!$B$3:$BI$3,"&gt;="&amp;9,'31_P&amp;L'!$B$3:$BI$3,"&lt;="&amp;11)</f>
        <v>269680.32000000007</v>
      </c>
      <c r="G34" s="166">
        <f>SUMIFS('31_P&amp;L'!$B$32:$BI$32,'31_P&amp;L'!$B$3:$BI$3,"&gt;="&amp;12,'31_P&amp;L'!$B$3:$BI$3,"&lt;="&amp;14)</f>
        <v>809040.9600000002</v>
      </c>
      <c r="H34" s="166">
        <f>SUMIFS('31_P&amp;L'!$B$32:$BI$32,'31_P&amp;L'!$B$3:$BI$3,"&gt;="&amp;15,'31_P&amp;L'!$B$3:$BI$3,"&lt;="&amp;17)</f>
        <v>809040.9600000002</v>
      </c>
      <c r="I34" s="166">
        <f>SUMIFS('31_P&amp;L'!$B$32:$BI$32,'31_P&amp;L'!$B$3:$BI$3,"&gt;="&amp;18,'31_P&amp;L'!$B$3:$BI$3,"&lt;="&amp;20)</f>
        <v>809040.9600000002</v>
      </c>
      <c r="J34" s="166">
        <f>SUMIFS('31_P&amp;L'!$B$32:$BI$32,'31_P&amp;L'!$B$3:$BI$3,"&gt;="&amp;21,'31_P&amp;L'!$B$3:$BI$3,"&lt;="&amp;23)</f>
        <v>809040.9600000002</v>
      </c>
      <c r="K34" s="166">
        <f>SUMIFS('31_P&amp;L'!$B$32:$BI$32,'31_P&amp;L'!$B$3:$BI$3,"&gt;="&amp;24,'31_P&amp;L'!$B$3:$BI$3,"&lt;="&amp;26)</f>
        <v>809040.9600000002</v>
      </c>
      <c r="L34" s="166">
        <f>SUMIFS('31_P&amp;L'!$B$32:$BI$32,'31_P&amp;L'!$B$3:$BI$3,"&gt;="&amp;27,'31_P&amp;L'!$B$3:$BI$3,"&lt;="&amp;29)</f>
        <v>809040.9600000002</v>
      </c>
      <c r="M34" s="166">
        <f>SUMIFS('31_P&amp;L'!$B$32:$BI$32,'31_P&amp;L'!$B$3:$BI$3,"&gt;="&amp;30,'31_P&amp;L'!$B$3:$BI$3,"&lt;="&amp;32)</f>
        <v>809040.9600000002</v>
      </c>
      <c r="N34" s="166">
        <f>SUMIFS('31_P&amp;L'!$B$32:$BI$32,'31_P&amp;L'!$B$3:$BI$3,"&gt;="&amp;33,'31_P&amp;L'!$B$3:$BI$3,"&lt;="&amp;35)</f>
        <v>539360.64000000013</v>
      </c>
      <c r="O34" s="166">
        <f>SUMIFS('31_P&amp;L'!$B$32:$BI$32,'31_P&amp;L'!$B$3:$BI$3,"&gt;="&amp;36,'31_P&amp;L'!$B$3:$BI$3,"&lt;="&amp;38)</f>
        <v>0</v>
      </c>
      <c r="P34" s="166">
        <f>SUMIFS('31_P&amp;L'!$B$32:$BI$32,'31_P&amp;L'!$B$3:$BI$3,"&gt;="&amp;39,'31_P&amp;L'!$B$3:$BI$3,"&lt;="&amp;41)</f>
        <v>0</v>
      </c>
      <c r="Q34" s="166">
        <f>SUMIFS('31_P&amp;L'!$B$32:$BI$32,'31_P&amp;L'!$B$3:$BI$3,"&gt;="&amp;42,'31_P&amp;L'!$B$3:$BI$3,"&lt;="&amp;44)</f>
        <v>0</v>
      </c>
      <c r="R34" s="166">
        <f>SUMIFS('31_P&amp;L'!$B$32:$BI$32,'31_P&amp;L'!$B$3:$BI$3,"&gt;="&amp;45,'31_P&amp;L'!$B$3:$BI$3,"&lt;="&amp;47)</f>
        <v>0</v>
      </c>
      <c r="S34" s="166">
        <f>SUMIFS('31_P&amp;L'!$B$32:$BI$32,'31_P&amp;L'!$B$3:$BI$3,"&gt;="&amp;48,'31_P&amp;L'!$B$3:$BI$3,"&lt;="&amp;50)</f>
        <v>0</v>
      </c>
      <c r="T34" s="166">
        <f>SUMIFS('31_P&amp;L'!$B$32:$BI$32,'31_P&amp;L'!$B$3:$BI$3,"&gt;="&amp;51,'31_P&amp;L'!$B$3:$BI$3,"&lt;="&amp;53)</f>
        <v>0</v>
      </c>
      <c r="U34" s="166">
        <f>SUMIFS('31_P&amp;L'!$B$32:$BI$32,'31_P&amp;L'!$B$3:$BI$3,"&gt;="&amp;54,'31_P&amp;L'!$B$3:$BI$3,"&lt;="&amp;56)</f>
        <v>0</v>
      </c>
      <c r="V34" s="166">
        <f>SUMIFS('31_P&amp;L'!$B$32:$BI$32,'31_P&amp;L'!$B$3:$BI$3,"&gt;="&amp;57,'31_P&amp;L'!$B$3:$BI$3,"&lt;="&amp;59)</f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BCE6-F429-4D01-995F-85DC8086858F}">
  <sheetPr>
    <tabColor rgb="FFC1FCFF"/>
  </sheetPr>
  <dimension ref="A1:U40"/>
  <sheetViews>
    <sheetView showGridLines="0" workbookViewId="0">
      <pane xSplit="1" ySplit="6" topLeftCell="B23" activePane="bottomRight" state="frozen"/>
      <selection pane="topRight"/>
      <selection pane="bottomLeft"/>
      <selection pane="bottomRight" activeCell="A42" sqref="A42:XFD44"/>
    </sheetView>
  </sheetViews>
  <sheetFormatPr baseColWidth="10" defaultColWidth="9.140625" defaultRowHeight="15" x14ac:dyDescent="0.25"/>
  <cols>
    <col min="1" max="1" width="66" customWidth="1"/>
    <col min="2" max="21" width="12.42578125" customWidth="1"/>
  </cols>
  <sheetData>
    <row r="1" spans="1:21" ht="26.25" x14ac:dyDescent="0.4">
      <c r="A1" s="199" t="s">
        <v>403</v>
      </c>
      <c r="B1" s="172"/>
      <c r="C1" s="172"/>
      <c r="D1" s="172"/>
      <c r="E1" s="172"/>
      <c r="F1" s="172"/>
    </row>
    <row r="2" spans="1:21" x14ac:dyDescent="0.25">
      <c r="A2" s="163" t="s">
        <v>301</v>
      </c>
      <c r="B2" s="162" t="str">
        <f>'00_ESTRATEGIA'!B3</f>
        <v>Unifamiliar seg.</v>
      </c>
      <c r="C2" s="162"/>
      <c r="D2" s="162" t="s">
        <v>302</v>
      </c>
      <c r="E2" s="162" t="str">
        <f>'00_ESTRATEGIA'!B4</f>
        <v>Base</v>
      </c>
      <c r="F2" s="162"/>
    </row>
    <row r="3" spans="1:21" ht="6" customHeight="1" x14ac:dyDescent="0.25"/>
    <row r="4" spans="1:21" x14ac:dyDescent="0.25">
      <c r="A4" s="139" t="s">
        <v>281</v>
      </c>
      <c r="B4" s="140" t="s">
        <v>185</v>
      </c>
      <c r="C4" s="140" t="s">
        <v>185</v>
      </c>
      <c r="D4" s="140" t="s">
        <v>185</v>
      </c>
      <c r="E4" s="140" t="s">
        <v>185</v>
      </c>
      <c r="F4" s="140" t="s">
        <v>186</v>
      </c>
      <c r="G4" s="140" t="s">
        <v>186</v>
      </c>
      <c r="H4" s="140" t="s">
        <v>186</v>
      </c>
      <c r="I4" s="140" t="s">
        <v>186</v>
      </c>
      <c r="J4" s="140" t="s">
        <v>187</v>
      </c>
      <c r="K4" s="140" t="s">
        <v>187</v>
      </c>
      <c r="L4" s="140" t="s">
        <v>187</v>
      </c>
      <c r="M4" s="140" t="s">
        <v>187</v>
      </c>
      <c r="N4" s="140" t="s">
        <v>188</v>
      </c>
      <c r="O4" s="140" t="s">
        <v>188</v>
      </c>
      <c r="P4" s="140" t="s">
        <v>188</v>
      </c>
      <c r="Q4" s="140" t="s">
        <v>188</v>
      </c>
      <c r="R4" s="140" t="s">
        <v>189</v>
      </c>
      <c r="S4" s="140" t="s">
        <v>189</v>
      </c>
      <c r="T4" s="140" t="s">
        <v>189</v>
      </c>
      <c r="U4" s="140" t="s">
        <v>189</v>
      </c>
    </row>
    <row r="5" spans="1:21" ht="15.75" customHeight="1" thickBot="1" x14ac:dyDescent="0.3">
      <c r="A5" s="141" t="s">
        <v>184</v>
      </c>
      <c r="B5" s="142">
        <v>2</v>
      </c>
      <c r="C5" s="142">
        <v>5</v>
      </c>
      <c r="D5" s="142">
        <v>8</v>
      </c>
      <c r="E5" s="142">
        <v>11</v>
      </c>
      <c r="F5" s="142">
        <v>14</v>
      </c>
      <c r="G5" s="142">
        <v>17</v>
      </c>
      <c r="H5" s="142">
        <v>20</v>
      </c>
      <c r="I5" s="142">
        <v>23</v>
      </c>
      <c r="J5" s="142">
        <v>26</v>
      </c>
      <c r="K5" s="142">
        <v>29</v>
      </c>
      <c r="L5" s="142">
        <v>32</v>
      </c>
      <c r="M5" s="142">
        <v>35</v>
      </c>
      <c r="N5" s="142">
        <v>38</v>
      </c>
      <c r="O5" s="142">
        <v>41</v>
      </c>
      <c r="P5" s="142">
        <v>44</v>
      </c>
      <c r="Q5" s="142">
        <v>47</v>
      </c>
      <c r="R5" s="142">
        <v>50</v>
      </c>
      <c r="S5" s="142">
        <v>53</v>
      </c>
      <c r="T5" s="142">
        <v>56</v>
      </c>
      <c r="U5" s="142">
        <v>59</v>
      </c>
    </row>
    <row r="6" spans="1:21" x14ac:dyDescent="0.25">
      <c r="A6" s="143" t="s">
        <v>303</v>
      </c>
      <c r="B6" s="160" t="s">
        <v>383</v>
      </c>
      <c r="C6" s="160" t="s">
        <v>384</v>
      </c>
      <c r="D6" s="160" t="s">
        <v>385</v>
      </c>
      <c r="E6" s="160" t="s">
        <v>386</v>
      </c>
      <c r="F6" s="160" t="s">
        <v>387</v>
      </c>
      <c r="G6" s="160" t="s">
        <v>388</v>
      </c>
      <c r="H6" s="160" t="s">
        <v>389</v>
      </c>
      <c r="I6" s="160" t="s">
        <v>390</v>
      </c>
      <c r="J6" s="160" t="s">
        <v>391</v>
      </c>
      <c r="K6" s="160" t="s">
        <v>392</v>
      </c>
      <c r="L6" s="160" t="s">
        <v>393</v>
      </c>
      <c r="M6" s="160" t="s">
        <v>394</v>
      </c>
      <c r="N6" s="160" t="s">
        <v>395</v>
      </c>
      <c r="O6" s="160" t="s">
        <v>396</v>
      </c>
      <c r="P6" s="160" t="s">
        <v>397</v>
      </c>
      <c r="Q6" s="160" t="s">
        <v>398</v>
      </c>
      <c r="R6" s="160" t="s">
        <v>399</v>
      </c>
      <c r="S6" s="160" t="s">
        <v>400</v>
      </c>
      <c r="T6" s="160" t="s">
        <v>401</v>
      </c>
      <c r="U6" s="160" t="s">
        <v>402</v>
      </c>
    </row>
    <row r="7" spans="1:21" x14ac:dyDescent="0.25">
      <c r="A7" s="169"/>
    </row>
    <row r="8" spans="1:21" ht="21.75" customHeight="1" thickBot="1" x14ac:dyDescent="0.4">
      <c r="A8" s="198" t="s">
        <v>323</v>
      </c>
      <c r="B8" s="197"/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197"/>
    </row>
    <row r="9" spans="1:21" ht="15.75" customHeight="1" thickTop="1" x14ac:dyDescent="0.25">
      <c r="A9" t="s">
        <v>324</v>
      </c>
      <c r="B9" s="196"/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</row>
    <row r="10" spans="1:21" ht="15.75" customHeight="1" thickBot="1" x14ac:dyDescent="0.3">
      <c r="A10" t="s">
        <v>325</v>
      </c>
      <c r="B10" s="196" cm="1">
        <f t="array" ref="B10">LOOKUP(2,1/('32_BALANCE'!$B$4:$BI$4&lt;=B$5),'32_BALANCE'!$B$10:$BI$10)</f>
        <v>0</v>
      </c>
      <c r="C10" s="196" cm="1">
        <f t="array" ref="C10">LOOKUP(2,1/('32_BALANCE'!$B$4:$BI$4&lt;=C$5),'32_BALANCE'!$B$10:$BI$10)</f>
        <v>0</v>
      </c>
      <c r="D10" s="196" cm="1">
        <f t="array" ref="D10">LOOKUP(2,1/('32_BALANCE'!$B$4:$BI$4&lt;=D$5),'32_BALANCE'!$B$10:$BI$10)</f>
        <v>0</v>
      </c>
      <c r="E10" s="196" cm="1">
        <f t="array" ref="E10">LOOKUP(2,1/('32_BALANCE'!$B$4:$BI$4&lt;=E$5),'32_BALANCE'!$B$10:$BI$10)</f>
        <v>0</v>
      </c>
      <c r="F10" s="196" cm="1">
        <f t="array" ref="F10">LOOKUP(2,1/('32_BALANCE'!$B$4:$BI$4&lt;=F$5),'32_BALANCE'!$B$10:$BI$10)</f>
        <v>0</v>
      </c>
      <c r="G10" s="167" cm="1">
        <f t="array" ref="G10">LOOKUP(2,1/('32_BALANCE'!$B$4:$BI$4&lt;=G$5),'32_BALANCE'!$B$10:$BI$10)</f>
        <v>0</v>
      </c>
      <c r="H10" s="167" cm="1">
        <f t="array" ref="H10">LOOKUP(2,1/('32_BALANCE'!$B$4:$BI$4&lt;=H$5),'32_BALANCE'!$B$10:$BI$10)</f>
        <v>0</v>
      </c>
      <c r="I10" s="167" cm="1">
        <f t="array" ref="I10">LOOKUP(2,1/('32_BALANCE'!$B$4:$BI$4&lt;=I$5),'32_BALANCE'!$B$10:$BI$10)</f>
        <v>0</v>
      </c>
      <c r="J10" s="167" cm="1">
        <f t="array" ref="J10">LOOKUP(2,1/('32_BALANCE'!$B$4:$BI$4&lt;=J$5),'32_BALANCE'!$B$10:$BI$10)</f>
        <v>0</v>
      </c>
      <c r="K10" s="167" cm="1">
        <f t="array" ref="K10">LOOKUP(2,1/('32_BALANCE'!$B$4:$BI$4&lt;=K$5),'32_BALANCE'!$B$10:$BI$10)</f>
        <v>0</v>
      </c>
      <c r="L10" s="167" cm="1">
        <f t="array" ref="L10">LOOKUP(2,1/('32_BALANCE'!$B$4:$BI$4&lt;=L$5),'32_BALANCE'!$B$10:$BI$10)</f>
        <v>0</v>
      </c>
      <c r="M10" s="167" cm="1">
        <f t="array" ref="M10">LOOKUP(2,1/('32_BALANCE'!$B$4:$BI$4&lt;=M$5),'32_BALANCE'!$B$10:$BI$10)</f>
        <v>0</v>
      </c>
      <c r="N10" s="167" cm="1">
        <f t="array" ref="N10">LOOKUP(2,1/('32_BALANCE'!$B$4:$BI$4&lt;=N$5),'32_BALANCE'!$B$10:$BI$10)</f>
        <v>0</v>
      </c>
      <c r="O10" s="167" cm="1">
        <f t="array" ref="O10">LOOKUP(2,1/('32_BALANCE'!$B$4:$BI$4&lt;=O$5),'32_BALANCE'!$B$10:$BI$10)</f>
        <v>0</v>
      </c>
      <c r="P10" s="167" cm="1">
        <f t="array" ref="P10">LOOKUP(2,1/('32_BALANCE'!$B$4:$BI$4&lt;=P$5),'32_BALANCE'!$B$10:$BI$10)</f>
        <v>0</v>
      </c>
      <c r="Q10" s="167" cm="1">
        <f t="array" ref="Q10">LOOKUP(2,1/('32_BALANCE'!$B$4:$BI$4&lt;=Q$5),'32_BALANCE'!$B$10:$BI$10)</f>
        <v>0</v>
      </c>
      <c r="R10" s="167" cm="1">
        <f t="array" ref="R10">LOOKUP(2,1/('32_BALANCE'!$B$4:$BI$4&lt;=R$5),'32_BALANCE'!$B$10:$BI$10)</f>
        <v>0</v>
      </c>
      <c r="S10" s="167" cm="1">
        <f t="array" ref="S10">LOOKUP(2,1/('32_BALANCE'!$B$4:$BI$4&lt;=S$5),'32_BALANCE'!$B$10:$BI$10)</f>
        <v>0</v>
      </c>
      <c r="T10" s="167" cm="1">
        <f t="array" ref="T10">LOOKUP(2,1/('32_BALANCE'!$B$4:$BI$4&lt;=T$5),'32_BALANCE'!$B$10:$BI$10)</f>
        <v>0</v>
      </c>
      <c r="U10" s="167" cm="1">
        <f t="array" ref="U10">LOOKUP(2,1/('32_BALANCE'!$B$4:$BI$4&lt;=U$5),'32_BALANCE'!$B$10:$BI$10)</f>
        <v>0</v>
      </c>
    </row>
    <row r="11" spans="1:21" x14ac:dyDescent="0.25">
      <c r="A11" s="195" t="s">
        <v>326</v>
      </c>
      <c r="B11" s="194" cm="1">
        <f t="array" ref="B11">LOOKUP(2,1/('32_BALANCE'!$B$4:$BI$4&lt;=B$5),'32_BALANCE'!$B$11:$BI$11)</f>
        <v>0</v>
      </c>
      <c r="C11" s="194" cm="1">
        <f t="array" ref="C11">LOOKUP(2,1/('32_BALANCE'!$B$4:$BI$4&lt;=C$5),'32_BALANCE'!$B$11:$BI$11)</f>
        <v>0</v>
      </c>
      <c r="D11" s="194" cm="1">
        <f t="array" ref="D11">LOOKUP(2,1/('32_BALANCE'!$B$4:$BI$4&lt;=D$5),'32_BALANCE'!$B$11:$BI$11)</f>
        <v>0</v>
      </c>
      <c r="E11" s="194" cm="1">
        <f t="array" ref="E11">LOOKUP(2,1/('32_BALANCE'!$B$4:$BI$4&lt;=E$5),'32_BALANCE'!$B$11:$BI$11)</f>
        <v>0</v>
      </c>
      <c r="F11" s="194" cm="1">
        <f t="array" ref="F11">LOOKUP(2,1/('32_BALANCE'!$B$4:$BI$4&lt;=F$5),'32_BALANCE'!$B$11:$BI$11)</f>
        <v>0</v>
      </c>
      <c r="G11" s="194" cm="1">
        <f t="array" ref="G11">LOOKUP(2,1/('32_BALANCE'!$B$4:$BI$4&lt;=G$5),'32_BALANCE'!$B$11:$BI$11)</f>
        <v>0</v>
      </c>
      <c r="H11" s="194" cm="1">
        <f t="array" ref="H11">LOOKUP(2,1/('32_BALANCE'!$B$4:$BI$4&lt;=H$5),'32_BALANCE'!$B$11:$BI$11)</f>
        <v>0</v>
      </c>
      <c r="I11" s="194" cm="1">
        <f t="array" ref="I11">LOOKUP(2,1/('32_BALANCE'!$B$4:$BI$4&lt;=I$5),'32_BALANCE'!$B$11:$BI$11)</f>
        <v>0</v>
      </c>
      <c r="J11" s="194" cm="1">
        <f t="array" ref="J11">LOOKUP(2,1/('32_BALANCE'!$B$4:$BI$4&lt;=J$5),'32_BALANCE'!$B$11:$BI$11)</f>
        <v>0</v>
      </c>
      <c r="K11" s="194" cm="1">
        <f t="array" ref="K11">LOOKUP(2,1/('32_BALANCE'!$B$4:$BI$4&lt;=K$5),'32_BALANCE'!$B$11:$BI$11)</f>
        <v>0</v>
      </c>
      <c r="L11" s="194" cm="1">
        <f t="array" ref="L11">LOOKUP(2,1/('32_BALANCE'!$B$4:$BI$4&lt;=L$5),'32_BALANCE'!$B$11:$BI$11)</f>
        <v>0</v>
      </c>
      <c r="M11" s="194" cm="1">
        <f t="array" ref="M11">LOOKUP(2,1/('32_BALANCE'!$B$4:$BI$4&lt;=M$5),'32_BALANCE'!$B$11:$BI$11)</f>
        <v>0</v>
      </c>
      <c r="N11" s="194" cm="1">
        <f t="array" ref="N11">LOOKUP(2,1/('32_BALANCE'!$B$4:$BI$4&lt;=N$5),'32_BALANCE'!$B$11:$BI$11)</f>
        <v>0</v>
      </c>
      <c r="O11" s="194" cm="1">
        <f t="array" ref="O11">LOOKUP(2,1/('32_BALANCE'!$B$4:$BI$4&lt;=O$5),'32_BALANCE'!$B$11:$BI$11)</f>
        <v>0</v>
      </c>
      <c r="P11" s="194" cm="1">
        <f t="array" ref="P11">LOOKUP(2,1/('32_BALANCE'!$B$4:$BI$4&lt;=P$5),'32_BALANCE'!$B$11:$BI$11)</f>
        <v>0</v>
      </c>
      <c r="Q11" s="194" cm="1">
        <f t="array" ref="Q11">LOOKUP(2,1/('32_BALANCE'!$B$4:$BI$4&lt;=Q$5),'32_BALANCE'!$B$11:$BI$11)</f>
        <v>0</v>
      </c>
      <c r="R11" s="194" cm="1">
        <f t="array" ref="R11">LOOKUP(2,1/('32_BALANCE'!$B$4:$BI$4&lt;=R$5),'32_BALANCE'!$B$11:$BI$11)</f>
        <v>0</v>
      </c>
      <c r="S11" s="194" cm="1">
        <f t="array" ref="S11">LOOKUP(2,1/('32_BALANCE'!$B$4:$BI$4&lt;=S$5),'32_BALANCE'!$B$11:$BI$11)</f>
        <v>0</v>
      </c>
      <c r="T11" s="194" cm="1">
        <f t="array" ref="T11">LOOKUP(2,1/('32_BALANCE'!$B$4:$BI$4&lt;=T$5),'32_BALANCE'!$B$11:$BI$11)</f>
        <v>0</v>
      </c>
      <c r="U11" s="194" cm="1">
        <f t="array" ref="U11">LOOKUP(2,1/('32_BALANCE'!$B$4:$BI$4&lt;=U$5),'32_BALANCE'!$B$11:$BI$11)</f>
        <v>0</v>
      </c>
    </row>
    <row r="12" spans="1:21" x14ac:dyDescent="0.25">
      <c r="B12" s="196"/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</row>
    <row r="13" spans="1:21" x14ac:dyDescent="0.25">
      <c r="A13" t="s">
        <v>327</v>
      </c>
      <c r="B13" s="193"/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</row>
    <row r="14" spans="1:21" x14ac:dyDescent="0.25">
      <c r="A14" t="s">
        <v>328</v>
      </c>
      <c r="B14" s="196" cm="1">
        <f t="array" ref="B14">LOOKUP(2,1/('32_BALANCE'!$B$4:$BI$4&lt;=B$5),'32_BALANCE'!$B$14:$BI$14)</f>
        <v>1183546</v>
      </c>
      <c r="C14" s="196" cm="1">
        <f t="array" ref="C14">LOOKUP(2,1/('32_BALANCE'!$B$4:$BI$4&lt;=C$5),'32_BALANCE'!$B$14:$BI$14)</f>
        <v>1183546</v>
      </c>
      <c r="D14" s="196" cm="1">
        <f t="array" ref="D14">LOOKUP(2,1/('32_BALANCE'!$B$4:$BI$4&lt;=D$5),'32_BALANCE'!$B$14:$BI$14)</f>
        <v>1183546</v>
      </c>
      <c r="E14" s="196" cm="1">
        <f t="array" ref="E14">LOOKUP(2,1/('32_BALANCE'!$B$4:$BI$4&lt;=E$5),'32_BALANCE'!$B$14:$BI$14)</f>
        <v>1183546</v>
      </c>
      <c r="F14" s="196" cm="1">
        <f t="array" ref="F14">LOOKUP(2,1/('32_BALANCE'!$B$4:$BI$4&lt;=F$5),'32_BALANCE'!$B$14:$BI$14)</f>
        <v>1183546</v>
      </c>
      <c r="G14" s="167" cm="1">
        <f t="array" ref="G14">LOOKUP(2,1/('32_BALANCE'!$B$4:$BI$4&lt;=G$5),'32_BALANCE'!$B$14:$BI$14)</f>
        <v>1183546</v>
      </c>
      <c r="H14" s="167" cm="1">
        <f t="array" ref="H14">LOOKUP(2,1/('32_BALANCE'!$B$4:$BI$4&lt;=H$5),'32_BALANCE'!$B$14:$BI$14)</f>
        <v>1183546</v>
      </c>
      <c r="I14" s="167" cm="1">
        <f t="array" ref="I14">LOOKUP(2,1/('32_BALANCE'!$B$4:$BI$4&lt;=I$5),'32_BALANCE'!$B$14:$BI$14)</f>
        <v>1183546</v>
      </c>
      <c r="J14" s="167" cm="1">
        <f t="array" ref="J14">LOOKUP(2,1/('32_BALANCE'!$B$4:$BI$4&lt;=J$5),'32_BALANCE'!$B$14:$BI$14)</f>
        <v>1183546</v>
      </c>
      <c r="K14" s="167" cm="1">
        <f t="array" ref="K14">LOOKUP(2,1/('32_BALANCE'!$B$4:$BI$4&lt;=K$5),'32_BALANCE'!$B$14:$BI$14)</f>
        <v>1183546</v>
      </c>
      <c r="L14" s="167" cm="1">
        <f t="array" ref="L14">LOOKUP(2,1/('32_BALANCE'!$B$4:$BI$4&lt;=L$5),'32_BALANCE'!$B$14:$BI$14)</f>
        <v>1183546</v>
      </c>
      <c r="M14" s="167" cm="1">
        <f t="array" ref="M14">LOOKUP(2,1/('32_BALANCE'!$B$4:$BI$4&lt;=M$5),'32_BALANCE'!$B$14:$BI$14)</f>
        <v>0</v>
      </c>
      <c r="N14" s="167" cm="1">
        <f t="array" ref="N14">LOOKUP(2,1/('32_BALANCE'!$B$4:$BI$4&lt;=N$5),'32_BALANCE'!$B$14:$BI$14)</f>
        <v>0</v>
      </c>
      <c r="O14" s="167" cm="1">
        <f t="array" ref="O14">LOOKUP(2,1/('32_BALANCE'!$B$4:$BI$4&lt;=O$5),'32_BALANCE'!$B$14:$BI$14)</f>
        <v>0</v>
      </c>
      <c r="P14" s="167" cm="1">
        <f t="array" ref="P14">LOOKUP(2,1/('32_BALANCE'!$B$4:$BI$4&lt;=P$5),'32_BALANCE'!$B$14:$BI$14)</f>
        <v>0</v>
      </c>
      <c r="Q14" s="167" cm="1">
        <f t="array" ref="Q14">LOOKUP(2,1/('32_BALANCE'!$B$4:$BI$4&lt;=Q$5),'32_BALANCE'!$B$14:$BI$14)</f>
        <v>0</v>
      </c>
      <c r="R14" s="167" cm="1">
        <f t="array" ref="R14">LOOKUP(2,1/('32_BALANCE'!$B$4:$BI$4&lt;=R$5),'32_BALANCE'!$B$14:$BI$14)</f>
        <v>0</v>
      </c>
      <c r="S14" s="167" cm="1">
        <f t="array" ref="S14">LOOKUP(2,1/('32_BALANCE'!$B$4:$BI$4&lt;=S$5),'32_BALANCE'!$B$14:$BI$14)</f>
        <v>0</v>
      </c>
      <c r="T14" s="167" cm="1">
        <f t="array" ref="T14">LOOKUP(2,1/('32_BALANCE'!$B$4:$BI$4&lt;=T$5),'32_BALANCE'!$B$14:$BI$14)</f>
        <v>0</v>
      </c>
      <c r="U14" s="167" cm="1">
        <f t="array" ref="U14">LOOKUP(2,1/('32_BALANCE'!$B$4:$BI$4&lt;=U$5),'32_BALANCE'!$B$14:$BI$14)</f>
        <v>0</v>
      </c>
    </row>
    <row r="15" spans="1:21" x14ac:dyDescent="0.25">
      <c r="A15" t="s">
        <v>377</v>
      </c>
      <c r="B15" s="196" cm="1">
        <f t="array" ref="B15">LOOKUP(2,1/('32_BALANCE'!$B$4:$BI$4&lt;=B$5),'32_BALANCE'!$B$15:$BI$15)</f>
        <v>0</v>
      </c>
      <c r="C15" s="196" cm="1">
        <f t="array" ref="C15">LOOKUP(2,1/('32_BALANCE'!$B$4:$BI$4&lt;=C$5),'32_BALANCE'!$B$15:$BI$15)</f>
        <v>0</v>
      </c>
      <c r="D15" s="196" cm="1">
        <f t="array" ref="D15">LOOKUP(2,1/('32_BALANCE'!$B$4:$BI$4&lt;=D$5),'32_BALANCE'!$B$15:$BI$15)</f>
        <v>0</v>
      </c>
      <c r="E15" s="196" cm="1">
        <f t="array" ref="E15">LOOKUP(2,1/('32_BALANCE'!$B$4:$BI$4&lt;=E$5),'32_BALANCE'!$B$15:$BI$15)</f>
        <v>269680.32000000007</v>
      </c>
      <c r="F15" s="196" cm="1">
        <f t="array" ref="F15">LOOKUP(2,1/('32_BALANCE'!$B$4:$BI$4&lt;=F$5),'32_BALANCE'!$B$15:$BI$15)</f>
        <v>1078721.2800000003</v>
      </c>
      <c r="G15" s="167" cm="1">
        <f t="array" ref="G15">LOOKUP(2,1/('32_BALANCE'!$B$4:$BI$4&lt;=G$5),'32_BALANCE'!$B$15:$BI$15)</f>
        <v>1887762.2400000005</v>
      </c>
      <c r="H15" s="167" cm="1">
        <f t="array" ref="H15">LOOKUP(2,1/('32_BALANCE'!$B$4:$BI$4&lt;=H$5),'32_BALANCE'!$B$15:$BI$15)</f>
        <v>2696803.2000000011</v>
      </c>
      <c r="I15" s="167" cm="1">
        <f t="array" ref="I15">LOOKUP(2,1/('32_BALANCE'!$B$4:$BI$4&lt;=I$5),'32_BALANCE'!$B$15:$BI$15)</f>
        <v>3505844.160000002</v>
      </c>
      <c r="J15" s="167" cm="1">
        <f t="array" ref="J15">LOOKUP(2,1/('32_BALANCE'!$B$4:$BI$4&lt;=J$5),'32_BALANCE'!$B$15:$BI$15)</f>
        <v>4314885.1200000029</v>
      </c>
      <c r="K15" s="167" cm="1">
        <f t="array" ref="K15">LOOKUP(2,1/('32_BALANCE'!$B$4:$BI$4&lt;=K$5),'32_BALANCE'!$B$15:$BI$15)</f>
        <v>5123926.0800000038</v>
      </c>
      <c r="L15" s="167" cm="1">
        <f t="array" ref="L15">LOOKUP(2,1/('32_BALANCE'!$B$4:$BI$4&lt;=L$5),'32_BALANCE'!$B$15:$BI$15)</f>
        <v>5932967.0400000047</v>
      </c>
      <c r="M15" s="167" cm="1">
        <f t="array" ref="M15">LOOKUP(2,1/('32_BALANCE'!$B$4:$BI$4&lt;=M$5),'32_BALANCE'!$B$15:$BI$15)</f>
        <v>0</v>
      </c>
      <c r="N15" s="167" cm="1">
        <f t="array" ref="N15">LOOKUP(2,1/('32_BALANCE'!$B$4:$BI$4&lt;=N$5),'32_BALANCE'!$B$15:$BI$15)</f>
        <v>0</v>
      </c>
      <c r="O15" s="167" cm="1">
        <f t="array" ref="O15">LOOKUP(2,1/('32_BALANCE'!$B$4:$BI$4&lt;=O$5),'32_BALANCE'!$B$15:$BI$15)</f>
        <v>0</v>
      </c>
      <c r="P15" s="167" cm="1">
        <f t="array" ref="P15">LOOKUP(2,1/('32_BALANCE'!$B$4:$BI$4&lt;=P$5),'32_BALANCE'!$B$15:$BI$15)</f>
        <v>0</v>
      </c>
      <c r="Q15" s="167" cm="1">
        <f t="array" ref="Q15">LOOKUP(2,1/('32_BALANCE'!$B$4:$BI$4&lt;=Q$5),'32_BALANCE'!$B$15:$BI$15)</f>
        <v>0</v>
      </c>
      <c r="R15" s="167" cm="1">
        <f t="array" ref="R15">LOOKUP(2,1/('32_BALANCE'!$B$4:$BI$4&lt;=R$5),'32_BALANCE'!$B$15:$BI$15)</f>
        <v>0</v>
      </c>
      <c r="S15" s="167" cm="1">
        <f t="array" ref="S15">LOOKUP(2,1/('32_BALANCE'!$B$4:$BI$4&lt;=S$5),'32_BALANCE'!$B$15:$BI$15)</f>
        <v>0</v>
      </c>
      <c r="T15" s="167" cm="1">
        <f t="array" ref="T15">LOOKUP(2,1/('32_BALANCE'!$B$4:$BI$4&lt;=T$5),'32_BALANCE'!$B$15:$BI$15)</f>
        <v>0</v>
      </c>
      <c r="U15" s="167" cm="1">
        <f t="array" ref="U15">LOOKUP(2,1/('32_BALANCE'!$B$4:$BI$4&lt;=U$5),'32_BALANCE'!$B$15:$BI$15)</f>
        <v>0</v>
      </c>
    </row>
    <row r="16" spans="1:21" x14ac:dyDescent="0.25">
      <c r="A16" t="s">
        <v>376</v>
      </c>
      <c r="B16" s="196" cm="1">
        <f t="array" ref="B16">LOOKUP(2,1/('32_BALANCE'!$B$4:$BI$4&lt;=B$5),'32_BALANCE'!$B$16:$BI$16)</f>
        <v>0</v>
      </c>
      <c r="C16" s="196" cm="1">
        <f t="array" ref="C16">LOOKUP(2,1/('32_BALANCE'!$B$4:$BI$4&lt;=C$5),'32_BALANCE'!$B$16:$BI$16)</f>
        <v>0</v>
      </c>
      <c r="D16" s="196" cm="1">
        <f t="array" ref="D16">LOOKUP(2,1/('32_BALANCE'!$B$4:$BI$4&lt;=D$5),'32_BALANCE'!$B$16:$BI$16)</f>
        <v>0</v>
      </c>
      <c r="E16" s="196" cm="1">
        <f t="array" ref="E16">LOOKUP(2,1/('32_BALANCE'!$B$4:$BI$4&lt;=E$5),'32_BALANCE'!$B$16:$BI$16)</f>
        <v>618.01740000000018</v>
      </c>
      <c r="F16" s="196" cm="1">
        <f t="array" ref="F16">LOOKUP(2,1/('32_BALANCE'!$B$4:$BI$4&lt;=F$5),'32_BALANCE'!$B$16:$BI$16)</f>
        <v>9928.0124719469732</v>
      </c>
      <c r="G16" s="167" cm="1">
        <f t="array" ref="G16">LOOKUP(2,1/('32_BALANCE'!$B$4:$BI$4&lt;=G$5),'32_BALANCE'!$B$16:$BI$16)</f>
        <v>30541.985127607459</v>
      </c>
      <c r="H16" s="167" cm="1">
        <f t="array" ref="H16">LOOKUP(2,1/('32_BALANCE'!$B$4:$BI$4&lt;=H$5),'32_BALANCE'!$B$16:$BI$16)</f>
        <v>62616.078533212458</v>
      </c>
      <c r="I16" s="167" cm="1">
        <f t="array" ref="I16">LOOKUP(2,1/('32_BALANCE'!$B$4:$BI$4&lt;=I$5),'32_BALANCE'!$B$16:$BI$16)</f>
        <v>106308.59267883486</v>
      </c>
      <c r="J16" s="167" cm="1">
        <f t="array" ref="J16">LOOKUP(2,1/('32_BALANCE'!$B$4:$BI$4&lt;=J$5),'32_BALANCE'!$B$16:$BI$16)</f>
        <v>161532.80721084974</v>
      </c>
      <c r="K16" s="167" cm="1">
        <f t="array" ref="K16">LOOKUP(2,1/('32_BALANCE'!$B$4:$BI$4&lt;=K$5),'32_BALANCE'!$B$16:$BI$16)</f>
        <v>221876.04195829836</v>
      </c>
      <c r="L16" s="167" cm="1">
        <f t="array" ref="L16">LOOKUP(2,1/('32_BALANCE'!$B$4:$BI$4&lt;=L$5),'32_BALANCE'!$B$16:$BI$16)</f>
        <v>283052.80487442121</v>
      </c>
      <c r="M16" s="167" cm="1">
        <f t="array" ref="M16">LOOKUP(2,1/('32_BALANCE'!$B$4:$BI$4&lt;=M$5),'32_BALANCE'!$B$16:$BI$16)</f>
        <v>0</v>
      </c>
      <c r="N16" s="167" cm="1">
        <f t="array" ref="N16">LOOKUP(2,1/('32_BALANCE'!$B$4:$BI$4&lt;=N$5),'32_BALANCE'!$B$16:$BI$16)</f>
        <v>0</v>
      </c>
      <c r="O16" s="167" cm="1">
        <f t="array" ref="O16">LOOKUP(2,1/('32_BALANCE'!$B$4:$BI$4&lt;=O$5),'32_BALANCE'!$B$16:$BI$16)</f>
        <v>0</v>
      </c>
      <c r="P16" s="167" cm="1">
        <f t="array" ref="P16">LOOKUP(2,1/('32_BALANCE'!$B$4:$BI$4&lt;=P$5),'32_BALANCE'!$B$16:$BI$16)</f>
        <v>0</v>
      </c>
      <c r="Q16" s="167" cm="1">
        <f t="array" ref="Q16">LOOKUP(2,1/('32_BALANCE'!$B$4:$BI$4&lt;=Q$5),'32_BALANCE'!$B$16:$BI$16)</f>
        <v>0</v>
      </c>
      <c r="R16" s="167" cm="1">
        <f t="array" ref="R16">LOOKUP(2,1/('32_BALANCE'!$B$4:$BI$4&lt;=R$5),'32_BALANCE'!$B$16:$BI$16)</f>
        <v>0</v>
      </c>
      <c r="S16" s="167" cm="1">
        <f t="array" ref="S16">LOOKUP(2,1/('32_BALANCE'!$B$4:$BI$4&lt;=S$5),'32_BALANCE'!$B$16:$BI$16)</f>
        <v>0</v>
      </c>
      <c r="T16" s="167" cm="1">
        <f t="array" ref="T16">LOOKUP(2,1/('32_BALANCE'!$B$4:$BI$4&lt;=T$5),'32_BALANCE'!$B$16:$BI$16)</f>
        <v>0</v>
      </c>
      <c r="U16" s="167" cm="1">
        <f t="array" ref="U16">LOOKUP(2,1/('32_BALANCE'!$B$4:$BI$4&lt;=U$5),'32_BALANCE'!$B$16:$BI$16)</f>
        <v>0</v>
      </c>
    </row>
    <row r="17" spans="1:21" ht="15.75" customHeight="1" thickBot="1" x14ac:dyDescent="0.3">
      <c r="A17" t="s">
        <v>329</v>
      </c>
      <c r="B17" s="196" cm="1">
        <f t="array" ref="B17">LOOKUP(2,1/('32_BALANCE'!$B$4:$BI$4&lt;=B$5),'32_BALANCE'!$B$17:$BI$17)</f>
        <v>0</v>
      </c>
      <c r="C17" s="196" cm="1">
        <f t="array" ref="C17">LOOKUP(2,1/('32_BALANCE'!$B$4:$BI$4&lt;=C$5),'32_BALANCE'!$B$17:$BI$17)</f>
        <v>0</v>
      </c>
      <c r="D17" s="196" cm="1">
        <f t="array" ref="D17">LOOKUP(2,1/('32_BALANCE'!$B$4:$BI$4&lt;=D$5),'32_BALANCE'!$B$17:$BI$17)</f>
        <v>0</v>
      </c>
      <c r="E17" s="196" cm="1">
        <f t="array" ref="E17">LOOKUP(2,1/('32_BALANCE'!$B$4:$BI$4&lt;=E$5),'32_BALANCE'!$B$17:$BI$17)</f>
        <v>0</v>
      </c>
      <c r="F17" s="196" cm="1">
        <f t="array" ref="F17">LOOKUP(2,1/('32_BALANCE'!$B$4:$BI$4&lt;=F$5),'32_BALANCE'!$B$17:$BI$17)</f>
        <v>0</v>
      </c>
      <c r="G17" s="167" cm="1">
        <f t="array" ref="G17">LOOKUP(2,1/('32_BALANCE'!$B$4:$BI$4&lt;=G$5),'32_BALANCE'!$B$17:$BI$17)</f>
        <v>0</v>
      </c>
      <c r="H17" s="167" cm="1">
        <f t="array" ref="H17">LOOKUP(2,1/('32_BALANCE'!$B$4:$BI$4&lt;=H$5),'32_BALANCE'!$B$17:$BI$17)</f>
        <v>0</v>
      </c>
      <c r="I17" s="167" cm="1">
        <f t="array" ref="I17">LOOKUP(2,1/('32_BALANCE'!$B$4:$BI$4&lt;=I$5),'32_BALANCE'!$B$17:$BI$17)</f>
        <v>0</v>
      </c>
      <c r="J17" s="167" cm="1">
        <f t="array" ref="J17">LOOKUP(2,1/('32_BALANCE'!$B$4:$BI$4&lt;=J$5),'32_BALANCE'!$B$17:$BI$17)</f>
        <v>0</v>
      </c>
      <c r="K17" s="167" cm="1">
        <f t="array" ref="K17">LOOKUP(2,1/('32_BALANCE'!$B$4:$BI$4&lt;=K$5),'32_BALANCE'!$B$17:$BI$17)</f>
        <v>0</v>
      </c>
      <c r="L17" s="167" cm="1">
        <f t="array" ref="L17">LOOKUP(2,1/('32_BALANCE'!$B$4:$BI$4&lt;=L$5),'32_BALANCE'!$B$17:$BI$17)</f>
        <v>0</v>
      </c>
      <c r="M17" s="167" cm="1">
        <f t="array" ref="M17">LOOKUP(2,1/('32_BALANCE'!$B$4:$BI$4&lt;=M$5),'32_BALANCE'!$B$17:$BI$17)</f>
        <v>0</v>
      </c>
      <c r="N17" s="167" cm="1">
        <f t="array" ref="N17">LOOKUP(2,1/('32_BALANCE'!$B$4:$BI$4&lt;=N$5),'32_BALANCE'!$B$17:$BI$17)</f>
        <v>0</v>
      </c>
      <c r="O17" s="167" cm="1">
        <f t="array" ref="O17">LOOKUP(2,1/('32_BALANCE'!$B$4:$BI$4&lt;=O$5),'32_BALANCE'!$B$17:$BI$17)</f>
        <v>0</v>
      </c>
      <c r="P17" s="167" cm="1">
        <f t="array" ref="P17">LOOKUP(2,1/('32_BALANCE'!$B$4:$BI$4&lt;=P$5),'32_BALANCE'!$B$17:$BI$17)</f>
        <v>0</v>
      </c>
      <c r="Q17" s="167" cm="1">
        <f t="array" ref="Q17">LOOKUP(2,1/('32_BALANCE'!$B$4:$BI$4&lt;=Q$5),'32_BALANCE'!$B$17:$BI$17)</f>
        <v>0</v>
      </c>
      <c r="R17" s="167" cm="1">
        <f t="array" ref="R17">LOOKUP(2,1/('32_BALANCE'!$B$4:$BI$4&lt;=R$5),'32_BALANCE'!$B$17:$BI$17)</f>
        <v>0</v>
      </c>
      <c r="S17" s="167" cm="1">
        <f t="array" ref="S17">LOOKUP(2,1/('32_BALANCE'!$B$4:$BI$4&lt;=S$5),'32_BALANCE'!$B$17:$BI$17)</f>
        <v>0</v>
      </c>
      <c r="T17" s="167" cm="1">
        <f t="array" ref="T17">LOOKUP(2,1/('32_BALANCE'!$B$4:$BI$4&lt;=T$5),'32_BALANCE'!$B$17:$BI$17)</f>
        <v>0</v>
      </c>
      <c r="U17" s="167" cm="1">
        <f t="array" ref="U17">LOOKUP(2,1/('32_BALANCE'!$B$4:$BI$4&lt;=U$5),'32_BALANCE'!$B$17:$BI$17)</f>
        <v>0</v>
      </c>
    </row>
    <row r="18" spans="1:21" x14ac:dyDescent="0.25">
      <c r="A18" t="s">
        <v>330</v>
      </c>
      <c r="B18" s="194" cm="1">
        <f t="array" ref="B18">LOOKUP(2,1/('32_BALANCE'!$B$4:$BI$4&lt;=B$5),'32_BALANCE'!$B$18:$BI$18)</f>
        <v>0</v>
      </c>
      <c r="C18" s="194" cm="1">
        <f t="array" ref="C18">LOOKUP(2,1/('32_BALANCE'!$B$4:$BI$4&lt;=C$5),'32_BALANCE'!$B$18:$BI$18)</f>
        <v>0</v>
      </c>
      <c r="D18" s="194" cm="1">
        <f t="array" ref="D18">LOOKUP(2,1/('32_BALANCE'!$B$4:$BI$4&lt;=D$5),'32_BALANCE'!$B$18:$BI$18)</f>
        <v>0</v>
      </c>
      <c r="E18" s="194" cm="1">
        <f t="array" ref="E18">LOOKUP(2,1/('32_BALANCE'!$B$4:$BI$4&lt;=E$5),'32_BALANCE'!$B$18:$BI$18)</f>
        <v>0</v>
      </c>
      <c r="F18" s="194" cm="1">
        <f t="array" ref="F18">LOOKUP(2,1/('32_BALANCE'!$B$4:$BI$4&lt;=F$5),'32_BALANCE'!$B$18:$BI$18)</f>
        <v>0</v>
      </c>
      <c r="G18" s="194" cm="1">
        <f t="array" ref="G18">LOOKUP(2,1/('32_BALANCE'!$B$4:$BI$4&lt;=G$5),'32_BALANCE'!$B$18:$BI$18)</f>
        <v>0</v>
      </c>
      <c r="H18" s="194" cm="1">
        <f t="array" ref="H18">LOOKUP(2,1/('32_BALANCE'!$B$4:$BI$4&lt;=H$5),'32_BALANCE'!$B$18:$BI$18)</f>
        <v>0</v>
      </c>
      <c r="I18" s="194" cm="1">
        <f t="array" ref="I18">LOOKUP(2,1/('32_BALANCE'!$B$4:$BI$4&lt;=I$5),'32_BALANCE'!$B$18:$BI$18)</f>
        <v>17470.479520000052</v>
      </c>
      <c r="J18" s="194" cm="1">
        <f t="array" ref="J18">LOOKUP(2,1/('32_BALANCE'!$B$4:$BI$4&lt;=J$5),'32_BALANCE'!$B$18:$BI$18)</f>
        <v>310433.99088000075</v>
      </c>
      <c r="K18" s="194" cm="1">
        <f t="array" ref="K18">LOOKUP(2,1/('32_BALANCE'!$B$4:$BI$4&lt;=K$5),'32_BALANCE'!$B$18:$BI$18)</f>
        <v>310433.99088000087</v>
      </c>
      <c r="L18" s="194" cm="1">
        <f t="array" ref="L18">LOOKUP(2,1/('32_BALANCE'!$B$4:$BI$4&lt;=L$5),'32_BALANCE'!$B$18:$BI$18)</f>
        <v>310433.99088000087</v>
      </c>
      <c r="M18" s="194" cm="1">
        <f t="array" ref="M18">LOOKUP(2,1/('32_BALANCE'!$B$4:$BI$4&lt;=M$5),'32_BALANCE'!$B$18:$BI$18)</f>
        <v>2596045.9616939272</v>
      </c>
      <c r="N18" s="194" cm="1">
        <f t="array" ref="N18">LOOKUP(2,1/('32_BALANCE'!$B$4:$BI$4&lt;=N$5),'32_BALANCE'!$B$18:$BI$18)</f>
        <v>2596045.9616939272</v>
      </c>
      <c r="O18" s="194" cm="1">
        <f t="array" ref="O18">LOOKUP(2,1/('32_BALANCE'!$B$4:$BI$4&lt;=O$5),'32_BALANCE'!$B$18:$BI$18)</f>
        <v>2596045.9616939272</v>
      </c>
      <c r="P18" s="194" cm="1">
        <f t="array" ref="P18">LOOKUP(2,1/('32_BALANCE'!$B$4:$BI$4&lt;=P$5),'32_BALANCE'!$B$18:$BI$18)</f>
        <v>2596045.9616939272</v>
      </c>
      <c r="Q18" s="194" cm="1">
        <f t="array" ref="Q18">LOOKUP(2,1/('32_BALANCE'!$B$4:$BI$4&lt;=Q$5),'32_BALANCE'!$B$18:$BI$18)</f>
        <v>2596045.9616939272</v>
      </c>
      <c r="R18" s="194" cm="1">
        <f t="array" ref="R18">LOOKUP(2,1/('32_BALANCE'!$B$4:$BI$4&lt;=R$5),'32_BALANCE'!$B$18:$BI$18)</f>
        <v>2596045.9616939272</v>
      </c>
      <c r="S18" s="194" cm="1">
        <f t="array" ref="S18">LOOKUP(2,1/('32_BALANCE'!$B$4:$BI$4&lt;=S$5),'32_BALANCE'!$B$18:$BI$18)</f>
        <v>2596045.9616939272</v>
      </c>
      <c r="T18" s="194" cm="1">
        <f t="array" ref="T18">LOOKUP(2,1/('32_BALANCE'!$B$4:$BI$4&lt;=T$5),'32_BALANCE'!$B$18:$BI$18)</f>
        <v>2596045.9616939272</v>
      </c>
      <c r="U18" s="194" cm="1">
        <f t="array" ref="U18">LOOKUP(2,1/('32_BALANCE'!$B$4:$BI$4&lt;=U$5),'32_BALANCE'!$B$18:$BI$18)</f>
        <v>2596045.9616939272</v>
      </c>
    </row>
    <row r="19" spans="1:21" ht="15.75" customHeight="1" thickBot="1" x14ac:dyDescent="0.3">
      <c r="A19" s="195" t="s">
        <v>331</v>
      </c>
      <c r="B19" s="196" cm="1">
        <f t="array" ref="B19">LOOKUP(2,1/('32_BALANCE'!$B$4:$BI$4&lt;=B$5),'32_BALANCE'!$B$19:$BI$19)</f>
        <v>1183546</v>
      </c>
      <c r="C19" s="196" cm="1">
        <f t="array" ref="C19">LOOKUP(2,1/('32_BALANCE'!$B$4:$BI$4&lt;=C$5),'32_BALANCE'!$B$19:$BI$19)</f>
        <v>1183546</v>
      </c>
      <c r="D19" s="196" cm="1">
        <f t="array" ref="D19">LOOKUP(2,1/('32_BALANCE'!$B$4:$BI$4&lt;=D$5),'32_BALANCE'!$B$19:$BI$19)</f>
        <v>1183546</v>
      </c>
      <c r="E19" s="196" cm="1">
        <f t="array" ref="E19">LOOKUP(2,1/('32_BALANCE'!$B$4:$BI$4&lt;=E$5),'32_BALANCE'!$B$19:$BI$19)</f>
        <v>1453844.3374000001</v>
      </c>
      <c r="F19" s="196" cm="1">
        <f t="array" ref="F19">LOOKUP(2,1/('32_BALANCE'!$B$4:$BI$4&lt;=F$5),'32_BALANCE'!$B$19:$BI$19)</f>
        <v>2272195.2924719471</v>
      </c>
      <c r="G19" s="167" cm="1">
        <f t="array" ref="G19">LOOKUP(2,1/('32_BALANCE'!$B$4:$BI$4&lt;=G$5),'32_BALANCE'!$B$19:$BI$19)</f>
        <v>3101850.2251276076</v>
      </c>
      <c r="H19" s="167" cm="1">
        <f t="array" ref="H19">LOOKUP(2,1/('32_BALANCE'!$B$4:$BI$4&lt;=H$5),'32_BALANCE'!$B$19:$BI$19)</f>
        <v>3942965.2785332138</v>
      </c>
      <c r="I19" s="167" cm="1">
        <f t="array" ref="I19">LOOKUP(2,1/('32_BALANCE'!$B$4:$BI$4&lt;=I$5),'32_BALANCE'!$B$19:$BI$19)</f>
        <v>4813169.2321988363</v>
      </c>
      <c r="J19" s="167" cm="1">
        <f t="array" ref="J19">LOOKUP(2,1/('32_BALANCE'!$B$4:$BI$4&lt;=J$5),'32_BALANCE'!$B$19:$BI$19)</f>
        <v>5970397.9180908529</v>
      </c>
      <c r="K19" s="167" cm="1">
        <f t="array" ref="K19">LOOKUP(2,1/('32_BALANCE'!$B$4:$BI$4&lt;=K$5),'32_BALANCE'!$B$19:$BI$19)</f>
        <v>6839782.1128383037</v>
      </c>
      <c r="L19" s="167" cm="1">
        <f t="array" ref="L19">LOOKUP(2,1/('32_BALANCE'!$B$4:$BI$4&lt;=L$5),'32_BALANCE'!$B$19:$BI$19)</f>
        <v>7709999.8357544262</v>
      </c>
      <c r="M19" s="167" cm="1">
        <f t="array" ref="M19">LOOKUP(2,1/('32_BALANCE'!$B$4:$BI$4&lt;=M$5),'32_BALANCE'!$B$19:$BI$19)</f>
        <v>2596045.9616939272</v>
      </c>
      <c r="N19" s="167" cm="1">
        <f t="array" ref="N19">LOOKUP(2,1/('32_BALANCE'!$B$4:$BI$4&lt;=N$5),'32_BALANCE'!$B$19:$BI$19)</f>
        <v>2596045.9616939272</v>
      </c>
      <c r="O19" s="167" cm="1">
        <f t="array" ref="O19">LOOKUP(2,1/('32_BALANCE'!$B$4:$BI$4&lt;=O$5),'32_BALANCE'!$B$19:$BI$19)</f>
        <v>2596045.9616939272</v>
      </c>
      <c r="P19" s="167" cm="1">
        <f t="array" ref="P19">LOOKUP(2,1/('32_BALANCE'!$B$4:$BI$4&lt;=P$5),'32_BALANCE'!$B$19:$BI$19)</f>
        <v>2596045.9616939272</v>
      </c>
      <c r="Q19" s="167" cm="1">
        <f t="array" ref="Q19">LOOKUP(2,1/('32_BALANCE'!$B$4:$BI$4&lt;=Q$5),'32_BALANCE'!$B$19:$BI$19)</f>
        <v>2596045.9616939272</v>
      </c>
      <c r="R19" s="167" cm="1">
        <f t="array" ref="R19">LOOKUP(2,1/('32_BALANCE'!$B$4:$BI$4&lt;=R$5),'32_BALANCE'!$B$19:$BI$19)</f>
        <v>2596045.9616939272</v>
      </c>
      <c r="S19" s="167" cm="1">
        <f t="array" ref="S19">LOOKUP(2,1/('32_BALANCE'!$B$4:$BI$4&lt;=S$5),'32_BALANCE'!$B$19:$BI$19)</f>
        <v>2596045.9616939272</v>
      </c>
      <c r="T19" s="167" cm="1">
        <f t="array" ref="T19">LOOKUP(2,1/('32_BALANCE'!$B$4:$BI$4&lt;=T$5),'32_BALANCE'!$B$19:$BI$19)</f>
        <v>2596045.9616939272</v>
      </c>
      <c r="U19" s="167" cm="1">
        <f t="array" ref="U19">LOOKUP(2,1/('32_BALANCE'!$B$4:$BI$4&lt;=U$5),'32_BALANCE'!$B$19:$BI$19)</f>
        <v>2596045.9616939272</v>
      </c>
    </row>
    <row r="20" spans="1:21" x14ac:dyDescent="0.25">
      <c r="A20" s="195"/>
      <c r="B20" s="194"/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</row>
    <row r="21" spans="1:21" x14ac:dyDescent="0.25">
      <c r="A21" s="195" t="s">
        <v>332</v>
      </c>
      <c r="B21" s="196" cm="1">
        <f t="array" ref="B21">LOOKUP(2,1/('32_BALANCE'!$B$4:$BI$4&lt;=B$5),'32_BALANCE'!$B$21:$BI$21)</f>
        <v>1183546</v>
      </c>
      <c r="C21" s="196" cm="1">
        <f t="array" ref="C21">LOOKUP(2,1/('32_BALANCE'!$B$4:$BI$4&lt;=C$5),'32_BALANCE'!$B$21:$BI$21)</f>
        <v>1183546</v>
      </c>
      <c r="D21" s="196" cm="1">
        <f t="array" ref="D21">LOOKUP(2,1/('32_BALANCE'!$B$4:$BI$4&lt;=D$5),'32_BALANCE'!$B$21:$BI$21)</f>
        <v>1183546</v>
      </c>
      <c r="E21" s="196" cm="1">
        <f t="array" ref="E21">LOOKUP(2,1/('32_BALANCE'!$B$4:$BI$4&lt;=E$5),'32_BALANCE'!$B$21:$BI$21)</f>
        <v>1453844.3374000001</v>
      </c>
      <c r="F21" s="196" cm="1">
        <f t="array" ref="F21">LOOKUP(2,1/('32_BALANCE'!$B$4:$BI$4&lt;=F$5),'32_BALANCE'!$B$21:$BI$21)</f>
        <v>2272195.2924719471</v>
      </c>
      <c r="G21" s="167" cm="1">
        <f t="array" ref="G21">LOOKUP(2,1/('32_BALANCE'!$B$4:$BI$4&lt;=G$5),'32_BALANCE'!$B$21:$BI$21)</f>
        <v>3101850.2251276076</v>
      </c>
      <c r="H21" s="167" cm="1">
        <f t="array" ref="H21">LOOKUP(2,1/('32_BALANCE'!$B$4:$BI$4&lt;=H$5),'32_BALANCE'!$B$21:$BI$21)</f>
        <v>3942965.2785332138</v>
      </c>
      <c r="I21" s="167" cm="1">
        <f t="array" ref="I21">LOOKUP(2,1/('32_BALANCE'!$B$4:$BI$4&lt;=I$5),'32_BALANCE'!$B$21:$BI$21)</f>
        <v>4813169.2321988363</v>
      </c>
      <c r="J21" s="167" cm="1">
        <f t="array" ref="J21">LOOKUP(2,1/('32_BALANCE'!$B$4:$BI$4&lt;=J$5),'32_BALANCE'!$B$21:$BI$21)</f>
        <v>5970397.9180908529</v>
      </c>
      <c r="K21" s="167" cm="1">
        <f t="array" ref="K21">LOOKUP(2,1/('32_BALANCE'!$B$4:$BI$4&lt;=K$5),'32_BALANCE'!$B$21:$BI$21)</f>
        <v>6839782.1128383037</v>
      </c>
      <c r="L21" s="167" cm="1">
        <f t="array" ref="L21">LOOKUP(2,1/('32_BALANCE'!$B$4:$BI$4&lt;=L$5),'32_BALANCE'!$B$21:$BI$21)</f>
        <v>7709999.8357544262</v>
      </c>
      <c r="M21" s="167" cm="1">
        <f t="array" ref="M21">LOOKUP(2,1/('32_BALANCE'!$B$4:$BI$4&lt;=M$5),'32_BALANCE'!$B$21:$BI$21)</f>
        <v>2596045.9616939272</v>
      </c>
      <c r="N21" s="167" cm="1">
        <f t="array" ref="N21">LOOKUP(2,1/('32_BALANCE'!$B$4:$BI$4&lt;=N$5),'32_BALANCE'!$B$21:$BI$21)</f>
        <v>2596045.9616939272</v>
      </c>
      <c r="O21" s="167" cm="1">
        <f t="array" ref="O21">LOOKUP(2,1/('32_BALANCE'!$B$4:$BI$4&lt;=O$5),'32_BALANCE'!$B$21:$BI$21)</f>
        <v>2596045.9616939272</v>
      </c>
      <c r="P21" s="167" cm="1">
        <f t="array" ref="P21">LOOKUP(2,1/('32_BALANCE'!$B$4:$BI$4&lt;=P$5),'32_BALANCE'!$B$21:$BI$21)</f>
        <v>2596045.9616939272</v>
      </c>
      <c r="Q21" s="167" cm="1">
        <f t="array" ref="Q21">LOOKUP(2,1/('32_BALANCE'!$B$4:$BI$4&lt;=Q$5),'32_BALANCE'!$B$21:$BI$21)</f>
        <v>2596045.9616939272</v>
      </c>
      <c r="R21" s="167" cm="1">
        <f t="array" ref="R21">LOOKUP(2,1/('32_BALANCE'!$B$4:$BI$4&lt;=R$5),'32_BALANCE'!$B$21:$BI$21)</f>
        <v>2596045.9616939272</v>
      </c>
      <c r="S21" s="167" cm="1">
        <f t="array" ref="S21">LOOKUP(2,1/('32_BALANCE'!$B$4:$BI$4&lt;=S$5),'32_BALANCE'!$B$21:$BI$21)</f>
        <v>2596045.9616939272</v>
      </c>
      <c r="T21" s="167" cm="1">
        <f t="array" ref="T21">LOOKUP(2,1/('32_BALANCE'!$B$4:$BI$4&lt;=T$5),'32_BALANCE'!$B$21:$BI$21)</f>
        <v>2596045.9616939272</v>
      </c>
      <c r="U21" s="167" cm="1">
        <f t="array" ref="U21">LOOKUP(2,1/('32_BALANCE'!$B$4:$BI$4&lt;=U$5),'32_BALANCE'!$B$21:$BI$21)</f>
        <v>2596045.9616939272</v>
      </c>
    </row>
    <row r="22" spans="1:21" ht="21.75" customHeight="1" thickBot="1" x14ac:dyDescent="0.4">
      <c r="A22" s="198"/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</row>
    <row r="23" spans="1:21" ht="31.5" customHeight="1" thickTop="1" thickBot="1" x14ac:dyDescent="0.4">
      <c r="A23" s="198" t="s">
        <v>375</v>
      </c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</row>
    <row r="24" spans="1:21" ht="15.75" customHeight="1" thickTop="1" thickBot="1" x14ac:dyDescent="0.3">
      <c r="A24" t="s">
        <v>334</v>
      </c>
      <c r="B24" s="193"/>
      <c r="C24" s="193"/>
      <c r="D24" s="193"/>
      <c r="E24" s="193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</row>
    <row r="25" spans="1:21" x14ac:dyDescent="0.25">
      <c r="A25" t="s">
        <v>335</v>
      </c>
      <c r="B25" s="194" cm="1">
        <f t="array" ref="B25">LOOKUP(2,1/('32_BALANCE'!$B$4:$BI$4&lt;=B$5),'32_BALANCE'!$B$25:$BI$25)</f>
        <v>0</v>
      </c>
      <c r="C25" s="194" cm="1">
        <f t="array" ref="C25">LOOKUP(2,1/('32_BALANCE'!$B$4:$BI$4&lt;=C$5),'32_BALANCE'!$B$25:$BI$25)</f>
        <v>0</v>
      </c>
      <c r="D25" s="194" cm="1">
        <f t="array" ref="D25">LOOKUP(2,1/('32_BALANCE'!$B$4:$BI$4&lt;=D$5),'32_BALANCE'!$B$25:$BI$25)</f>
        <v>0</v>
      </c>
      <c r="E25" s="194" cm="1">
        <f t="array" ref="E25">LOOKUP(2,1/('32_BALANCE'!$B$4:$BI$4&lt;=E$5),'32_BALANCE'!$B$25:$BI$25)</f>
        <v>270298.33740000008</v>
      </c>
      <c r="F25" s="194" cm="1">
        <f t="array" ref="F25">LOOKUP(2,1/('32_BALANCE'!$B$4:$BI$4&lt;=F$5),'32_BALANCE'!$B$25:$BI$25)</f>
        <v>1088649.2924719471</v>
      </c>
      <c r="G25" s="194" cm="1">
        <f t="array" ref="G25">LOOKUP(2,1/('32_BALANCE'!$B$4:$BI$4&lt;=G$5),'32_BALANCE'!$B$25:$BI$25)</f>
        <v>1918304.2251276078</v>
      </c>
      <c r="H25" s="194" cm="1">
        <f t="array" ref="H25">LOOKUP(2,1/('32_BALANCE'!$B$4:$BI$4&lt;=H$5),'32_BALANCE'!$B$25:$BI$25)</f>
        <v>2759419.2785332133</v>
      </c>
      <c r="I25" s="194" cm="1">
        <f t="array" ref="I25">LOOKUP(2,1/('32_BALANCE'!$B$4:$BI$4&lt;=I$5),'32_BALANCE'!$B$25:$BI$25)</f>
        <v>3612152.7526788362</v>
      </c>
      <c r="J25" s="194" cm="1">
        <f t="array" ref="J25">LOOKUP(2,1/('32_BALANCE'!$B$4:$BI$4&lt;=J$5),'32_BALANCE'!$B$25:$BI$25)</f>
        <v>4368545.799210852</v>
      </c>
      <c r="K25" s="194" cm="1">
        <f t="array" ref="K25">LOOKUP(2,1/('32_BALANCE'!$B$4:$BI$4&lt;=K$5),'32_BALANCE'!$B$25:$BI$25)</f>
        <v>4428889.0339583009</v>
      </c>
      <c r="L25" s="194" cm="1">
        <f t="array" ref="L25">LOOKUP(2,1/('32_BALANCE'!$B$4:$BI$4&lt;=L$5),'32_BALANCE'!$B$25:$BI$25)</f>
        <v>4490065.7968744235</v>
      </c>
      <c r="M25" s="194" cm="1">
        <f t="array" ref="M25">LOOKUP(2,1/('32_BALANCE'!$B$4:$BI$4&lt;=M$5),'32_BALANCE'!$B$25:$BI$25)</f>
        <v>0</v>
      </c>
      <c r="N25" s="194" cm="1">
        <f t="array" ref="N25">LOOKUP(2,1/('32_BALANCE'!$B$4:$BI$4&lt;=N$5),'32_BALANCE'!$B$25:$BI$25)</f>
        <v>0</v>
      </c>
      <c r="O25" s="194" cm="1">
        <f t="array" ref="O25">LOOKUP(2,1/('32_BALANCE'!$B$4:$BI$4&lt;=O$5),'32_BALANCE'!$B$25:$BI$25)</f>
        <v>0</v>
      </c>
      <c r="P25" s="194" cm="1">
        <f t="array" ref="P25">LOOKUP(2,1/('32_BALANCE'!$B$4:$BI$4&lt;=P$5),'32_BALANCE'!$B$25:$BI$25)</f>
        <v>0</v>
      </c>
      <c r="Q25" s="194" cm="1">
        <f t="array" ref="Q25">LOOKUP(2,1/('32_BALANCE'!$B$4:$BI$4&lt;=Q$5),'32_BALANCE'!$B$25:$BI$25)</f>
        <v>0</v>
      </c>
      <c r="R25" s="194" cm="1">
        <f t="array" ref="R25">LOOKUP(2,1/('32_BALANCE'!$B$4:$BI$4&lt;=R$5),'32_BALANCE'!$B$25:$BI$25)</f>
        <v>0</v>
      </c>
      <c r="S25" s="194" cm="1">
        <f t="array" ref="S25">LOOKUP(2,1/('32_BALANCE'!$B$4:$BI$4&lt;=S$5),'32_BALANCE'!$B$25:$BI$25)</f>
        <v>0</v>
      </c>
      <c r="T25" s="194" cm="1">
        <f t="array" ref="T25">LOOKUP(2,1/('32_BALANCE'!$B$4:$BI$4&lt;=T$5),'32_BALANCE'!$B$25:$BI$25)</f>
        <v>0</v>
      </c>
      <c r="U25" s="194" cm="1">
        <f t="array" ref="U25">LOOKUP(2,1/('32_BALANCE'!$B$4:$BI$4&lt;=U$5),'32_BALANCE'!$B$25:$BI$25)</f>
        <v>0</v>
      </c>
    </row>
    <row r="26" spans="1:21" x14ac:dyDescent="0.25">
      <c r="A26" s="195" t="s">
        <v>336</v>
      </c>
      <c r="B26" s="196" cm="1">
        <f t="array" ref="B26">LOOKUP(2,1/('32_BALANCE'!$B$4:$BI$4&lt;=B$5),'32_BALANCE'!$B$26:$BI$26)</f>
        <v>0</v>
      </c>
      <c r="C26" s="196" cm="1">
        <f t="array" ref="C26">LOOKUP(2,1/('32_BALANCE'!$B$4:$BI$4&lt;=C$5),'32_BALANCE'!$B$26:$BI$26)</f>
        <v>0</v>
      </c>
      <c r="D26" s="196" cm="1">
        <f t="array" ref="D26">LOOKUP(2,1/('32_BALANCE'!$B$4:$BI$4&lt;=D$5),'32_BALANCE'!$B$26:$BI$26)</f>
        <v>0</v>
      </c>
      <c r="E26" s="196" cm="1">
        <f t="array" ref="E26">LOOKUP(2,1/('32_BALANCE'!$B$4:$BI$4&lt;=E$5),'32_BALANCE'!$B$26:$BI$26)</f>
        <v>270298.33740000008</v>
      </c>
      <c r="F26" s="196" cm="1">
        <f t="array" ref="F26">LOOKUP(2,1/('32_BALANCE'!$B$4:$BI$4&lt;=F$5),'32_BALANCE'!$B$26:$BI$26)</f>
        <v>1088649.2924719471</v>
      </c>
      <c r="G26" s="167" cm="1">
        <f t="array" ref="G26">LOOKUP(2,1/('32_BALANCE'!$B$4:$BI$4&lt;=G$5),'32_BALANCE'!$B$26:$BI$26)</f>
        <v>1918304.2251276078</v>
      </c>
      <c r="H26" s="167" cm="1">
        <f t="array" ref="H26">LOOKUP(2,1/('32_BALANCE'!$B$4:$BI$4&lt;=H$5),'32_BALANCE'!$B$26:$BI$26)</f>
        <v>2759419.2785332133</v>
      </c>
      <c r="I26" s="167" cm="1">
        <f t="array" ref="I26">LOOKUP(2,1/('32_BALANCE'!$B$4:$BI$4&lt;=I$5),'32_BALANCE'!$B$26:$BI$26)</f>
        <v>3612152.7526788362</v>
      </c>
      <c r="J26" s="167" cm="1">
        <f t="array" ref="J26">LOOKUP(2,1/('32_BALANCE'!$B$4:$BI$4&lt;=J$5),'32_BALANCE'!$B$26:$BI$26)</f>
        <v>4368545.799210852</v>
      </c>
      <c r="K26" s="167" cm="1">
        <f t="array" ref="K26">LOOKUP(2,1/('32_BALANCE'!$B$4:$BI$4&lt;=K$5),'32_BALANCE'!$B$26:$BI$26)</f>
        <v>4428889.0339583009</v>
      </c>
      <c r="L26" s="167" cm="1">
        <f t="array" ref="L26">LOOKUP(2,1/('32_BALANCE'!$B$4:$BI$4&lt;=L$5),'32_BALANCE'!$B$26:$BI$26)</f>
        <v>4490065.7968744235</v>
      </c>
      <c r="M26" s="167" cm="1">
        <f t="array" ref="M26">LOOKUP(2,1/('32_BALANCE'!$B$4:$BI$4&lt;=M$5),'32_BALANCE'!$B$26:$BI$26)</f>
        <v>0</v>
      </c>
      <c r="N26" s="167" cm="1">
        <f t="array" ref="N26">LOOKUP(2,1/('32_BALANCE'!$B$4:$BI$4&lt;=N$5),'32_BALANCE'!$B$26:$BI$26)</f>
        <v>0</v>
      </c>
      <c r="O26" s="167" cm="1">
        <f t="array" ref="O26">LOOKUP(2,1/('32_BALANCE'!$B$4:$BI$4&lt;=O$5),'32_BALANCE'!$B$26:$BI$26)</f>
        <v>0</v>
      </c>
      <c r="P26" s="167" cm="1">
        <f t="array" ref="P26">LOOKUP(2,1/('32_BALANCE'!$B$4:$BI$4&lt;=P$5),'32_BALANCE'!$B$26:$BI$26)</f>
        <v>0</v>
      </c>
      <c r="Q26" s="167" cm="1">
        <f t="array" ref="Q26">LOOKUP(2,1/('32_BALANCE'!$B$4:$BI$4&lt;=Q$5),'32_BALANCE'!$B$26:$BI$26)</f>
        <v>0</v>
      </c>
      <c r="R26" s="167" cm="1">
        <f t="array" ref="R26">LOOKUP(2,1/('32_BALANCE'!$B$4:$BI$4&lt;=R$5),'32_BALANCE'!$B$26:$BI$26)</f>
        <v>0</v>
      </c>
      <c r="S26" s="167" cm="1">
        <f t="array" ref="S26">LOOKUP(2,1/('32_BALANCE'!$B$4:$BI$4&lt;=S$5),'32_BALANCE'!$B$26:$BI$26)</f>
        <v>0</v>
      </c>
      <c r="T26" s="167" cm="1">
        <f t="array" ref="T26">LOOKUP(2,1/('32_BALANCE'!$B$4:$BI$4&lt;=T$5),'32_BALANCE'!$B$26:$BI$26)</f>
        <v>0</v>
      </c>
      <c r="U26" s="167" cm="1">
        <f t="array" ref="U26">LOOKUP(2,1/('32_BALANCE'!$B$4:$BI$4&lt;=U$5),'32_BALANCE'!$B$26:$BI$26)</f>
        <v>0</v>
      </c>
    </row>
    <row r="27" spans="1:21" x14ac:dyDescent="0.25">
      <c r="A27" t="s">
        <v>337</v>
      </c>
      <c r="B27" s="193"/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</row>
    <row r="28" spans="1:21" ht="15.75" customHeight="1" thickBot="1" x14ac:dyDescent="0.3">
      <c r="A28" t="s">
        <v>338</v>
      </c>
      <c r="B28" s="196" cm="1">
        <f t="array" ref="B28">LOOKUP(2,1/('32_BALANCE'!$B$4:$BI$4&lt;=B$5),'32_BALANCE'!$B$28:$BI$28)</f>
        <v>0</v>
      </c>
      <c r="C28" s="196" cm="1">
        <f t="array" ref="C28">LOOKUP(2,1/('32_BALANCE'!$B$4:$BI$4&lt;=C$5),'32_BALANCE'!$B$28:$BI$28)</f>
        <v>0</v>
      </c>
      <c r="D28" s="196" cm="1">
        <f t="array" ref="D28">LOOKUP(2,1/('32_BALANCE'!$B$4:$BI$4&lt;=D$5),'32_BALANCE'!$B$28:$BI$28)</f>
        <v>0</v>
      </c>
      <c r="E28" s="196" cm="1">
        <f t="array" ref="E28">LOOKUP(2,1/('32_BALANCE'!$B$4:$BI$4&lt;=E$5),'32_BALANCE'!$B$28:$BI$28)</f>
        <v>0</v>
      </c>
      <c r="F28" s="196" cm="1">
        <f t="array" ref="F28">LOOKUP(2,1/('32_BALANCE'!$B$4:$BI$4&lt;=F$5),'32_BALANCE'!$B$28:$BI$28)</f>
        <v>0</v>
      </c>
      <c r="G28" s="167" cm="1">
        <f t="array" ref="G28">LOOKUP(2,1/('32_BALANCE'!$B$4:$BI$4&lt;=G$5),'32_BALANCE'!$B$28:$BI$28)</f>
        <v>0</v>
      </c>
      <c r="H28" s="167" cm="1">
        <f t="array" ref="H28">LOOKUP(2,1/('32_BALANCE'!$B$4:$BI$4&lt;=H$5),'32_BALANCE'!$B$28:$BI$28)</f>
        <v>0</v>
      </c>
      <c r="I28" s="167" cm="1">
        <f t="array" ref="I28">LOOKUP(2,1/('32_BALANCE'!$B$4:$BI$4&lt;=I$5),'32_BALANCE'!$B$28:$BI$28)</f>
        <v>44687.5</v>
      </c>
      <c r="J28" s="167" cm="1">
        <f t="array" ref="J28">LOOKUP(2,1/('32_BALANCE'!$B$4:$BI$4&lt;=J$5),'32_BALANCE'!$B$28:$BI$28)</f>
        <v>526500</v>
      </c>
      <c r="K28" s="167" cm="1">
        <f t="array" ref="K28">LOOKUP(2,1/('32_BALANCE'!$B$4:$BI$4&lt;=K$5),'32_BALANCE'!$B$28:$BI$28)</f>
        <v>1182187.5</v>
      </c>
      <c r="L28" s="167" cm="1">
        <f t="array" ref="L28">LOOKUP(2,1/('32_BALANCE'!$B$4:$BI$4&lt;=L$5),'32_BALANCE'!$B$28:$BI$28)</f>
        <v>1837875</v>
      </c>
      <c r="M28" s="167" cm="1">
        <f t="array" ref="M28">LOOKUP(2,1/('32_BALANCE'!$B$4:$BI$4&lt;=M$5),'32_BALANCE'!$B$28:$BI$28)</f>
        <v>0</v>
      </c>
      <c r="N28" s="167" cm="1">
        <f t="array" ref="N28">LOOKUP(2,1/('32_BALANCE'!$B$4:$BI$4&lt;=N$5),'32_BALANCE'!$B$28:$BI$28)</f>
        <v>0</v>
      </c>
      <c r="O28" s="167" cm="1">
        <f t="array" ref="O28">LOOKUP(2,1/('32_BALANCE'!$B$4:$BI$4&lt;=O$5),'32_BALANCE'!$B$28:$BI$28)</f>
        <v>0</v>
      </c>
      <c r="P28" s="167" cm="1">
        <f t="array" ref="P28">LOOKUP(2,1/('32_BALANCE'!$B$4:$BI$4&lt;=P$5),'32_BALANCE'!$B$28:$BI$28)</f>
        <v>0</v>
      </c>
      <c r="Q28" s="167" cm="1">
        <f t="array" ref="Q28">LOOKUP(2,1/('32_BALANCE'!$B$4:$BI$4&lt;=Q$5),'32_BALANCE'!$B$28:$BI$28)</f>
        <v>0</v>
      </c>
      <c r="R28" s="167" cm="1">
        <f t="array" ref="R28">LOOKUP(2,1/('32_BALANCE'!$B$4:$BI$4&lt;=R$5),'32_BALANCE'!$B$28:$BI$28)</f>
        <v>0</v>
      </c>
      <c r="S28" s="167" cm="1">
        <f t="array" ref="S28">LOOKUP(2,1/('32_BALANCE'!$B$4:$BI$4&lt;=S$5),'32_BALANCE'!$B$28:$BI$28)</f>
        <v>0</v>
      </c>
      <c r="T28" s="167" cm="1">
        <f t="array" ref="T28">LOOKUP(2,1/('32_BALANCE'!$B$4:$BI$4&lt;=T$5),'32_BALANCE'!$B$28:$BI$28)</f>
        <v>0</v>
      </c>
      <c r="U28" s="167" cm="1">
        <f t="array" ref="U28">LOOKUP(2,1/('32_BALANCE'!$B$4:$BI$4&lt;=U$5),'32_BALANCE'!$B$28:$BI$28)</f>
        <v>0</v>
      </c>
    </row>
    <row r="29" spans="1:21" x14ac:dyDescent="0.25">
      <c r="A29" s="195" t="s">
        <v>339</v>
      </c>
      <c r="B29" s="194" cm="1">
        <f t="array" ref="B29">LOOKUP(2,1/('32_BALANCE'!$B$4:$BI$4&lt;=B$5),'32_BALANCE'!$B$29:$BI$29)</f>
        <v>0</v>
      </c>
      <c r="C29" s="194" cm="1">
        <f t="array" ref="C29">LOOKUP(2,1/('32_BALANCE'!$B$4:$BI$4&lt;=C$5),'32_BALANCE'!$B$29:$BI$29)</f>
        <v>0</v>
      </c>
      <c r="D29" s="194" cm="1">
        <f t="array" ref="D29">LOOKUP(2,1/('32_BALANCE'!$B$4:$BI$4&lt;=D$5),'32_BALANCE'!$B$29:$BI$29)</f>
        <v>0</v>
      </c>
      <c r="E29" s="194" cm="1">
        <f t="array" ref="E29">LOOKUP(2,1/('32_BALANCE'!$B$4:$BI$4&lt;=E$5),'32_BALANCE'!$B$29:$BI$29)</f>
        <v>0</v>
      </c>
      <c r="F29" s="194" cm="1">
        <f t="array" ref="F29">LOOKUP(2,1/('32_BALANCE'!$B$4:$BI$4&lt;=F$5),'32_BALANCE'!$B$29:$BI$29)</f>
        <v>0</v>
      </c>
      <c r="G29" s="194" cm="1">
        <f t="array" ref="G29">LOOKUP(2,1/('32_BALANCE'!$B$4:$BI$4&lt;=G$5),'32_BALANCE'!$B$29:$BI$29)</f>
        <v>0</v>
      </c>
      <c r="H29" s="194" cm="1">
        <f t="array" ref="H29">LOOKUP(2,1/('32_BALANCE'!$B$4:$BI$4&lt;=H$5),'32_BALANCE'!$B$29:$BI$29)</f>
        <v>0</v>
      </c>
      <c r="I29" s="194" cm="1">
        <f t="array" ref="I29">LOOKUP(2,1/('32_BALANCE'!$B$4:$BI$4&lt;=I$5),'32_BALANCE'!$B$29:$BI$29)</f>
        <v>44687.5</v>
      </c>
      <c r="J29" s="194" cm="1">
        <f t="array" ref="J29">LOOKUP(2,1/('32_BALANCE'!$B$4:$BI$4&lt;=J$5),'32_BALANCE'!$B$29:$BI$29)</f>
        <v>526500</v>
      </c>
      <c r="K29" s="194" cm="1">
        <f t="array" ref="K29">LOOKUP(2,1/('32_BALANCE'!$B$4:$BI$4&lt;=K$5),'32_BALANCE'!$B$29:$BI$29)</f>
        <v>1182187.5</v>
      </c>
      <c r="L29" s="194" cm="1">
        <f t="array" ref="L29">LOOKUP(2,1/('32_BALANCE'!$B$4:$BI$4&lt;=L$5),'32_BALANCE'!$B$29:$BI$29)</f>
        <v>1837875</v>
      </c>
      <c r="M29" s="194" cm="1">
        <f t="array" ref="M29">LOOKUP(2,1/('32_BALANCE'!$B$4:$BI$4&lt;=M$5),'32_BALANCE'!$B$29:$BI$29)</f>
        <v>0</v>
      </c>
      <c r="N29" s="194" cm="1">
        <f t="array" ref="N29">LOOKUP(2,1/('32_BALANCE'!$B$4:$BI$4&lt;=N$5),'32_BALANCE'!$B$29:$BI$29)</f>
        <v>0</v>
      </c>
      <c r="O29" s="194" cm="1">
        <f t="array" ref="O29">LOOKUP(2,1/('32_BALANCE'!$B$4:$BI$4&lt;=O$5),'32_BALANCE'!$B$29:$BI$29)</f>
        <v>0</v>
      </c>
      <c r="P29" s="194" cm="1">
        <f t="array" ref="P29">LOOKUP(2,1/('32_BALANCE'!$B$4:$BI$4&lt;=P$5),'32_BALANCE'!$B$29:$BI$29)</f>
        <v>0</v>
      </c>
      <c r="Q29" s="194" cm="1">
        <f t="array" ref="Q29">LOOKUP(2,1/('32_BALANCE'!$B$4:$BI$4&lt;=Q$5),'32_BALANCE'!$B$29:$BI$29)</f>
        <v>0</v>
      </c>
      <c r="R29" s="194" cm="1">
        <f t="array" ref="R29">LOOKUP(2,1/('32_BALANCE'!$B$4:$BI$4&lt;=R$5),'32_BALANCE'!$B$29:$BI$29)</f>
        <v>0</v>
      </c>
      <c r="S29" s="194" cm="1">
        <f t="array" ref="S29">LOOKUP(2,1/('32_BALANCE'!$B$4:$BI$4&lt;=S$5),'32_BALANCE'!$B$29:$BI$29)</f>
        <v>0</v>
      </c>
      <c r="T29" s="194" cm="1">
        <f t="array" ref="T29">LOOKUP(2,1/('32_BALANCE'!$B$4:$BI$4&lt;=T$5),'32_BALANCE'!$B$29:$BI$29)</f>
        <v>0</v>
      </c>
      <c r="U29" s="194" cm="1">
        <f t="array" ref="U29">LOOKUP(2,1/('32_BALANCE'!$B$4:$BI$4&lt;=U$5),'32_BALANCE'!$B$29:$BI$29)</f>
        <v>0</v>
      </c>
    </row>
    <row r="31" spans="1:21" ht="21.75" customHeight="1" x14ac:dyDescent="0.25">
      <c r="A31" s="195" t="s">
        <v>340</v>
      </c>
      <c r="B31" s="196" cm="1">
        <f t="array" ref="B31">LOOKUP(2,1/('32_BALANCE'!$B$4:$BI$4&lt;=B$5),'32_BALANCE'!$B$31:$BI$31)</f>
        <v>0</v>
      </c>
      <c r="C31" s="196" cm="1">
        <f t="array" ref="C31">LOOKUP(2,1/('32_BALANCE'!$B$4:$BI$4&lt;=C$5),'32_BALANCE'!$B$31:$BI$31)</f>
        <v>0</v>
      </c>
      <c r="D31" s="196" cm="1">
        <f t="array" ref="D31">LOOKUP(2,1/('32_BALANCE'!$B$4:$BI$4&lt;=D$5),'32_BALANCE'!$B$31:$BI$31)</f>
        <v>0</v>
      </c>
      <c r="E31" s="196" cm="1">
        <f t="array" ref="E31">LOOKUP(2,1/('32_BALANCE'!$B$4:$BI$4&lt;=E$5),'32_BALANCE'!$B$31:$BI$31)</f>
        <v>270298.33740000008</v>
      </c>
      <c r="F31" s="196" cm="1">
        <f t="array" ref="F31">LOOKUP(2,1/('32_BALANCE'!$B$4:$BI$4&lt;=F$5),'32_BALANCE'!$B$31:$BI$31)</f>
        <v>1088649.2924719471</v>
      </c>
      <c r="G31" s="167" cm="1">
        <f t="array" ref="G31">LOOKUP(2,1/('32_BALANCE'!$B$4:$BI$4&lt;=G$5),'32_BALANCE'!$B$31:$BI$31)</f>
        <v>1918304.2251276078</v>
      </c>
      <c r="H31" s="167" cm="1">
        <f t="array" ref="H31">LOOKUP(2,1/('32_BALANCE'!$B$4:$BI$4&lt;=H$5),'32_BALANCE'!$B$31:$BI$31)</f>
        <v>2759419.2785332133</v>
      </c>
      <c r="I31" s="167" cm="1">
        <f t="array" ref="I31">LOOKUP(2,1/('32_BALANCE'!$B$4:$BI$4&lt;=I$5),'32_BALANCE'!$B$31:$BI$31)</f>
        <v>3656840.2526788362</v>
      </c>
      <c r="J31" s="167" cm="1">
        <f t="array" ref="J31">LOOKUP(2,1/('32_BALANCE'!$B$4:$BI$4&lt;=J$5),'32_BALANCE'!$B$31:$BI$31)</f>
        <v>4895045.799210852</v>
      </c>
      <c r="K31" s="167" cm="1">
        <f t="array" ref="K31">LOOKUP(2,1/('32_BALANCE'!$B$4:$BI$4&lt;=K$5),'32_BALANCE'!$B$31:$BI$31)</f>
        <v>5611076.5339583009</v>
      </c>
      <c r="L31" s="167" cm="1">
        <f t="array" ref="L31">LOOKUP(2,1/('32_BALANCE'!$B$4:$BI$4&lt;=L$5),'32_BALANCE'!$B$31:$BI$31)</f>
        <v>6327940.7968744235</v>
      </c>
      <c r="M31" s="167" cm="1">
        <f t="array" ref="M31">LOOKUP(2,1/('32_BALANCE'!$B$4:$BI$4&lt;=M$5),'32_BALANCE'!$B$31:$BI$31)</f>
        <v>0</v>
      </c>
      <c r="N31" s="167" cm="1">
        <f t="array" ref="N31">LOOKUP(2,1/('32_BALANCE'!$B$4:$BI$4&lt;=N$5),'32_BALANCE'!$B$31:$BI$31)</f>
        <v>0</v>
      </c>
      <c r="O31" s="167" cm="1">
        <f t="array" ref="O31">LOOKUP(2,1/('32_BALANCE'!$B$4:$BI$4&lt;=O$5),'32_BALANCE'!$B$31:$BI$31)</f>
        <v>0</v>
      </c>
      <c r="P31" s="167" cm="1">
        <f t="array" ref="P31">LOOKUP(2,1/('32_BALANCE'!$B$4:$BI$4&lt;=P$5),'32_BALANCE'!$B$31:$BI$31)</f>
        <v>0</v>
      </c>
      <c r="Q31" s="167" cm="1">
        <f t="array" ref="Q31">LOOKUP(2,1/('32_BALANCE'!$B$4:$BI$4&lt;=Q$5),'32_BALANCE'!$B$31:$BI$31)</f>
        <v>0</v>
      </c>
      <c r="R31" s="167" cm="1">
        <f t="array" ref="R31">LOOKUP(2,1/('32_BALANCE'!$B$4:$BI$4&lt;=R$5),'32_BALANCE'!$B$31:$BI$31)</f>
        <v>0</v>
      </c>
      <c r="S31" s="167" cm="1">
        <f t="array" ref="S31">LOOKUP(2,1/('32_BALANCE'!$B$4:$BI$4&lt;=S$5),'32_BALANCE'!$B$31:$BI$31)</f>
        <v>0</v>
      </c>
      <c r="T31" s="167" cm="1">
        <f t="array" ref="T31">LOOKUP(2,1/('32_BALANCE'!$B$4:$BI$4&lt;=T$5),'32_BALANCE'!$B$31:$BI$31)</f>
        <v>0</v>
      </c>
      <c r="U31" s="167" cm="1">
        <f t="array" ref="U31">LOOKUP(2,1/('32_BALANCE'!$B$4:$BI$4&lt;=U$5),'32_BALANCE'!$B$31:$BI$31)</f>
        <v>0</v>
      </c>
    </row>
    <row r="33" spans="1:21" ht="22.5" customHeight="1" thickBot="1" x14ac:dyDescent="0.4">
      <c r="A33" s="198" t="s">
        <v>341</v>
      </c>
      <c r="B33" s="196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</row>
    <row r="34" spans="1:21" ht="15.75" customHeight="1" thickTop="1" x14ac:dyDescent="0.25">
      <c r="A34" t="s">
        <v>342</v>
      </c>
      <c r="B34" s="194" cm="1">
        <f t="array" ref="B34">LOOKUP(2,1/('32_BALANCE'!$B$4:$BI$4&lt;=B$5),'32_BALANCE'!$B$34:$BI$34)</f>
        <v>1183546</v>
      </c>
      <c r="C34" s="194" cm="1">
        <f t="array" ref="C34">LOOKUP(2,1/('32_BALANCE'!$B$4:$BI$4&lt;=C$5),'32_BALANCE'!$B$34:$BI$34)</f>
        <v>1183546</v>
      </c>
      <c r="D34" s="194" cm="1">
        <f t="array" ref="D34">LOOKUP(2,1/('32_BALANCE'!$B$4:$BI$4&lt;=D$5),'32_BALANCE'!$B$34:$BI$34)</f>
        <v>1183546</v>
      </c>
      <c r="E34" s="194" cm="1">
        <f t="array" ref="E34">LOOKUP(2,1/('32_BALANCE'!$B$4:$BI$4&lt;=E$5),'32_BALANCE'!$B$34:$BI$34)</f>
        <v>1216851.5195200001</v>
      </c>
      <c r="F34" s="194" cm="1">
        <f t="array" ref="F34">LOOKUP(2,1/('32_BALANCE'!$B$4:$BI$4&lt;=F$5),'32_BALANCE'!$B$34:$BI$34)</f>
        <v>1221436.0849600001</v>
      </c>
      <c r="G34" s="194" cm="1">
        <f t="array" ref="G34">LOOKUP(2,1/('32_BALANCE'!$B$4:$BI$4&lt;=G$5),'32_BALANCE'!$B$34:$BI$34)</f>
        <v>1225009.3492000001</v>
      </c>
      <c r="H34" s="194" cm="1">
        <f t="array" ref="H34">LOOKUP(2,1/('32_BALANCE'!$B$4:$BI$4&lt;=H$5),'32_BALANCE'!$B$34:$BI$34)</f>
        <v>1227571.3122400001</v>
      </c>
      <c r="I34" s="194" cm="1">
        <f t="array" ref="I34">LOOKUP(2,1/('32_BALANCE'!$B$4:$BI$4&lt;=I$5),'32_BALANCE'!$B$34:$BI$34)</f>
        <v>1228717.4536000001</v>
      </c>
      <c r="J34" s="194" cm="1">
        <f t="array" ref="J34">LOOKUP(2,1/('32_BALANCE'!$B$4:$BI$4&lt;=J$5),'32_BALANCE'!$B$34:$BI$34)</f>
        <v>1228717.4536000001</v>
      </c>
      <c r="K34" s="194" cm="1">
        <f t="array" ref="K34">LOOKUP(2,1/('32_BALANCE'!$B$4:$BI$4&lt;=K$5),'32_BALANCE'!$B$34:$BI$34)</f>
        <v>1462508.4136000003</v>
      </c>
      <c r="L34" s="194" cm="1">
        <f t="array" ref="L34">LOOKUP(2,1/('32_BALANCE'!$B$4:$BI$4&lt;=L$5),'32_BALANCE'!$B$34:$BI$34)</f>
        <v>1696299.3736000005</v>
      </c>
      <c r="M34" s="194" cm="1">
        <f t="array" ref="M34">LOOKUP(2,1/('32_BALANCE'!$B$4:$BI$4&lt;=M$5),'32_BALANCE'!$B$34:$BI$34)</f>
        <v>1880760.0136000006</v>
      </c>
      <c r="N34" s="194" cm="1">
        <f t="array" ref="N34">LOOKUP(2,1/('32_BALANCE'!$B$4:$BI$4&lt;=N$5),'32_BALANCE'!$B$34:$BI$34)</f>
        <v>1880760.0136000006</v>
      </c>
      <c r="O34" s="194" cm="1">
        <f t="array" ref="O34">LOOKUP(2,1/('32_BALANCE'!$B$4:$BI$4&lt;=O$5),'32_BALANCE'!$B$34:$BI$34)</f>
        <v>1880760.0136000006</v>
      </c>
      <c r="P34" s="194" cm="1">
        <f t="array" ref="P34">LOOKUP(2,1/('32_BALANCE'!$B$4:$BI$4&lt;=P$5),'32_BALANCE'!$B$34:$BI$34)</f>
        <v>1880760.0136000006</v>
      </c>
      <c r="Q34" s="194" cm="1">
        <f t="array" ref="Q34">LOOKUP(2,1/('32_BALANCE'!$B$4:$BI$4&lt;=Q$5),'32_BALANCE'!$B$34:$BI$34)</f>
        <v>1880760.0136000006</v>
      </c>
      <c r="R34" s="194" cm="1">
        <f t="array" ref="R34">LOOKUP(2,1/('32_BALANCE'!$B$4:$BI$4&lt;=R$5),'32_BALANCE'!$B$34:$BI$34)</f>
        <v>1880760.0136000006</v>
      </c>
      <c r="S34" s="194" cm="1">
        <f t="array" ref="S34">LOOKUP(2,1/('32_BALANCE'!$B$4:$BI$4&lt;=S$5),'32_BALANCE'!$B$34:$BI$34)</f>
        <v>1880760.0136000006</v>
      </c>
      <c r="T34" s="194" cm="1">
        <f t="array" ref="T34">LOOKUP(2,1/('32_BALANCE'!$B$4:$BI$4&lt;=T$5),'32_BALANCE'!$B$34:$BI$34)</f>
        <v>1880760.0136000006</v>
      </c>
      <c r="U34" s="194" cm="1">
        <f t="array" ref="U34">LOOKUP(2,1/('32_BALANCE'!$B$4:$BI$4&lt;=U$5),'32_BALANCE'!$B$34:$BI$34)</f>
        <v>1880760.0136000006</v>
      </c>
    </row>
    <row r="35" spans="1:21" ht="15.75" customHeight="1" thickBot="1" x14ac:dyDescent="0.3">
      <c r="A35" t="s">
        <v>343</v>
      </c>
      <c r="B35" s="196" cm="1">
        <f t="array" ref="B35">LOOKUP(2,1/('32_BALANCE'!$B$4:$BI$4&lt;=B$5),'32_BALANCE'!$B$35:$BI$35)</f>
        <v>0</v>
      </c>
      <c r="C35" s="196" cm="1">
        <f t="array" ref="C35">LOOKUP(2,1/('32_BALANCE'!$B$4:$BI$4&lt;=C$5),'32_BALANCE'!$B$35:$BI$35)</f>
        <v>0</v>
      </c>
      <c r="D35" s="196" cm="1">
        <f t="array" ref="D35">LOOKUP(2,1/('32_BALANCE'!$B$4:$BI$4&lt;=D$5),'32_BALANCE'!$B$35:$BI$35)</f>
        <v>0</v>
      </c>
      <c r="E35" s="196" cm="1">
        <f t="array" ref="E35">LOOKUP(2,1/('32_BALANCE'!$B$4:$BI$4&lt;=E$5),'32_BALANCE'!$B$35:$BI$35)</f>
        <v>-33305.519520000031</v>
      </c>
      <c r="F35" s="196" cm="1">
        <f t="array" ref="F35">LOOKUP(2,1/('32_BALANCE'!$B$4:$BI$4&lt;=F$5),'32_BALANCE'!$B$35:$BI$35)</f>
        <v>-37890.084960000037</v>
      </c>
      <c r="G35" s="167" cm="1">
        <f t="array" ref="G35">LOOKUP(2,1/('32_BALANCE'!$B$4:$BI$4&lt;=G$5),'32_BALANCE'!$B$35:$BI$35)</f>
        <v>-41463.349200000041</v>
      </c>
      <c r="H35" s="167" cm="1">
        <f t="array" ref="H35">LOOKUP(2,1/('32_BALANCE'!$B$4:$BI$4&lt;=H$5),'32_BALANCE'!$B$35:$BI$35)</f>
        <v>-44025.312240000043</v>
      </c>
      <c r="I35" s="167" cm="1">
        <f t="array" ref="I35">LOOKUP(2,1/('32_BALANCE'!$B$4:$BI$4&lt;=I$5),'32_BALANCE'!$B$35:$BI$35)</f>
        <v>-72388.474080000044</v>
      </c>
      <c r="J35" s="167" cm="1">
        <f t="array" ref="J35">LOOKUP(2,1/('32_BALANCE'!$B$4:$BI$4&lt;=J$5),'32_BALANCE'!$B$35:$BI$35)</f>
        <v>-153365.33472000004</v>
      </c>
      <c r="K35" s="167" cm="1">
        <f t="array" ref="K35">LOOKUP(2,1/('32_BALANCE'!$B$4:$BI$4&lt;=K$5),'32_BALANCE'!$B$35:$BI$35)</f>
        <v>-233802.83472000004</v>
      </c>
      <c r="L35" s="167" cm="1">
        <f t="array" ref="L35">LOOKUP(2,1/('32_BALANCE'!$B$4:$BI$4&lt;=L$5),'32_BALANCE'!$B$35:$BI$35)</f>
        <v>-314240.33472000004</v>
      </c>
      <c r="M35" s="167" cm="1">
        <f t="array" ref="M35">LOOKUP(2,1/('32_BALANCE'!$B$4:$BI$4&lt;=M$5),'32_BALANCE'!$B$35:$BI$35)</f>
        <v>715285.94809392258</v>
      </c>
      <c r="N35" s="167" cm="1">
        <f t="array" ref="N35">LOOKUP(2,1/('32_BALANCE'!$B$4:$BI$4&lt;=N$5),'32_BALANCE'!$B$35:$BI$35)</f>
        <v>715285.94809392258</v>
      </c>
      <c r="O35" s="167" cm="1">
        <f t="array" ref="O35">LOOKUP(2,1/('32_BALANCE'!$B$4:$BI$4&lt;=O$5),'32_BALANCE'!$B$35:$BI$35)</f>
        <v>715285.94809392258</v>
      </c>
      <c r="P35" s="167" cm="1">
        <f t="array" ref="P35">LOOKUP(2,1/('32_BALANCE'!$B$4:$BI$4&lt;=P$5),'32_BALANCE'!$B$35:$BI$35)</f>
        <v>715285.94809392258</v>
      </c>
      <c r="Q35" s="167" cm="1">
        <f t="array" ref="Q35">LOOKUP(2,1/('32_BALANCE'!$B$4:$BI$4&lt;=Q$5),'32_BALANCE'!$B$35:$BI$35)</f>
        <v>715285.94809392258</v>
      </c>
      <c r="R35" s="167" cm="1">
        <f t="array" ref="R35">LOOKUP(2,1/('32_BALANCE'!$B$4:$BI$4&lt;=R$5),'32_BALANCE'!$B$35:$BI$35)</f>
        <v>715285.94809392258</v>
      </c>
      <c r="S35" s="167" cm="1">
        <f t="array" ref="S35">LOOKUP(2,1/('32_BALANCE'!$B$4:$BI$4&lt;=S$5),'32_BALANCE'!$B$35:$BI$35)</f>
        <v>715285.94809392258</v>
      </c>
      <c r="T35" s="167" cm="1">
        <f t="array" ref="T35">LOOKUP(2,1/('32_BALANCE'!$B$4:$BI$4&lt;=T$5),'32_BALANCE'!$B$35:$BI$35)</f>
        <v>715285.94809392258</v>
      </c>
      <c r="U35" s="167" cm="1">
        <f t="array" ref="U35">LOOKUP(2,1/('32_BALANCE'!$B$4:$BI$4&lt;=U$5),'32_BALANCE'!$B$35:$BI$35)</f>
        <v>715285.94809392258</v>
      </c>
    </row>
    <row r="36" spans="1:21" ht="15.75" customHeight="1" x14ac:dyDescent="0.25">
      <c r="A36" s="195" t="s">
        <v>344</v>
      </c>
      <c r="B36" s="194" cm="1">
        <f t="array" ref="B36">LOOKUP(2,1/('32_BALANCE'!$B$4:$BI$4&lt;=B$5),'32_BALANCE'!$B$36:$BI$36)</f>
        <v>1183546</v>
      </c>
      <c r="C36" s="194" cm="1">
        <f t="array" ref="C36">LOOKUP(2,1/('32_BALANCE'!$B$4:$BI$4&lt;=C$5),'32_BALANCE'!$B$36:$BI$36)</f>
        <v>1183546</v>
      </c>
      <c r="D36" s="194" cm="1">
        <f t="array" ref="D36">LOOKUP(2,1/('32_BALANCE'!$B$4:$BI$4&lt;=D$5),'32_BALANCE'!$B$36:$BI$36)</f>
        <v>1183546</v>
      </c>
      <c r="E36" s="194" cm="1">
        <f t="array" ref="E36">LOOKUP(2,1/('32_BALANCE'!$B$4:$BI$4&lt;=E$5),'32_BALANCE'!$B$36:$BI$36)</f>
        <v>1183546</v>
      </c>
      <c r="F36" s="194" cm="1">
        <f t="array" ref="F36">LOOKUP(2,1/('32_BALANCE'!$B$4:$BI$4&lt;=F$5),'32_BALANCE'!$B$36:$BI$36)</f>
        <v>1183546</v>
      </c>
      <c r="G36" s="194" cm="1">
        <f t="array" ref="G36">LOOKUP(2,1/('32_BALANCE'!$B$4:$BI$4&lt;=G$5),'32_BALANCE'!$B$36:$BI$36)</f>
        <v>1183546</v>
      </c>
      <c r="H36" s="194" cm="1">
        <f t="array" ref="H36">LOOKUP(2,1/('32_BALANCE'!$B$4:$BI$4&lt;=H$5),'32_BALANCE'!$B$36:$BI$36)</f>
        <v>1183546</v>
      </c>
      <c r="I36" s="194" cm="1">
        <f t="array" ref="I36">LOOKUP(2,1/('32_BALANCE'!$B$4:$BI$4&lt;=I$5),'32_BALANCE'!$B$36:$BI$36)</f>
        <v>1156328.9795200001</v>
      </c>
      <c r="J36" s="194" cm="1">
        <f t="array" ref="J36">LOOKUP(2,1/('32_BALANCE'!$B$4:$BI$4&lt;=J$5),'32_BALANCE'!$B$36:$BI$36)</f>
        <v>1075352.11888</v>
      </c>
      <c r="K36" s="194" cm="1">
        <f t="array" ref="K36">LOOKUP(2,1/('32_BALANCE'!$B$4:$BI$4&lt;=K$5),'32_BALANCE'!$B$36:$BI$36)</f>
        <v>1228705.5788800004</v>
      </c>
      <c r="L36" s="194" cm="1">
        <f t="array" ref="L36">LOOKUP(2,1/('32_BALANCE'!$B$4:$BI$4&lt;=L$5),'32_BALANCE'!$B$36:$BI$36)</f>
        <v>1382059.0388800004</v>
      </c>
      <c r="M36" s="194" cm="1">
        <f t="array" ref="M36">LOOKUP(2,1/('32_BALANCE'!$B$4:$BI$4&lt;=M$5),'32_BALANCE'!$B$36:$BI$36)</f>
        <v>2596045.961693923</v>
      </c>
      <c r="N36" s="194" cm="1">
        <f t="array" ref="N36">LOOKUP(2,1/('32_BALANCE'!$B$4:$BI$4&lt;=N$5),'32_BALANCE'!$B$36:$BI$36)</f>
        <v>2596045.961693923</v>
      </c>
      <c r="O36" s="194" cm="1">
        <f t="array" ref="O36">LOOKUP(2,1/('32_BALANCE'!$B$4:$BI$4&lt;=O$5),'32_BALANCE'!$B$36:$BI$36)</f>
        <v>2596045.961693923</v>
      </c>
      <c r="P36" s="194" cm="1">
        <f t="array" ref="P36">LOOKUP(2,1/('32_BALANCE'!$B$4:$BI$4&lt;=P$5),'32_BALANCE'!$B$36:$BI$36)</f>
        <v>2596045.961693923</v>
      </c>
      <c r="Q36" s="194" cm="1">
        <f t="array" ref="Q36">LOOKUP(2,1/('32_BALANCE'!$B$4:$BI$4&lt;=Q$5),'32_BALANCE'!$B$36:$BI$36)</f>
        <v>2596045.961693923</v>
      </c>
      <c r="R36" s="194" cm="1">
        <f t="array" ref="R36">LOOKUP(2,1/('32_BALANCE'!$B$4:$BI$4&lt;=R$5),'32_BALANCE'!$B$36:$BI$36)</f>
        <v>2596045.961693923</v>
      </c>
      <c r="S36" s="194" cm="1">
        <f t="array" ref="S36">LOOKUP(2,1/('32_BALANCE'!$B$4:$BI$4&lt;=S$5),'32_BALANCE'!$B$36:$BI$36)</f>
        <v>2596045.961693923</v>
      </c>
      <c r="T36" s="194" cm="1">
        <f t="array" ref="T36">LOOKUP(2,1/('32_BALANCE'!$B$4:$BI$4&lt;=T$5),'32_BALANCE'!$B$36:$BI$36)</f>
        <v>2596045.961693923</v>
      </c>
      <c r="U36" s="194" cm="1">
        <f t="array" ref="U36">LOOKUP(2,1/('32_BALANCE'!$B$4:$BI$4&lt;=U$5),'32_BALANCE'!$B$36:$BI$36)</f>
        <v>2596045.961693923</v>
      </c>
    </row>
    <row r="37" spans="1:21" x14ac:dyDescent="0.25"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</row>
    <row r="38" spans="1:21" ht="15.75" customHeight="1" thickBot="1" x14ac:dyDescent="0.3">
      <c r="A38" s="195" t="s">
        <v>345</v>
      </c>
      <c r="B38" s="192" cm="1">
        <f t="array" ref="B38">LOOKUP(2,1/('32_BALANCE'!$B$4:$BI$4&lt;=B$5),'32_BALANCE'!$B$38:$BI$38)</f>
        <v>1183546</v>
      </c>
      <c r="C38" s="192" cm="1">
        <f t="array" ref="C38">LOOKUP(2,1/('32_BALANCE'!$B$4:$BI$4&lt;=C$5),'32_BALANCE'!$B$38:$BI$38)</f>
        <v>1183546</v>
      </c>
      <c r="D38" s="192" cm="1">
        <f t="array" ref="D38">LOOKUP(2,1/('32_BALANCE'!$B$4:$BI$4&lt;=D$5),'32_BALANCE'!$B$38:$BI$38)</f>
        <v>1183546</v>
      </c>
      <c r="E38" s="192" cm="1">
        <f t="array" ref="E38">LOOKUP(2,1/('32_BALANCE'!$B$4:$BI$4&lt;=E$5),'32_BALANCE'!$B$38:$BI$38)</f>
        <v>1453844.3374000001</v>
      </c>
      <c r="F38" s="192" cm="1">
        <f t="array" ref="F38">LOOKUP(2,1/('32_BALANCE'!$B$4:$BI$4&lt;=F$5),'32_BALANCE'!$B$38:$BI$38)</f>
        <v>2272195.2924719471</v>
      </c>
      <c r="G38" s="192" cm="1">
        <f t="array" ref="G38">LOOKUP(2,1/('32_BALANCE'!$B$4:$BI$4&lt;=G$5),'32_BALANCE'!$B$38:$BI$38)</f>
        <v>3101850.2251276076</v>
      </c>
      <c r="H38" s="192" cm="1">
        <f t="array" ref="H38">LOOKUP(2,1/('32_BALANCE'!$B$4:$BI$4&lt;=H$5),'32_BALANCE'!$B$38:$BI$38)</f>
        <v>3942965.2785332133</v>
      </c>
      <c r="I38" s="192" cm="1">
        <f t="array" ref="I38">LOOKUP(2,1/('32_BALANCE'!$B$4:$BI$4&lt;=I$5),'32_BALANCE'!$B$38:$BI$38)</f>
        <v>4813169.2321988363</v>
      </c>
      <c r="J38" s="192" cm="1">
        <f t="array" ref="J38">LOOKUP(2,1/('32_BALANCE'!$B$4:$BI$4&lt;=J$5),'32_BALANCE'!$B$38:$BI$38)</f>
        <v>5970397.918090852</v>
      </c>
      <c r="K38" s="192" cm="1">
        <f t="array" ref="K38">LOOKUP(2,1/('32_BALANCE'!$B$4:$BI$4&lt;=K$5),'32_BALANCE'!$B$38:$BI$38)</f>
        <v>6839782.1128383018</v>
      </c>
      <c r="L38" s="192" cm="1">
        <f t="array" ref="L38">LOOKUP(2,1/('32_BALANCE'!$B$4:$BI$4&lt;=L$5),'32_BALANCE'!$B$38:$BI$38)</f>
        <v>7709999.8357544243</v>
      </c>
      <c r="M38" s="192" cm="1">
        <f t="array" ref="M38">LOOKUP(2,1/('32_BALANCE'!$B$4:$BI$4&lt;=M$5),'32_BALANCE'!$B$38:$BI$38)</f>
        <v>2596045.961693923</v>
      </c>
      <c r="N38" s="192" cm="1">
        <f t="array" ref="N38">LOOKUP(2,1/('32_BALANCE'!$B$4:$BI$4&lt;=N$5),'32_BALANCE'!$B$38:$BI$38)</f>
        <v>2596045.961693923</v>
      </c>
      <c r="O38" s="192" cm="1">
        <f t="array" ref="O38">LOOKUP(2,1/('32_BALANCE'!$B$4:$BI$4&lt;=O$5),'32_BALANCE'!$B$38:$BI$38)</f>
        <v>2596045.961693923</v>
      </c>
      <c r="P38" s="192" cm="1">
        <f t="array" ref="P38">LOOKUP(2,1/('32_BALANCE'!$B$4:$BI$4&lt;=P$5),'32_BALANCE'!$B$38:$BI$38)</f>
        <v>2596045.961693923</v>
      </c>
      <c r="Q38" s="192" cm="1">
        <f t="array" ref="Q38">LOOKUP(2,1/('32_BALANCE'!$B$4:$BI$4&lt;=Q$5),'32_BALANCE'!$B$38:$BI$38)</f>
        <v>2596045.961693923</v>
      </c>
      <c r="R38" s="192" cm="1">
        <f t="array" ref="R38">LOOKUP(2,1/('32_BALANCE'!$B$4:$BI$4&lt;=R$5),'32_BALANCE'!$B$38:$BI$38)</f>
        <v>2596045.961693923</v>
      </c>
      <c r="S38" s="192" cm="1">
        <f t="array" ref="S38">LOOKUP(2,1/('32_BALANCE'!$B$4:$BI$4&lt;=S$5),'32_BALANCE'!$B$38:$BI$38)</f>
        <v>2596045.961693923</v>
      </c>
      <c r="T38" s="192" cm="1">
        <f t="array" ref="T38">LOOKUP(2,1/('32_BALANCE'!$B$4:$BI$4&lt;=T$5),'32_BALANCE'!$B$38:$BI$38)</f>
        <v>2596045.961693923</v>
      </c>
      <c r="U38" s="192" cm="1">
        <f t="array" ref="U38">LOOKUP(2,1/('32_BALANCE'!$B$4:$BI$4&lt;=U$5),'32_BALANCE'!$B$38:$BI$38)</f>
        <v>2596045.961693923</v>
      </c>
    </row>
    <row r="39" spans="1:21" ht="21.75" customHeight="1" thickTop="1" x14ac:dyDescent="0.25">
      <c r="A39" s="191"/>
      <c r="B39" s="196"/>
      <c r="C39" s="196"/>
      <c r="D39" s="196"/>
      <c r="E39" s="196"/>
      <c r="F39" s="196"/>
    </row>
    <row r="40" spans="1:21" ht="15.75" customHeight="1" x14ac:dyDescent="0.25">
      <c r="A40" s="195" t="s">
        <v>346</v>
      </c>
      <c r="B40" s="196">
        <f>LOOKUP(2,1/('32_BALANCE'!$B$5:$BI$5=B$4),'32_BALANCE'!$B$40:$BI$40)</f>
        <v>0</v>
      </c>
      <c r="C40" s="196">
        <f>LOOKUP(2,1/('32_BALANCE'!$B$5:$BI$5=C$4),'32_BALANCE'!$B$40:$BI$40)</f>
        <v>0</v>
      </c>
      <c r="D40" s="196">
        <f>LOOKUP(2,1/('32_BALANCE'!$B$5:$BI$5=D$4),'32_BALANCE'!$B$40:$BI$40)</f>
        <v>0</v>
      </c>
      <c r="E40" s="196">
        <f>LOOKUP(2,1/('32_BALANCE'!$B$5:$BI$5=E$4),'32_BALANCE'!$B$40:$BI$40)</f>
        <v>0</v>
      </c>
      <c r="F40" s="196">
        <f>LOOKUP(2,1/('32_BALANCE'!$B$5:$BI$5=F$4),'32_BALANCE'!$B$40:$BI$40)</f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Standar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00_ESTRATEGIA</vt:lpstr>
      <vt:lpstr>01_MODELO</vt:lpstr>
      <vt:lpstr>02_ESCENARIOS</vt:lpstr>
      <vt:lpstr>10_CAPEX-INGRESOS-PAGOS</vt:lpstr>
      <vt:lpstr>20_FINANCIACION</vt:lpstr>
      <vt:lpstr>30_CASHFLOW</vt:lpstr>
      <vt:lpstr>31_P&amp;L</vt:lpstr>
      <vt:lpstr>32_BALANCE</vt:lpstr>
      <vt:lpstr>40_CASHFLOW_TRIMESTRAL</vt:lpstr>
      <vt:lpstr>41_P&amp;L_TRIMESTRAL</vt:lpstr>
      <vt:lpstr>42_BALANCE_TRIMESTRAL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 RIO RODRIGUEZ, Pablo</dc:creator>
  <cp:keywords/>
  <dc:description/>
  <cp:lastModifiedBy>PABLO DEL RÍO RODRÍGUEZ</cp:lastModifiedBy>
  <cp:revision>0</cp:revision>
  <dcterms:created xsi:type="dcterms:W3CDTF">2026-05-25T12:19:32Z</dcterms:created>
  <dcterms:modified xsi:type="dcterms:W3CDTF">2026-05-28T17:41:37Z</dcterms:modified>
  <cp:category/>
  <cp:contentStatus/>
</cp:coreProperties>
</file>